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Y:\Joint Force HQ MSNG\JFH MSNG\AASF #2\QC Files\Calibration\"/>
    </mc:Choice>
  </mc:AlternateContent>
  <bookViews>
    <workbookView xWindow="15" yWindow="-390" windowWidth="16605" windowHeight="9435" tabRatio="893" activeTab="1"/>
  </bookViews>
  <sheets>
    <sheet name="Availabilty-Delinguent Rate" sheetId="17" r:id="rId1"/>
    <sheet name="Consolidated" sheetId="29" r:id="rId2"/>
    <sheet name="Calibration Run Schedule" sheetId="33" r:id="rId3"/>
    <sheet name="Calculator" sheetId="10" r:id="rId4"/>
    <sheet name="Chart" sheetId="32" r:id="rId5"/>
    <sheet name="Items Removed from TMDE" sheetId="30" r:id="rId6"/>
    <sheet name="Availabilty-Delinguent Rate (2)" sheetId="34" r:id="rId7"/>
    <sheet name="Sheet1" sheetId="35" r:id="rId8"/>
    <sheet name="Sheet2" sheetId="36" r:id="rId9"/>
    <sheet name="Sheet3" sheetId="37" r:id="rId10"/>
  </sheets>
  <definedNames>
    <definedName name="_xlnm._FilterDatabase" localSheetId="2" hidden="1">'Calibration Run Schedule'!$B$3:$C$10</definedName>
    <definedName name="_xlnm._FilterDatabase" localSheetId="1" hidden="1">Consolidated!#REF!</definedName>
    <definedName name="_xlnm._FilterDatabase" localSheetId="8" hidden="1">Sheet2!$A$1:$C$10</definedName>
    <definedName name="At_">Consolidated!$A$4</definedName>
    <definedName name="At_Lab">Consolidated!$A$4</definedName>
    <definedName name="Avionics">Consolidated!#REF!</definedName>
    <definedName name="_xlnm.Print_Titles" localSheetId="1">Consolidated!$8:$8</definedName>
  </definedNames>
  <calcPr calcId="152511"/>
</workbook>
</file>

<file path=xl/calcChain.xml><?xml version="1.0" encoding="utf-8"?>
<calcChain xmlns="http://schemas.openxmlformats.org/spreadsheetml/2006/main">
  <c r="M60" i="29" l="1"/>
  <c r="N60" i="29" s="1"/>
  <c r="M29" i="29" l="1"/>
  <c r="N29" i="29" s="1"/>
  <c r="AF29" i="29"/>
  <c r="AJ29" i="29"/>
  <c r="Z29" i="29" l="1"/>
  <c r="Y29" i="29"/>
  <c r="AE29" i="29"/>
  <c r="AA29" i="29"/>
  <c r="AB29" i="29"/>
  <c r="M31" i="29"/>
  <c r="N31" i="29" s="1"/>
  <c r="AF31" i="29"/>
  <c r="AJ31" i="29"/>
  <c r="M117" i="29"/>
  <c r="AC29" i="29" l="1"/>
  <c r="AD29" i="29"/>
  <c r="Y31" i="29"/>
  <c r="Z31" i="29"/>
  <c r="AE31" i="29"/>
  <c r="AB31" i="29"/>
  <c r="AA31" i="29"/>
  <c r="M30" i="29"/>
  <c r="N30" i="29" s="1"/>
  <c r="AF30" i="29"/>
  <c r="AJ30" i="29"/>
  <c r="AD31" i="29" l="1"/>
  <c r="AC31" i="29"/>
  <c r="AA30" i="29"/>
  <c r="Z30" i="29"/>
  <c r="Y30" i="29"/>
  <c r="AB30" i="29"/>
  <c r="AE30" i="29"/>
  <c r="M171" i="29"/>
  <c r="M229" i="29"/>
  <c r="AD30" i="29" l="1"/>
  <c r="AC30" i="29"/>
  <c r="N22" i="29"/>
  <c r="AJ22" i="29"/>
  <c r="AE22" i="29" l="1"/>
  <c r="AJ117" i="29"/>
  <c r="AH23" i="29"/>
  <c r="AJ23" i="29"/>
  <c r="AJ240" i="29"/>
  <c r="AJ229" i="29"/>
  <c r="AF179" i="29"/>
  <c r="AJ179" i="29"/>
  <c r="AJ171" i="29"/>
  <c r="AF137" i="29"/>
  <c r="AJ137" i="29"/>
  <c r="AJ116" i="29"/>
  <c r="AJ24" i="29"/>
  <c r="AF187" i="29"/>
  <c r="AJ187" i="29"/>
  <c r="AF106" i="29"/>
  <c r="AJ106" i="29"/>
  <c r="AJ104" i="29"/>
  <c r="AJ276" i="29"/>
  <c r="AF211" i="29"/>
  <c r="AJ211" i="29"/>
  <c r="AF208" i="29"/>
  <c r="AJ208" i="29"/>
  <c r="AF129" i="29"/>
  <c r="AJ129" i="29"/>
  <c r="AF128" i="29"/>
  <c r="AJ128" i="29"/>
  <c r="AF127" i="29"/>
  <c r="AJ127" i="29"/>
  <c r="AF107" i="29"/>
  <c r="AJ107" i="29"/>
  <c r="AF100" i="29"/>
  <c r="AJ100" i="29"/>
  <c r="AF97" i="29"/>
  <c r="AJ97" i="29"/>
  <c r="AF96" i="29"/>
  <c r="AJ96" i="29"/>
  <c r="AF63" i="29"/>
  <c r="AJ63" i="29"/>
  <c r="AF56" i="29"/>
  <c r="AJ56" i="29"/>
  <c r="AJ55" i="29"/>
  <c r="AJ45" i="29"/>
  <c r="AJ32" i="29"/>
  <c r="AJ21" i="29"/>
  <c r="AJ12" i="29"/>
  <c r="AJ26" i="29"/>
  <c r="AF64" i="29"/>
  <c r="AJ64" i="29"/>
  <c r="AJ34" i="29"/>
  <c r="AF202" i="29"/>
  <c r="AJ202" i="29"/>
  <c r="AF38" i="29"/>
  <c r="AJ38" i="29"/>
  <c r="AJ36" i="29"/>
  <c r="AF33" i="29"/>
  <c r="AJ33" i="29"/>
  <c r="AF35" i="29"/>
  <c r="AJ35" i="29"/>
  <c r="AF201" i="29"/>
  <c r="AJ201" i="29"/>
  <c r="AF200" i="29"/>
  <c r="AJ200" i="29"/>
  <c r="AF88" i="29"/>
  <c r="AJ88" i="29"/>
  <c r="AF265" i="29"/>
  <c r="AJ265" i="29"/>
  <c r="AF81" i="29"/>
  <c r="AJ81" i="29"/>
  <c r="AF79" i="29"/>
  <c r="AJ79" i="29"/>
  <c r="AF119" i="29"/>
  <c r="AJ119" i="29"/>
  <c r="AF111" i="29"/>
  <c r="AJ111" i="29"/>
  <c r="AF259" i="29"/>
  <c r="AJ259" i="29"/>
  <c r="AJ263" i="29"/>
  <c r="AF125" i="29"/>
  <c r="AJ125" i="29"/>
  <c r="AF84" i="29"/>
  <c r="AJ84" i="29"/>
  <c r="AF83" i="29"/>
  <c r="AJ83" i="29"/>
  <c r="AF71" i="29"/>
  <c r="AJ71" i="29"/>
  <c r="AJ251" i="29"/>
  <c r="AF44" i="29"/>
  <c r="AJ44" i="29"/>
  <c r="AJ25" i="29"/>
  <c r="AJ277" i="29"/>
  <c r="AF248" i="29"/>
  <c r="AJ248" i="29"/>
  <c r="AF267" i="29"/>
  <c r="AJ267" i="29"/>
  <c r="AF262" i="29"/>
  <c r="AJ262" i="29"/>
  <c r="AF272" i="29"/>
  <c r="AJ272" i="29"/>
  <c r="AF239" i="29"/>
  <c r="AJ239" i="29"/>
  <c r="AF238" i="29"/>
  <c r="AJ238" i="29"/>
  <c r="AF237" i="29"/>
  <c r="AJ237" i="29"/>
  <c r="AF236" i="29"/>
  <c r="AJ236" i="29"/>
  <c r="AF183" i="29"/>
  <c r="AJ183" i="29"/>
  <c r="AF134" i="29"/>
  <c r="AJ134" i="29"/>
  <c r="AF14" i="29"/>
  <c r="AJ14" i="29"/>
  <c r="AF54" i="29"/>
  <c r="AJ54" i="29"/>
  <c r="AF53" i="29"/>
  <c r="AJ53" i="29"/>
  <c r="AF199" i="29"/>
  <c r="AJ199" i="29"/>
  <c r="AF95" i="29"/>
  <c r="AJ95" i="29"/>
  <c r="AJ227" i="29"/>
  <c r="AJ222" i="29"/>
  <c r="AJ110" i="29"/>
  <c r="AJ101" i="29"/>
  <c r="AF93" i="29"/>
  <c r="AJ93" i="29"/>
  <c r="AJ223" i="29"/>
  <c r="AJ230" i="29"/>
  <c r="AF225" i="29"/>
  <c r="AJ225" i="29"/>
  <c r="AF40" i="29"/>
  <c r="AJ40" i="29"/>
  <c r="AF37" i="29"/>
  <c r="AJ37" i="29"/>
  <c r="AJ136" i="29"/>
  <c r="AJ103" i="29"/>
  <c r="AJ163" i="29"/>
  <c r="AF112" i="29"/>
  <c r="AJ112" i="29"/>
  <c r="AF252" i="29"/>
  <c r="AJ252" i="29"/>
  <c r="AF172" i="29"/>
  <c r="AJ172" i="29"/>
  <c r="AF80" i="29"/>
  <c r="AJ80" i="29"/>
  <c r="AF180" i="29"/>
  <c r="AJ180" i="29"/>
  <c r="AF114" i="29"/>
  <c r="AJ114" i="29"/>
  <c r="AF27" i="29"/>
  <c r="AJ27" i="29"/>
  <c r="AF89" i="29"/>
  <c r="AJ89" i="29"/>
  <c r="AF194" i="29"/>
  <c r="AJ194" i="29"/>
  <c r="AF58" i="29"/>
  <c r="AJ58" i="29"/>
  <c r="AF57" i="29"/>
  <c r="AJ57" i="29"/>
  <c r="AF257" i="29"/>
  <c r="AJ257" i="29"/>
  <c r="AF256" i="29"/>
  <c r="AJ256" i="29"/>
  <c r="AF255" i="29"/>
  <c r="AJ255" i="29"/>
  <c r="AF254" i="29"/>
  <c r="AJ254" i="29"/>
  <c r="AF253" i="29"/>
  <c r="AJ253" i="29"/>
  <c r="AF185" i="29"/>
  <c r="AJ185" i="29"/>
  <c r="AF215" i="29"/>
  <c r="AJ215" i="29"/>
  <c r="AF219" i="29"/>
  <c r="AJ219" i="29"/>
  <c r="AJ181" i="29"/>
  <c r="AF197" i="29"/>
  <c r="AJ197" i="29"/>
  <c r="AJ184" i="29"/>
  <c r="AF102" i="29"/>
  <c r="AJ102" i="29"/>
  <c r="AF94" i="29"/>
  <c r="AJ94" i="29"/>
  <c r="AF99" i="29"/>
  <c r="AJ99" i="29"/>
  <c r="AF224" i="29"/>
  <c r="AJ224" i="29"/>
  <c r="AF62" i="29"/>
  <c r="AJ62" i="29"/>
  <c r="AJ234" i="29"/>
  <c r="AF247" i="29"/>
  <c r="AJ247" i="29"/>
  <c r="AJ250" i="29"/>
  <c r="AF245" i="29"/>
  <c r="AJ245" i="29"/>
  <c r="AF246" i="29"/>
  <c r="AJ246" i="29"/>
  <c r="AJ273" i="29"/>
  <c r="AJ17" i="29"/>
  <c r="AJ78" i="29"/>
  <c r="AF228" i="29"/>
  <c r="AJ228" i="29"/>
  <c r="AF220" i="29"/>
  <c r="AJ220" i="29"/>
  <c r="AF216" i="29"/>
  <c r="AJ216" i="29"/>
  <c r="AF196" i="29"/>
  <c r="AJ196" i="29"/>
  <c r="AF195" i="29"/>
  <c r="AJ195" i="29"/>
  <c r="AF186" i="29"/>
  <c r="AJ186" i="29"/>
  <c r="AF92" i="29"/>
  <c r="AJ92" i="29"/>
  <c r="AF91" i="29"/>
  <c r="AJ91" i="29"/>
  <c r="AF90" i="29"/>
  <c r="AJ90" i="29"/>
  <c r="AF209" i="29"/>
  <c r="AJ209" i="29"/>
  <c r="AF198" i="29"/>
  <c r="AJ198" i="29"/>
  <c r="AJ190" i="29"/>
  <c r="AF189" i="29"/>
  <c r="AJ189" i="29"/>
  <c r="AJ188" i="29"/>
  <c r="AF115" i="29"/>
  <c r="AJ115" i="29"/>
  <c r="AJ75" i="29"/>
  <c r="AF72" i="29"/>
  <c r="AJ72" i="29"/>
  <c r="AF69" i="29"/>
  <c r="AJ69" i="29"/>
  <c r="AF66" i="29"/>
  <c r="AJ66" i="29"/>
  <c r="AF16" i="29"/>
  <c r="AJ16" i="29"/>
  <c r="AF15" i="29"/>
  <c r="AJ15" i="29"/>
  <c r="AJ77" i="29"/>
  <c r="AJ68" i="29"/>
  <c r="AJ67" i="29"/>
  <c r="AJ213" i="29"/>
  <c r="AJ10" i="29"/>
  <c r="AJ13" i="29"/>
  <c r="AF210" i="29"/>
  <c r="AJ210" i="29"/>
  <c r="AF41" i="29"/>
  <c r="AJ41" i="29"/>
  <c r="AJ182" i="29"/>
  <c r="AJ261" i="29"/>
  <c r="AJ11" i="29"/>
  <c r="AF126" i="29"/>
  <c r="AJ126" i="29"/>
  <c r="AJ264" i="29"/>
  <c r="AF28" i="29"/>
  <c r="AJ28" i="29"/>
  <c r="AF52" i="29"/>
  <c r="AJ52" i="29"/>
  <c r="AF51" i="29"/>
  <c r="AJ51" i="29"/>
  <c r="AF226" i="29"/>
  <c r="AJ226" i="29"/>
  <c r="AJ279" i="29"/>
  <c r="AF121" i="29"/>
  <c r="AJ121" i="29"/>
  <c r="AJ132" i="29"/>
  <c r="AF175" i="29"/>
  <c r="AJ175" i="29"/>
  <c r="AF170" i="29"/>
  <c r="AJ170" i="29"/>
  <c r="AF108" i="29"/>
  <c r="AJ108" i="29"/>
  <c r="AF169" i="29"/>
  <c r="AJ169" i="29"/>
  <c r="AF168" i="29"/>
  <c r="AJ168" i="29"/>
  <c r="AF167" i="29"/>
  <c r="AJ167" i="29"/>
  <c r="AF166" i="29"/>
  <c r="AJ166" i="29"/>
  <c r="AF165" i="29"/>
  <c r="AJ165" i="29"/>
  <c r="AF164" i="29"/>
  <c r="AJ164" i="29"/>
  <c r="AF74" i="29"/>
  <c r="AJ74" i="29"/>
  <c r="AF61" i="29"/>
  <c r="AJ61" i="29"/>
  <c r="AF60" i="29"/>
  <c r="AJ60" i="29"/>
  <c r="AF59" i="29"/>
  <c r="AJ59" i="29"/>
  <c r="AF87" i="29"/>
  <c r="AJ87" i="29"/>
  <c r="AF268" i="29"/>
  <c r="AJ268" i="29"/>
  <c r="AF260" i="29"/>
  <c r="AJ260" i="29"/>
  <c r="AJ258" i="29"/>
  <c r="AF178" i="29"/>
  <c r="AJ178" i="29"/>
  <c r="AF177" i="29"/>
  <c r="AJ177" i="29"/>
  <c r="AF244" i="29"/>
  <c r="AJ244" i="29"/>
  <c r="AF243" i="29"/>
  <c r="AJ243" i="29"/>
  <c r="AF231" i="29"/>
  <c r="AJ231" i="29"/>
  <c r="AF39" i="29"/>
  <c r="AJ39" i="29"/>
  <c r="AJ131" i="29"/>
  <c r="AF73" i="29"/>
  <c r="AJ73" i="29"/>
  <c r="AF217" i="29"/>
  <c r="AJ217" i="29"/>
  <c r="AF122" i="29"/>
  <c r="AJ122" i="29"/>
  <c r="AF241" i="29"/>
  <c r="AJ241" i="29"/>
  <c r="AF176" i="29"/>
  <c r="AJ176" i="29"/>
  <c r="AF174" i="29"/>
  <c r="AJ174" i="29"/>
  <c r="AF98" i="29"/>
  <c r="AJ98" i="29"/>
  <c r="AF233" i="29"/>
  <c r="AJ233" i="29"/>
  <c r="AJ275" i="29"/>
  <c r="AJ274" i="29"/>
  <c r="AJ271" i="29"/>
  <c r="AF270" i="29"/>
  <c r="AJ270" i="29"/>
  <c r="AF269" i="29"/>
  <c r="AJ269" i="29"/>
  <c r="AF242" i="29"/>
  <c r="AJ242" i="29"/>
  <c r="AF235" i="29"/>
  <c r="AJ235" i="29"/>
  <c r="AF65" i="29"/>
  <c r="AJ65" i="29"/>
  <c r="AF218" i="29"/>
  <c r="AJ218" i="29"/>
  <c r="AF124" i="29"/>
  <c r="AJ124" i="29"/>
  <c r="AF133" i="29"/>
  <c r="AJ133" i="29"/>
  <c r="AF123" i="29"/>
  <c r="AJ123" i="29"/>
  <c r="AF70" i="29"/>
  <c r="AJ70" i="29"/>
  <c r="AF50" i="29"/>
  <c r="AJ50" i="29"/>
  <c r="AF105" i="29"/>
  <c r="AJ105" i="29"/>
  <c r="AF207" i="29"/>
  <c r="AJ207" i="29"/>
  <c r="AJ9" i="29"/>
  <c r="AJ232" i="29"/>
  <c r="AF118" i="29"/>
  <c r="AJ118" i="29"/>
  <c r="AF212" i="29"/>
  <c r="AJ212" i="29"/>
  <c r="AF214" i="29"/>
  <c r="AJ214" i="29"/>
  <c r="AJ130" i="29"/>
  <c r="AF193" i="29"/>
  <c r="AI193" i="29"/>
  <c r="AJ193" i="29"/>
  <c r="AF192" i="29"/>
  <c r="AI192" i="29"/>
  <c r="AJ192" i="29"/>
  <c r="AF191" i="29"/>
  <c r="AI191" i="29"/>
  <c r="AJ191" i="29"/>
  <c r="AF249" i="29"/>
  <c r="AJ249" i="29"/>
  <c r="AF76" i="29"/>
  <c r="AJ76" i="29"/>
  <c r="AF113" i="29"/>
  <c r="AJ113" i="29"/>
  <c r="AJ109" i="29"/>
  <c r="AF221" i="29"/>
  <c r="AH221" i="29"/>
  <c r="AJ221" i="29"/>
  <c r="AH278" i="29"/>
  <c r="AJ278" i="29"/>
  <c r="AF266" i="29"/>
  <c r="AH266" i="29"/>
  <c r="AJ266" i="29"/>
  <c r="AF206" i="29"/>
  <c r="AH206" i="29"/>
  <c r="AJ206" i="29"/>
  <c r="AH205" i="29"/>
  <c r="AJ205" i="29"/>
  <c r="AF204" i="29"/>
  <c r="AH204" i="29"/>
  <c r="AJ204" i="29"/>
  <c r="AF203" i="29"/>
  <c r="AH203" i="29"/>
  <c r="AJ203" i="29"/>
  <c r="AF173" i="29"/>
  <c r="AH173" i="29"/>
  <c r="AJ173" i="29"/>
  <c r="AF143" i="29"/>
  <c r="AH143" i="29"/>
  <c r="AJ143" i="29"/>
  <c r="AF144" i="29"/>
  <c r="AH144" i="29"/>
  <c r="AJ144" i="29"/>
  <c r="AH138" i="29"/>
  <c r="AJ138" i="29"/>
  <c r="AH139" i="29"/>
  <c r="AJ139" i="29"/>
  <c r="AF141" i="29"/>
  <c r="AH141" i="29"/>
  <c r="AJ141" i="29"/>
  <c r="AF145" i="29"/>
  <c r="AH145" i="29"/>
  <c r="AJ145" i="29"/>
  <c r="AF146" i="29"/>
  <c r="AH146" i="29"/>
  <c r="AJ146" i="29"/>
  <c r="AF147" i="29"/>
  <c r="AH147" i="29"/>
  <c r="AJ147" i="29"/>
  <c r="AH280" i="29"/>
  <c r="AJ280" i="29"/>
  <c r="AH156" i="29"/>
  <c r="AJ156" i="29"/>
  <c r="AF140" i="29"/>
  <c r="AH140" i="29"/>
  <c r="AJ140" i="29"/>
  <c r="AH142" i="29"/>
  <c r="AJ142" i="29"/>
  <c r="AH154" i="29"/>
  <c r="AJ154" i="29"/>
  <c r="AH155" i="29"/>
  <c r="AJ155" i="29"/>
  <c r="AH157" i="29"/>
  <c r="AJ157" i="29"/>
  <c r="AH158" i="29"/>
  <c r="AJ158" i="29"/>
  <c r="AF159" i="29"/>
  <c r="AH159" i="29"/>
  <c r="AJ159" i="29"/>
  <c r="AF160" i="29"/>
  <c r="AH160" i="29"/>
  <c r="AJ160" i="29"/>
  <c r="AF161" i="29"/>
  <c r="AH161" i="29"/>
  <c r="AJ161" i="29"/>
  <c r="AF148" i="29"/>
  <c r="AH148" i="29"/>
  <c r="AJ148" i="29"/>
  <c r="AF162" i="29"/>
  <c r="AH162" i="29"/>
  <c r="AJ162" i="29"/>
  <c r="AF149" i="29"/>
  <c r="AH149" i="29"/>
  <c r="AJ149" i="29"/>
  <c r="AF150" i="29"/>
  <c r="AH150" i="29"/>
  <c r="AJ150" i="29"/>
  <c r="AF151" i="29"/>
  <c r="AH151" i="29"/>
  <c r="AJ151" i="29"/>
  <c r="AF152" i="29"/>
  <c r="AH152" i="29"/>
  <c r="AJ152" i="29"/>
  <c r="AF153" i="29"/>
  <c r="AH153" i="29"/>
  <c r="AJ153" i="29"/>
  <c r="AF135" i="29"/>
  <c r="AH135" i="29"/>
  <c r="AJ135" i="29"/>
  <c r="AF120" i="29"/>
  <c r="AH120" i="29"/>
  <c r="AJ120" i="29"/>
  <c r="AF86" i="29"/>
  <c r="AH86" i="29"/>
  <c r="AJ86" i="29"/>
  <c r="AF85" i="29"/>
  <c r="AH85" i="29"/>
  <c r="AJ85" i="29"/>
  <c r="AF82" i="29"/>
  <c r="AH82" i="29"/>
  <c r="AJ82" i="29"/>
  <c r="AF49" i="29"/>
  <c r="AH49" i="29"/>
  <c r="AJ49" i="29"/>
  <c r="AH48" i="29"/>
  <c r="AJ48" i="29"/>
  <c r="AH47" i="29"/>
  <c r="AJ47" i="29"/>
  <c r="AH46" i="29"/>
  <c r="AJ46" i="29"/>
  <c r="AF43" i="29"/>
  <c r="AH43" i="29"/>
  <c r="AJ43" i="29"/>
  <c r="AF42" i="29"/>
  <c r="AH42" i="29"/>
  <c r="AJ42" i="29"/>
  <c r="AF19" i="29"/>
  <c r="AH19" i="29"/>
  <c r="AJ19" i="29"/>
  <c r="AF18" i="29"/>
  <c r="AH18" i="29"/>
  <c r="AJ18" i="29"/>
  <c r="AK193" i="29" l="1"/>
  <c r="AK191" i="29"/>
  <c r="AK192" i="29"/>
  <c r="M181" i="29"/>
  <c r="M196" i="29" l="1"/>
  <c r="N196" i="29" s="1"/>
  <c r="M195" i="29"/>
  <c r="N195" i="29" s="1"/>
  <c r="AE196" i="29" l="1"/>
  <c r="AE195" i="29"/>
  <c r="M32" i="29"/>
  <c r="N32" i="29" l="1"/>
  <c r="AE32" i="29" s="1"/>
  <c r="AA196" i="29"/>
  <c r="AB196" i="29"/>
  <c r="AB195" i="29"/>
  <c r="AA195" i="29"/>
  <c r="B5" i="10"/>
  <c r="AD195" i="29" l="1"/>
  <c r="AD196" i="29"/>
  <c r="M65" i="29"/>
  <c r="N65" i="29" s="1"/>
  <c r="J4" i="29" l="1"/>
  <c r="C5" i="33"/>
  <c r="C6" i="33"/>
  <c r="C7" i="33"/>
  <c r="C8" i="33"/>
  <c r="C9" i="33"/>
  <c r="C10" i="33"/>
  <c r="C11" i="33"/>
  <c r="C12" i="33"/>
  <c r="C13" i="33"/>
  <c r="C14" i="33"/>
  <c r="C15" i="33"/>
  <c r="C16" i="33"/>
  <c r="C17" i="33"/>
  <c r="C18" i="33"/>
  <c r="C19" i="33"/>
  <c r="C20" i="33"/>
  <c r="AG30" i="29" l="1"/>
  <c r="AG29" i="29"/>
  <c r="AG31" i="29"/>
  <c r="AG22" i="29"/>
  <c r="AG196" i="29"/>
  <c r="AG195" i="29"/>
  <c r="AG32" i="29"/>
  <c r="C12" i="10"/>
  <c r="M23" i="29" l="1"/>
  <c r="N23" i="29" s="1"/>
  <c r="M33" i="29"/>
  <c r="Y33" i="29" s="1"/>
  <c r="Z33" i="29" l="1"/>
  <c r="AC33" i="29" s="1"/>
  <c r="N33" i="29"/>
  <c r="AE33" i="29" s="1"/>
  <c r="AG33" i="29" s="1"/>
  <c r="AE23" i="29"/>
  <c r="AG23" i="29" s="1"/>
  <c r="M230" i="29"/>
  <c r="N230" i="29" s="1"/>
  <c r="AE230" i="29" l="1"/>
  <c r="AG230" i="29" s="1"/>
  <c r="AB33" i="29"/>
  <c r="AA33" i="29"/>
  <c r="M188" i="29"/>
  <c r="N188" i="29" s="1"/>
  <c r="M232" i="29"/>
  <c r="AD33" i="29" l="1"/>
  <c r="M34" i="29"/>
  <c r="N34" i="29" l="1"/>
  <c r="AE34" i="29" s="1"/>
  <c r="AG34" i="29" s="1"/>
  <c r="C4" i="33"/>
  <c r="M189" i="29"/>
  <c r="N189" i="29" s="1"/>
  <c r="M220" i="29" l="1"/>
  <c r="N220" i="29" s="1"/>
  <c r="M182" i="29"/>
  <c r="M35" i="29"/>
  <c r="Y35" i="29" s="1"/>
  <c r="A5" i="29"/>
  <c r="AF13" i="29" s="1"/>
  <c r="M36" i="29"/>
  <c r="N36" i="29" s="1"/>
  <c r="M25" i="29"/>
  <c r="N25" i="29" s="1"/>
  <c r="M202" i="29"/>
  <c r="Z202" i="29" s="1"/>
  <c r="M38" i="29"/>
  <c r="Y38" i="29" s="1"/>
  <c r="M209" i="29"/>
  <c r="M200" i="29"/>
  <c r="M64" i="29"/>
  <c r="Z64" i="29" s="1"/>
  <c r="S22" i="30"/>
  <c r="W22" i="30"/>
  <c r="AA22" i="30"/>
  <c r="AB22" i="30"/>
  <c r="U25" i="30"/>
  <c r="W25" i="30"/>
  <c r="Z25" i="30"/>
  <c r="AA25" i="30"/>
  <c r="AB25" i="30"/>
  <c r="S27" i="30"/>
  <c r="U27" i="30" s="1"/>
  <c r="W27" i="30"/>
  <c r="AA27" i="30"/>
  <c r="AB27" i="30"/>
  <c r="S28" i="30"/>
  <c r="Z28" i="30"/>
  <c r="W28" i="30"/>
  <c r="AA28" i="30"/>
  <c r="AB28" i="30"/>
  <c r="S29" i="30"/>
  <c r="W29" i="30"/>
  <c r="AA29" i="30"/>
  <c r="AB29" i="30"/>
  <c r="S32" i="30"/>
  <c r="Z32" i="30" s="1"/>
  <c r="U32" i="30"/>
  <c r="V32" i="30"/>
  <c r="W32" i="30"/>
  <c r="AA32" i="30"/>
  <c r="AB32" i="30"/>
  <c r="S33" i="30"/>
  <c r="Z33" i="30"/>
  <c r="U33" i="30"/>
  <c r="W33" i="30"/>
  <c r="AA33" i="30"/>
  <c r="AC33" i="30"/>
  <c r="AB33" i="30"/>
  <c r="S34" i="30"/>
  <c r="Z34" i="30" s="1"/>
  <c r="U34" i="30"/>
  <c r="W34" i="30"/>
  <c r="AA34" i="30"/>
  <c r="AB34" i="30"/>
  <c r="AC34" i="30"/>
  <c r="S35" i="30"/>
  <c r="Z35" i="30"/>
  <c r="W35" i="30"/>
  <c r="AA35" i="30"/>
  <c r="AB35" i="30"/>
  <c r="T44" i="30"/>
  <c r="AA44" i="30" s="1"/>
  <c r="V44" i="30"/>
  <c r="X44" i="30"/>
  <c r="U44" i="30" s="1"/>
  <c r="AB44" i="30"/>
  <c r="AC44" i="30"/>
  <c r="K3" i="10"/>
  <c r="L3" i="10"/>
  <c r="K4" i="10"/>
  <c r="L4" i="10"/>
  <c r="D5" i="10"/>
  <c r="K5" i="10"/>
  <c r="L5" i="10"/>
  <c r="K6" i="10"/>
  <c r="L6" i="10"/>
  <c r="K7" i="10"/>
  <c r="L7" i="10"/>
  <c r="K8" i="10"/>
  <c r="L8" i="10"/>
  <c r="B9" i="10"/>
  <c r="K9" i="10"/>
  <c r="L9" i="10"/>
  <c r="K10" i="10"/>
  <c r="L10" i="10"/>
  <c r="K11" i="10"/>
  <c r="L11" i="10"/>
  <c r="K12" i="10"/>
  <c r="L12" i="10"/>
  <c r="K13" i="10"/>
  <c r="L13" i="10"/>
  <c r="K14" i="10"/>
  <c r="L14" i="10"/>
  <c r="K15" i="10"/>
  <c r="L15" i="10"/>
  <c r="K16" i="10"/>
  <c r="L16" i="10"/>
  <c r="K17" i="10"/>
  <c r="L17" i="10"/>
  <c r="K18" i="10"/>
  <c r="L18" i="10"/>
  <c r="K19" i="10"/>
  <c r="L19" i="10"/>
  <c r="M19" i="10" s="1"/>
  <c r="K20" i="10"/>
  <c r="L20" i="10"/>
  <c r="K21" i="10"/>
  <c r="L21" i="10"/>
  <c r="K22" i="10"/>
  <c r="L22" i="10"/>
  <c r="K23" i="10"/>
  <c r="L23" i="10"/>
  <c r="K24" i="10"/>
  <c r="L24" i="10"/>
  <c r="K25" i="10"/>
  <c r="L25" i="10"/>
  <c r="K26" i="10"/>
  <c r="L26" i="10"/>
  <c r="K27" i="10"/>
  <c r="L27" i="10"/>
  <c r="K28" i="10"/>
  <c r="L28" i="10"/>
  <c r="K29" i="10"/>
  <c r="L29" i="10"/>
  <c r="K30" i="10"/>
  <c r="L30" i="10"/>
  <c r="K31" i="10"/>
  <c r="L31" i="10"/>
  <c r="K32" i="10"/>
  <c r="L32" i="10"/>
  <c r="K33" i="10"/>
  <c r="L33" i="10"/>
  <c r="K34" i="10"/>
  <c r="L34" i="10"/>
  <c r="K35" i="10"/>
  <c r="L35" i="10"/>
  <c r="K36" i="10"/>
  <c r="L36" i="10"/>
  <c r="K37" i="10"/>
  <c r="L37" i="10"/>
  <c r="K38" i="10"/>
  <c r="L38" i="10"/>
  <c r="K39" i="10"/>
  <c r="L39" i="10"/>
  <c r="K40" i="10"/>
  <c r="L40" i="10"/>
  <c r="K41" i="10"/>
  <c r="L41" i="10"/>
  <c r="K42" i="10"/>
  <c r="L42" i="10"/>
  <c r="K43" i="10"/>
  <c r="L43" i="10"/>
  <c r="K44" i="10"/>
  <c r="L44" i="10"/>
  <c r="K45" i="10"/>
  <c r="L45" i="10"/>
  <c r="K46" i="10"/>
  <c r="L46" i="10"/>
  <c r="K47" i="10"/>
  <c r="L47" i="10"/>
  <c r="K48" i="10"/>
  <c r="L48" i="10"/>
  <c r="K49" i="10"/>
  <c r="L49" i="10"/>
  <c r="K50" i="10"/>
  <c r="L50" i="10"/>
  <c r="K51" i="10"/>
  <c r="L51" i="10"/>
  <c r="M51" i="10" s="1"/>
  <c r="K52" i="10"/>
  <c r="L52" i="10"/>
  <c r="K53" i="10"/>
  <c r="L53" i="10"/>
  <c r="K54" i="10"/>
  <c r="L54" i="10"/>
  <c r="K55" i="10"/>
  <c r="L55" i="10"/>
  <c r="K56" i="10"/>
  <c r="L56" i="10"/>
  <c r="K57" i="10"/>
  <c r="L57" i="10"/>
  <c r="K58" i="10"/>
  <c r="L58" i="10"/>
  <c r="K59" i="10"/>
  <c r="L59" i="10"/>
  <c r="K60" i="10"/>
  <c r="L60" i="10"/>
  <c r="K61" i="10"/>
  <c r="L61" i="10"/>
  <c r="K62" i="10"/>
  <c r="L62" i="10"/>
  <c r="K63" i="10"/>
  <c r="L63" i="10"/>
  <c r="K64" i="10"/>
  <c r="L64" i="10"/>
  <c r="K65" i="10"/>
  <c r="L65" i="10"/>
  <c r="K66" i="10"/>
  <c r="L66" i="10"/>
  <c r="K67" i="10"/>
  <c r="L67" i="10"/>
  <c r="K68" i="10"/>
  <c r="L68" i="10"/>
  <c r="K69" i="10"/>
  <c r="L69" i="10"/>
  <c r="K70" i="10"/>
  <c r="L70" i="10"/>
  <c r="K71" i="10"/>
  <c r="L71" i="10"/>
  <c r="K72" i="10"/>
  <c r="L72" i="10"/>
  <c r="K73" i="10"/>
  <c r="L73" i="10"/>
  <c r="K74" i="10"/>
  <c r="L74" i="10"/>
  <c r="K75" i="10"/>
  <c r="L75" i="10"/>
  <c r="K76" i="10"/>
  <c r="L76" i="10"/>
  <c r="K77" i="10"/>
  <c r="L77" i="10"/>
  <c r="K78" i="10"/>
  <c r="L78" i="10"/>
  <c r="K79" i="10"/>
  <c r="L79" i="10"/>
  <c r="K80" i="10"/>
  <c r="L80" i="10"/>
  <c r="K81" i="10"/>
  <c r="L81" i="10"/>
  <c r="A1" i="29"/>
  <c r="B1" i="29"/>
  <c r="F1" i="29"/>
  <c r="I1" i="29"/>
  <c r="U1" i="29"/>
  <c r="AH29" i="29" s="1"/>
  <c r="O29" i="29" s="1"/>
  <c r="AI29" i="29" s="1"/>
  <c r="AK29" i="29" s="1"/>
  <c r="A3" i="29"/>
  <c r="AF22" i="29" s="1"/>
  <c r="A4" i="29"/>
  <c r="B6" i="29"/>
  <c r="A10" i="34" s="1"/>
  <c r="A30" i="34" s="1"/>
  <c r="M192" i="29"/>
  <c r="M137" i="29"/>
  <c r="M173" i="29"/>
  <c r="M216" i="29"/>
  <c r="M12" i="29"/>
  <c r="M248" i="29"/>
  <c r="M179" i="29"/>
  <c r="M120" i="29"/>
  <c r="M116" i="29"/>
  <c r="M250" i="29"/>
  <c r="M246" i="29"/>
  <c r="M245" i="29"/>
  <c r="M224" i="29"/>
  <c r="M228" i="29"/>
  <c r="N228" i="29" s="1"/>
  <c r="M222" i="29"/>
  <c r="M221" i="29"/>
  <c r="M197" i="29"/>
  <c r="M115" i="29"/>
  <c r="N115" i="29" s="1"/>
  <c r="M102" i="29"/>
  <c r="M94" i="29"/>
  <c r="M92" i="29"/>
  <c r="N92" i="29" s="1"/>
  <c r="M91" i="29"/>
  <c r="N91" i="29" s="1"/>
  <c r="M90" i="29"/>
  <c r="N90" i="29" s="1"/>
  <c r="M75" i="29"/>
  <c r="N75" i="29" s="1"/>
  <c r="M69" i="29"/>
  <c r="N69" i="29" s="1"/>
  <c r="M276" i="29"/>
  <c r="M261" i="29"/>
  <c r="M190" i="29"/>
  <c r="N190" i="29" s="1"/>
  <c r="M72" i="29"/>
  <c r="M66" i="29"/>
  <c r="N66" i="29" s="1"/>
  <c r="M131" i="29"/>
  <c r="M78" i="29"/>
  <c r="N78" i="29" s="1"/>
  <c r="M263" i="29"/>
  <c r="M136" i="29"/>
  <c r="N136" i="29" s="1"/>
  <c r="M133" i="29"/>
  <c r="M215" i="29"/>
  <c r="M129" i="29"/>
  <c r="M128" i="29"/>
  <c r="M127" i="29"/>
  <c r="M223" i="29"/>
  <c r="M219" i="29"/>
  <c r="M21" i="29"/>
  <c r="M62" i="29"/>
  <c r="M187" i="29"/>
  <c r="M217" i="29"/>
  <c r="M201" i="29"/>
  <c r="M88" i="29"/>
  <c r="M81" i="29"/>
  <c r="M79" i="29"/>
  <c r="N79" i="29" s="1"/>
  <c r="M56" i="29"/>
  <c r="M208" i="29"/>
  <c r="M39" i="29"/>
  <c r="M233" i="29"/>
  <c r="M227" i="29"/>
  <c r="M101" i="29"/>
  <c r="M93" i="29"/>
  <c r="M265" i="29"/>
  <c r="M225" i="29"/>
  <c r="N225" i="29" s="1"/>
  <c r="M184" i="29"/>
  <c r="N184" i="29" s="1"/>
  <c r="M163" i="29"/>
  <c r="N163" i="29" s="1"/>
  <c r="M37" i="29"/>
  <c r="N37" i="29" s="1"/>
  <c r="M63" i="29"/>
  <c r="M186" i="29"/>
  <c r="N186" i="29" s="1"/>
  <c r="M40" i="29"/>
  <c r="M20" i="29"/>
  <c r="AJ20" i="29"/>
  <c r="M27" i="29"/>
  <c r="M45" i="29"/>
  <c r="M68" i="29"/>
  <c r="M67" i="29"/>
  <c r="M130" i="29"/>
  <c r="M111" i="29"/>
  <c r="M207" i="29"/>
  <c r="M109" i="29"/>
  <c r="N109" i="29" s="1"/>
  <c r="M213" i="29"/>
  <c r="M28" i="29"/>
  <c r="M251" i="29"/>
  <c r="N251" i="29" s="1"/>
  <c r="M17" i="29"/>
  <c r="N17" i="29" s="1"/>
  <c r="M87" i="29"/>
  <c r="M267" i="29"/>
  <c r="M262" i="29"/>
  <c r="M198" i="29"/>
  <c r="M135" i="29"/>
  <c r="M103" i="29"/>
  <c r="N103" i="29" s="1"/>
  <c r="M99" i="29"/>
  <c r="N99" i="29" s="1"/>
  <c r="M247" i="29"/>
  <c r="M234" i="29"/>
  <c r="M110" i="29"/>
  <c r="M272" i="29"/>
  <c r="M58" i="29"/>
  <c r="M57" i="29"/>
  <c r="N26" i="29"/>
  <c r="AE26" i="29" s="1"/>
  <c r="AG26" i="29" s="1"/>
  <c r="M114" i="29"/>
  <c r="N114" i="29" s="1"/>
  <c r="M124" i="29"/>
  <c r="M54" i="29"/>
  <c r="M53" i="29"/>
  <c r="M237" i="29"/>
  <c r="M236" i="29"/>
  <c r="M77" i="29"/>
  <c r="M239" i="29"/>
  <c r="M238" i="29"/>
  <c r="M134" i="29"/>
  <c r="M14" i="29"/>
  <c r="M244" i="29"/>
  <c r="M243" i="29"/>
  <c r="M231" i="29"/>
  <c r="M89" i="29"/>
  <c r="M194" i="29"/>
  <c r="M52" i="29"/>
  <c r="M51" i="29"/>
  <c r="M277" i="29"/>
  <c r="M10" i="29"/>
  <c r="M264" i="29"/>
  <c r="M172" i="29"/>
  <c r="N172" i="29" s="1"/>
  <c r="M123" i="29"/>
  <c r="M279" i="29"/>
  <c r="M214" i="29"/>
  <c r="M126" i="29"/>
  <c r="M121" i="29"/>
  <c r="M193" i="29"/>
  <c r="M191" i="29"/>
  <c r="M74" i="29"/>
  <c r="M73" i="29"/>
  <c r="M61" i="29"/>
  <c r="M59" i="29"/>
  <c r="M268" i="29"/>
  <c r="M183" i="29"/>
  <c r="M122" i="29"/>
  <c r="M218" i="29"/>
  <c r="M11" i="29"/>
  <c r="M9" i="29"/>
  <c r="M44" i="29"/>
  <c r="N44" i="29" s="1"/>
  <c r="M118" i="29"/>
  <c r="M125" i="29"/>
  <c r="M112" i="29"/>
  <c r="M84" i="29"/>
  <c r="M83" i="29"/>
  <c r="M71" i="29"/>
  <c r="M70" i="29"/>
  <c r="M199" i="29"/>
  <c r="M252" i="29"/>
  <c r="M275" i="29"/>
  <c r="N275" i="29" s="1"/>
  <c r="M274" i="29"/>
  <c r="N274" i="29" s="1"/>
  <c r="M271" i="29"/>
  <c r="N271" i="29" s="1"/>
  <c r="M270" i="29"/>
  <c r="M269" i="29"/>
  <c r="M242" i="29"/>
  <c r="M235" i="29"/>
  <c r="M95" i="29"/>
  <c r="M260" i="29"/>
  <c r="M259" i="29"/>
  <c r="M258" i="29"/>
  <c r="M257" i="29"/>
  <c r="M256" i="29"/>
  <c r="M255" i="29"/>
  <c r="M254" i="29"/>
  <c r="M253" i="29"/>
  <c r="M50" i="29"/>
  <c r="M226" i="29"/>
  <c r="M210" i="29"/>
  <c r="M41" i="29"/>
  <c r="N41" i="29" s="1"/>
  <c r="M132" i="29"/>
  <c r="M80" i="29"/>
  <c r="N80" i="29" s="1"/>
  <c r="M113" i="29"/>
  <c r="M13" i="29"/>
  <c r="M185" i="29"/>
  <c r="M176" i="29"/>
  <c r="M174" i="29"/>
  <c r="M178" i="29"/>
  <c r="M177" i="29"/>
  <c r="M170" i="29"/>
  <c r="M108" i="29"/>
  <c r="M175" i="29"/>
  <c r="M169" i="29"/>
  <c r="M168" i="29"/>
  <c r="M167" i="29"/>
  <c r="M166" i="29"/>
  <c r="M165" i="29"/>
  <c r="M164" i="29"/>
  <c r="M241" i="29"/>
  <c r="M98" i="29"/>
  <c r="M76" i="29"/>
  <c r="M249" i="29"/>
  <c r="M240" i="29"/>
  <c r="M105" i="29"/>
  <c r="M212" i="29"/>
  <c r="M104" i="29"/>
  <c r="M106" i="29"/>
  <c r="M211" i="29"/>
  <c r="M107" i="29"/>
  <c r="M100" i="29"/>
  <c r="M97" i="29"/>
  <c r="M96" i="29"/>
  <c r="M55" i="29"/>
  <c r="M119" i="29"/>
  <c r="M180" i="29"/>
  <c r="N180" i="29" s="1"/>
  <c r="M273" i="29"/>
  <c r="M16" i="29"/>
  <c r="N16" i="29" s="1"/>
  <c r="M15" i="29"/>
  <c r="N15" i="29" s="1"/>
  <c r="M266" i="29"/>
  <c r="M206" i="29"/>
  <c r="M205" i="29"/>
  <c r="M204" i="29"/>
  <c r="M203" i="29"/>
  <c r="M158" i="29"/>
  <c r="M162" i="29"/>
  <c r="M156" i="29"/>
  <c r="M154" i="29"/>
  <c r="M155" i="29"/>
  <c r="M157" i="29"/>
  <c r="M159" i="29"/>
  <c r="M160" i="29"/>
  <c r="M161" i="29"/>
  <c r="M86" i="29"/>
  <c r="M85" i="29"/>
  <c r="M82" i="29"/>
  <c r="M49" i="29"/>
  <c r="M48" i="29"/>
  <c r="M47" i="29"/>
  <c r="M46" i="29"/>
  <c r="M43" i="29"/>
  <c r="M42" i="29"/>
  <c r="M19" i="29"/>
  <c r="M18" i="29"/>
  <c r="M138" i="29"/>
  <c r="M278" i="29"/>
  <c r="M139" i="29"/>
  <c r="M140" i="29"/>
  <c r="M141" i="29"/>
  <c r="M142" i="29"/>
  <c r="M143" i="29"/>
  <c r="M144" i="29"/>
  <c r="M280" i="29"/>
  <c r="M145" i="29"/>
  <c r="M146" i="29"/>
  <c r="M147" i="29"/>
  <c r="M148" i="29"/>
  <c r="M149" i="29"/>
  <c r="M150" i="29"/>
  <c r="M151" i="29"/>
  <c r="M152" i="29"/>
  <c r="M153" i="29"/>
  <c r="E8" i="17"/>
  <c r="Z27" i="30"/>
  <c r="T34" i="30"/>
  <c r="V34" i="30" s="1"/>
  <c r="X34" i="30" s="1"/>
  <c r="AD44" i="30"/>
  <c r="AC22" i="30"/>
  <c r="T33" i="30"/>
  <c r="V33" i="30"/>
  <c r="X33" i="30" s="1"/>
  <c r="X32" i="30"/>
  <c r="AC28" i="30"/>
  <c r="W44" i="30"/>
  <c r="Y44" i="30" s="1"/>
  <c r="AC32" i="30"/>
  <c r="AC27" i="30"/>
  <c r="AC25" i="30"/>
  <c r="T25" i="30"/>
  <c r="V25" i="30"/>
  <c r="X25" i="30" s="1"/>
  <c r="AC35" i="30"/>
  <c r="AC29" i="30"/>
  <c r="U28" i="30"/>
  <c r="T28" i="30" s="1"/>
  <c r="V28" i="30" s="1"/>
  <c r="X28" i="30" s="1"/>
  <c r="U35" i="30"/>
  <c r="T35" i="30" s="1"/>
  <c r="V35" i="30" s="1"/>
  <c r="X35" i="30" s="1"/>
  <c r="Z29" i="30"/>
  <c r="U29" i="30"/>
  <c r="T29" i="30" s="1"/>
  <c r="V29" i="30" s="1"/>
  <c r="X29" i="30" s="1"/>
  <c r="Z22" i="30"/>
  <c r="U22" i="30"/>
  <c r="T22" i="30"/>
  <c r="V22" i="30" s="1"/>
  <c r="X22" i="30" s="1"/>
  <c r="T27" i="30"/>
  <c r="V27" i="30"/>
  <c r="X27" i="30" s="1"/>
  <c r="N24" i="29"/>
  <c r="AE24" i="29" s="1"/>
  <c r="AG24" i="29" s="1"/>
  <c r="AF158" i="29" l="1"/>
  <c r="AF9" i="29"/>
  <c r="Z22" i="29"/>
  <c r="AA22" i="29"/>
  <c r="Y22" i="29"/>
  <c r="AB22" i="29"/>
  <c r="AF227" i="29"/>
  <c r="AF101" i="29"/>
  <c r="AF116" i="29"/>
  <c r="AF110" i="29"/>
  <c r="Z110" i="29" s="1"/>
  <c r="AH31" i="29"/>
  <c r="O31" i="29" s="1"/>
  <c r="AI31" i="29" s="1"/>
  <c r="AK31" i="29" s="1"/>
  <c r="AH32" i="29"/>
  <c r="AF11" i="29"/>
  <c r="Y11" i="29" s="1"/>
  <c r="AF21" i="29"/>
  <c r="Y21" i="29" s="1"/>
  <c r="AF36" i="29"/>
  <c r="Z36" i="29" s="1"/>
  <c r="AF45" i="29"/>
  <c r="Z45" i="29" s="1"/>
  <c r="AF34" i="29"/>
  <c r="AF181" i="29"/>
  <c r="Z181" i="29" s="1"/>
  <c r="AF261" i="29"/>
  <c r="AF104" i="29"/>
  <c r="AA104" i="29" s="1"/>
  <c r="AF182" i="29"/>
  <c r="Z182" i="29" s="1"/>
  <c r="AF156" i="29"/>
  <c r="Z156" i="29" s="1"/>
  <c r="AF142" i="29"/>
  <c r="Y142" i="29" s="1"/>
  <c r="AF155" i="29"/>
  <c r="Y155" i="29" s="1"/>
  <c r="AF139" i="29"/>
  <c r="Y139" i="29" s="1"/>
  <c r="AF230" i="29"/>
  <c r="AA230" i="29" s="1"/>
  <c r="AF157" i="29"/>
  <c r="Y157" i="29" s="1"/>
  <c r="AF278" i="29"/>
  <c r="Z278" i="29" s="1"/>
  <c r="AF205" i="29"/>
  <c r="Y205" i="29" s="1"/>
  <c r="AF273" i="29"/>
  <c r="Z273" i="29" s="1"/>
  <c r="AF109" i="29"/>
  <c r="Y109" i="29" s="1"/>
  <c r="AF163" i="29"/>
  <c r="Y163" i="29" s="1"/>
  <c r="AF251" i="29"/>
  <c r="Z251" i="29" s="1"/>
  <c r="AH22" i="29"/>
  <c r="O22" i="29" s="1"/>
  <c r="AI22" i="29" s="1"/>
  <c r="AK22" i="29" s="1"/>
  <c r="AH30" i="29"/>
  <c r="O30" i="29" s="1"/>
  <c r="AI30" i="29" s="1"/>
  <c r="AK30" i="29" s="1"/>
  <c r="AF103" i="29"/>
  <c r="Z103" i="29" s="1"/>
  <c r="AF223" i="29"/>
  <c r="Z223" i="29" s="1"/>
  <c r="AF75" i="29"/>
  <c r="Z75" i="29" s="1"/>
  <c r="AF190" i="29"/>
  <c r="Z190" i="29" s="1"/>
  <c r="AF188" i="29"/>
  <c r="AF271" i="29"/>
  <c r="Y271" i="29" s="1"/>
  <c r="AF184" i="29"/>
  <c r="Y184" i="29" s="1"/>
  <c r="AF277" i="29"/>
  <c r="Z277" i="29" s="1"/>
  <c r="AF130" i="29"/>
  <c r="AF131" i="29"/>
  <c r="Z131" i="29" s="1"/>
  <c r="AF12" i="29"/>
  <c r="Z12" i="29" s="1"/>
  <c r="AF232" i="29"/>
  <c r="Z232" i="29" s="1"/>
  <c r="AF276" i="29"/>
  <c r="Y276" i="29" s="1"/>
  <c r="AF132" i="29"/>
  <c r="AF136" i="29"/>
  <c r="Y136" i="29" s="1"/>
  <c r="AF234" i="29"/>
  <c r="Y234" i="29" s="1"/>
  <c r="AF229" i="29"/>
  <c r="AF47" i="29"/>
  <c r="Y47" i="29" s="1"/>
  <c r="AF48" i="29"/>
  <c r="Z48" i="29" s="1"/>
  <c r="Y202" i="29"/>
  <c r="AC202" i="29" s="1"/>
  <c r="AF26" i="29"/>
  <c r="AA26" i="29" s="1"/>
  <c r="AF68" i="29"/>
  <c r="Y68" i="29" s="1"/>
  <c r="AF46" i="29"/>
  <c r="Z46" i="29" s="1"/>
  <c r="Y64" i="29"/>
  <c r="AC64" i="29" s="1"/>
  <c r="Z38" i="29"/>
  <c r="AC38" i="29" s="1"/>
  <c r="AF240" i="29"/>
  <c r="Z240" i="29" s="1"/>
  <c r="Z35" i="29"/>
  <c r="AC35" i="29" s="1"/>
  <c r="AE221" i="29"/>
  <c r="AG221" i="29" s="1"/>
  <c r="Z221" i="29"/>
  <c r="Y221" i="29"/>
  <c r="AE120" i="29"/>
  <c r="AG120" i="29" s="1"/>
  <c r="Y120" i="29"/>
  <c r="Z120" i="29"/>
  <c r="AE149" i="29"/>
  <c r="AG149" i="29" s="1"/>
  <c r="Z149" i="29"/>
  <c r="Y149" i="29"/>
  <c r="AE142" i="29"/>
  <c r="AG142" i="29" s="1"/>
  <c r="AE42" i="29"/>
  <c r="AG42" i="29" s="1"/>
  <c r="Z42" i="29"/>
  <c r="Y42" i="29"/>
  <c r="AE86" i="29"/>
  <c r="AG86" i="29" s="1"/>
  <c r="Y86" i="29"/>
  <c r="Z86" i="29"/>
  <c r="AE162" i="29"/>
  <c r="AG162" i="29" s="1"/>
  <c r="Y162" i="29"/>
  <c r="Z162" i="29"/>
  <c r="AE205" i="29"/>
  <c r="AG205" i="29" s="1"/>
  <c r="AE152" i="29"/>
  <c r="AG152" i="29" s="1"/>
  <c r="Y152" i="29"/>
  <c r="Z152" i="29"/>
  <c r="AE148" i="29"/>
  <c r="AG148" i="29" s="1"/>
  <c r="Y148" i="29"/>
  <c r="Z148" i="29"/>
  <c r="AE141" i="29"/>
  <c r="AG141" i="29" s="1"/>
  <c r="Y141" i="29"/>
  <c r="Z141" i="29"/>
  <c r="AE138" i="29"/>
  <c r="AG138" i="29" s="1"/>
  <c r="AE49" i="29"/>
  <c r="AG49" i="29" s="1"/>
  <c r="Y49" i="29"/>
  <c r="Z49" i="29"/>
  <c r="AE155" i="29"/>
  <c r="AG155" i="29" s="1"/>
  <c r="AE158" i="29"/>
  <c r="AG158" i="29" s="1"/>
  <c r="Z158" i="29"/>
  <c r="Y158" i="29"/>
  <c r="AE266" i="29"/>
  <c r="AG266" i="29" s="1"/>
  <c r="Y266" i="29"/>
  <c r="Z266" i="29"/>
  <c r="AE151" i="29"/>
  <c r="AG151" i="29" s="1"/>
  <c r="Z151" i="29"/>
  <c r="Y151" i="29"/>
  <c r="AE147" i="29"/>
  <c r="AG147" i="29" s="1"/>
  <c r="Z147" i="29"/>
  <c r="Y147" i="29"/>
  <c r="AE144" i="29"/>
  <c r="AG144" i="29" s="1"/>
  <c r="Z144" i="29"/>
  <c r="Y144" i="29"/>
  <c r="AE140" i="29"/>
  <c r="AG140" i="29" s="1"/>
  <c r="Z140" i="29"/>
  <c r="Y140" i="29"/>
  <c r="AE18" i="29"/>
  <c r="AG18" i="29" s="1"/>
  <c r="Z18" i="29"/>
  <c r="Y18" i="29"/>
  <c r="AE46" i="29"/>
  <c r="AG46" i="29" s="1"/>
  <c r="AE82" i="29"/>
  <c r="AG82" i="29" s="1"/>
  <c r="Z82" i="29"/>
  <c r="Y82" i="29"/>
  <c r="AE160" i="29"/>
  <c r="AG160" i="29" s="1"/>
  <c r="Z160" i="29"/>
  <c r="Y160" i="29"/>
  <c r="AE154" i="29"/>
  <c r="AG154" i="29" s="1"/>
  <c r="AE203" i="29"/>
  <c r="AG203" i="29" s="1"/>
  <c r="Y203" i="29"/>
  <c r="Z203" i="29"/>
  <c r="N113" i="29"/>
  <c r="AE135" i="29"/>
  <c r="AG135" i="29" s="1"/>
  <c r="Z135" i="29"/>
  <c r="Y135" i="29"/>
  <c r="AA189" i="29"/>
  <c r="AB189" i="29"/>
  <c r="AE173" i="29"/>
  <c r="AG173" i="29" s="1"/>
  <c r="Z173" i="29"/>
  <c r="Y173" i="29"/>
  <c r="A14" i="17"/>
  <c r="AF23" i="29"/>
  <c r="Y23" i="29" s="1"/>
  <c r="AE153" i="29"/>
  <c r="AG153" i="29" s="1"/>
  <c r="Z153" i="29"/>
  <c r="Y153" i="29"/>
  <c r="AE145" i="29"/>
  <c r="AG145" i="29" s="1"/>
  <c r="Y145" i="29"/>
  <c r="Z145" i="29"/>
  <c r="AE278" i="29"/>
  <c r="AG278" i="29" s="1"/>
  <c r="AE48" i="29"/>
  <c r="AG48" i="29" s="1"/>
  <c r="AE157" i="29"/>
  <c r="AG157" i="29" s="1"/>
  <c r="AE280" i="29"/>
  <c r="AG280" i="29" s="1"/>
  <c r="AE43" i="29"/>
  <c r="AG43" i="29" s="1"/>
  <c r="Y43" i="29"/>
  <c r="Z43" i="29"/>
  <c r="AE161" i="29"/>
  <c r="AG161" i="29" s="1"/>
  <c r="Y161" i="29"/>
  <c r="Z161" i="29"/>
  <c r="AE206" i="29"/>
  <c r="AG206" i="29" s="1"/>
  <c r="Z206" i="29"/>
  <c r="Y206" i="29"/>
  <c r="N227" i="29"/>
  <c r="AE227" i="29" s="1"/>
  <c r="AG227" i="29" s="1"/>
  <c r="AE150" i="29"/>
  <c r="AG150" i="29" s="1"/>
  <c r="Z150" i="29"/>
  <c r="Y150" i="29"/>
  <c r="AE146" i="29"/>
  <c r="AG146" i="29" s="1"/>
  <c r="Y146" i="29"/>
  <c r="Z146" i="29"/>
  <c r="AE143" i="29"/>
  <c r="AG143" i="29" s="1"/>
  <c r="Y143" i="29"/>
  <c r="Z143" i="29"/>
  <c r="AE139" i="29"/>
  <c r="AG139" i="29" s="1"/>
  <c r="AE19" i="29"/>
  <c r="AG19" i="29" s="1"/>
  <c r="Z19" i="29"/>
  <c r="Y19" i="29"/>
  <c r="AE47" i="29"/>
  <c r="AG47" i="29" s="1"/>
  <c r="AE85" i="29"/>
  <c r="AG85" i="29" s="1"/>
  <c r="Y85" i="29"/>
  <c r="Z85" i="29"/>
  <c r="AE159" i="29"/>
  <c r="AG159" i="29" s="1"/>
  <c r="Y159" i="29"/>
  <c r="Z159" i="29"/>
  <c r="AE156" i="29"/>
  <c r="AG156" i="29" s="1"/>
  <c r="AE204" i="29"/>
  <c r="AG204" i="29" s="1"/>
  <c r="Z204" i="29"/>
  <c r="Y204" i="29"/>
  <c r="N193" i="29"/>
  <c r="AE193" i="29" s="1"/>
  <c r="AG193" i="29" s="1"/>
  <c r="N10" i="29"/>
  <c r="AE109" i="29"/>
  <c r="AG109" i="29" s="1"/>
  <c r="AE189" i="29"/>
  <c r="AG189" i="29" s="1"/>
  <c r="AH240" i="29"/>
  <c r="O240" i="29" s="1"/>
  <c r="AI240" i="29" s="1"/>
  <c r="AK240" i="29" s="1"/>
  <c r="AH137" i="29"/>
  <c r="O137" i="29" s="1"/>
  <c r="AI137" i="29" s="1"/>
  <c r="AK137" i="29" s="1"/>
  <c r="AH106" i="29"/>
  <c r="O106" i="29" s="1"/>
  <c r="AI106" i="29" s="1"/>
  <c r="AK106" i="29" s="1"/>
  <c r="AH208" i="29"/>
  <c r="O208" i="29" s="1"/>
  <c r="AI208" i="29" s="1"/>
  <c r="AK208" i="29" s="1"/>
  <c r="AH107" i="29"/>
  <c r="O107" i="29" s="1"/>
  <c r="AI107" i="29" s="1"/>
  <c r="AK107" i="29" s="1"/>
  <c r="AH63" i="29"/>
  <c r="O63" i="29" s="1"/>
  <c r="AI63" i="29" s="1"/>
  <c r="AK63" i="29" s="1"/>
  <c r="AH38" i="29"/>
  <c r="O38" i="29" s="1"/>
  <c r="AI38" i="29" s="1"/>
  <c r="AK38" i="29" s="1"/>
  <c r="AH201" i="29"/>
  <c r="O201" i="29" s="1"/>
  <c r="AI201" i="29" s="1"/>
  <c r="AK201" i="29" s="1"/>
  <c r="AH171" i="29"/>
  <c r="O171" i="29" s="1"/>
  <c r="AI171" i="29" s="1"/>
  <c r="AK171" i="29" s="1"/>
  <c r="AH187" i="29"/>
  <c r="O187" i="29" s="1"/>
  <c r="AI187" i="29" s="1"/>
  <c r="AK187" i="29" s="1"/>
  <c r="AH211" i="29"/>
  <c r="O211" i="29" s="1"/>
  <c r="AI211" i="29" s="1"/>
  <c r="AK211" i="29" s="1"/>
  <c r="AH127" i="29"/>
  <c r="O127" i="29" s="1"/>
  <c r="AI127" i="29" s="1"/>
  <c r="AK127" i="29" s="1"/>
  <c r="AH96" i="29"/>
  <c r="O96" i="29" s="1"/>
  <c r="AI96" i="29" s="1"/>
  <c r="AK96" i="29" s="1"/>
  <c r="AH45" i="29"/>
  <c r="O45" i="29" s="1"/>
  <c r="AI45" i="29" s="1"/>
  <c r="AK45" i="29" s="1"/>
  <c r="AH26" i="29"/>
  <c r="O26" i="29" s="1"/>
  <c r="AI26" i="29" s="1"/>
  <c r="AK26" i="29" s="1"/>
  <c r="AH202" i="29"/>
  <c r="O202" i="29" s="1"/>
  <c r="AI202" i="29" s="1"/>
  <c r="AK202" i="29" s="1"/>
  <c r="AH35" i="29"/>
  <c r="O35" i="29" s="1"/>
  <c r="AI35" i="29" s="1"/>
  <c r="AK35" i="29" s="1"/>
  <c r="AH117" i="29"/>
  <c r="O117" i="29" s="1"/>
  <c r="AI117" i="29" s="1"/>
  <c r="AK117" i="29" s="1"/>
  <c r="AH179" i="29"/>
  <c r="O179" i="29" s="1"/>
  <c r="AI179" i="29" s="1"/>
  <c r="AK179" i="29" s="1"/>
  <c r="AH24" i="29"/>
  <c r="AH276" i="29"/>
  <c r="O276" i="29" s="1"/>
  <c r="AI276" i="29" s="1"/>
  <c r="AK276" i="29" s="1"/>
  <c r="AH128" i="29"/>
  <c r="O128" i="29" s="1"/>
  <c r="AI128" i="29" s="1"/>
  <c r="AK128" i="29" s="1"/>
  <c r="AH97" i="29"/>
  <c r="O97" i="29" s="1"/>
  <c r="AI97" i="29" s="1"/>
  <c r="AK97" i="29" s="1"/>
  <c r="AH129" i="29"/>
  <c r="O129" i="29" s="1"/>
  <c r="AI129" i="29" s="1"/>
  <c r="AK129" i="29" s="1"/>
  <c r="AH88" i="29"/>
  <c r="O88" i="29" s="1"/>
  <c r="AI88" i="29" s="1"/>
  <c r="AK88" i="29" s="1"/>
  <c r="AH111" i="29"/>
  <c r="O111" i="29" s="1"/>
  <c r="AI111" i="29" s="1"/>
  <c r="AK111" i="29" s="1"/>
  <c r="AH84" i="29"/>
  <c r="O84" i="29" s="1"/>
  <c r="AI84" i="29" s="1"/>
  <c r="AK84" i="29" s="1"/>
  <c r="AH44" i="29"/>
  <c r="O44" i="29" s="1"/>
  <c r="AI44" i="29" s="1"/>
  <c r="AK44" i="29" s="1"/>
  <c r="AH267" i="29"/>
  <c r="O267" i="29" s="1"/>
  <c r="AI267" i="29" s="1"/>
  <c r="AK267" i="29" s="1"/>
  <c r="AH229" i="29"/>
  <c r="O229" i="29" s="1"/>
  <c r="AI229" i="29" s="1"/>
  <c r="AK229" i="29" s="1"/>
  <c r="AH100" i="29"/>
  <c r="O100" i="29" s="1"/>
  <c r="AI100" i="29" s="1"/>
  <c r="AK100" i="29" s="1"/>
  <c r="AH55" i="29"/>
  <c r="O55" i="29" s="1"/>
  <c r="AI55" i="29" s="1"/>
  <c r="AK55" i="29" s="1"/>
  <c r="AH265" i="29"/>
  <c r="O265" i="29" s="1"/>
  <c r="AI265" i="29" s="1"/>
  <c r="AK265" i="29" s="1"/>
  <c r="AH119" i="29"/>
  <c r="O119" i="29" s="1"/>
  <c r="AI119" i="29" s="1"/>
  <c r="AK119" i="29" s="1"/>
  <c r="AH125" i="29"/>
  <c r="O125" i="29" s="1"/>
  <c r="AI125" i="29" s="1"/>
  <c r="AK125" i="29" s="1"/>
  <c r="AH251" i="29"/>
  <c r="O251" i="29" s="1"/>
  <c r="AI251" i="29" s="1"/>
  <c r="AK251" i="29" s="1"/>
  <c r="AH248" i="29"/>
  <c r="O248" i="29" s="1"/>
  <c r="AI248" i="29" s="1"/>
  <c r="AK248" i="29" s="1"/>
  <c r="AH239" i="29"/>
  <c r="O239" i="29" s="1"/>
  <c r="AI239" i="29" s="1"/>
  <c r="AK239" i="29" s="1"/>
  <c r="AH183" i="29"/>
  <c r="O183" i="29" s="1"/>
  <c r="AI183" i="29" s="1"/>
  <c r="AK183" i="29" s="1"/>
  <c r="AH116" i="29"/>
  <c r="O116" i="29" s="1"/>
  <c r="AI116" i="29" s="1"/>
  <c r="AK116" i="29" s="1"/>
  <c r="AH56" i="29"/>
  <c r="O56" i="29" s="1"/>
  <c r="AI56" i="29" s="1"/>
  <c r="AK56" i="29" s="1"/>
  <c r="AH34" i="29"/>
  <c r="O34" i="29" s="1"/>
  <c r="AI34" i="29" s="1"/>
  <c r="AK34" i="29" s="1"/>
  <c r="AH64" i="29"/>
  <c r="O64" i="29" s="1"/>
  <c r="AI64" i="29" s="1"/>
  <c r="AK64" i="29" s="1"/>
  <c r="AH83" i="29"/>
  <c r="O83" i="29" s="1"/>
  <c r="AI83" i="29" s="1"/>
  <c r="AK83" i="29" s="1"/>
  <c r="AH277" i="29"/>
  <c r="O277" i="29" s="1"/>
  <c r="AI277" i="29" s="1"/>
  <c r="AK277" i="29" s="1"/>
  <c r="AH238" i="29"/>
  <c r="O238" i="29" s="1"/>
  <c r="AI238" i="29" s="1"/>
  <c r="AK238" i="29" s="1"/>
  <c r="AH134" i="29"/>
  <c r="O134" i="29" s="1"/>
  <c r="AI134" i="29" s="1"/>
  <c r="AK134" i="29" s="1"/>
  <c r="AH199" i="29"/>
  <c r="O199" i="29" s="1"/>
  <c r="AI199" i="29" s="1"/>
  <c r="AK199" i="29" s="1"/>
  <c r="AH110" i="29"/>
  <c r="O110" i="29" s="1"/>
  <c r="AI110" i="29" s="1"/>
  <c r="AK110" i="29" s="1"/>
  <c r="AH230" i="29"/>
  <c r="O230" i="29" s="1"/>
  <c r="AI230" i="29" s="1"/>
  <c r="AK230" i="29" s="1"/>
  <c r="AH136" i="29"/>
  <c r="O136" i="29" s="1"/>
  <c r="AI136" i="29" s="1"/>
  <c r="AK136" i="29" s="1"/>
  <c r="AH252" i="29"/>
  <c r="O252" i="29" s="1"/>
  <c r="AI252" i="29" s="1"/>
  <c r="AK252" i="29" s="1"/>
  <c r="AH114" i="29"/>
  <c r="O114" i="29" s="1"/>
  <c r="AI114" i="29" s="1"/>
  <c r="AK114" i="29" s="1"/>
  <c r="AH12" i="29"/>
  <c r="O12" i="29" s="1"/>
  <c r="AI12" i="29" s="1"/>
  <c r="AK12" i="29" s="1"/>
  <c r="AH33" i="29"/>
  <c r="O33" i="29" s="1"/>
  <c r="AI33" i="29" s="1"/>
  <c r="AK33" i="29" s="1"/>
  <c r="AH259" i="29"/>
  <c r="O259" i="29" s="1"/>
  <c r="AI259" i="29" s="1"/>
  <c r="AK259" i="29" s="1"/>
  <c r="AH71" i="29"/>
  <c r="O71" i="29" s="1"/>
  <c r="AI71" i="29" s="1"/>
  <c r="AK71" i="29" s="1"/>
  <c r="AH237" i="29"/>
  <c r="O237" i="29" s="1"/>
  <c r="AI237" i="29" s="1"/>
  <c r="AK237" i="29" s="1"/>
  <c r="AH236" i="29"/>
  <c r="O236" i="29" s="1"/>
  <c r="AI236" i="29" s="1"/>
  <c r="AK236" i="29" s="1"/>
  <c r="AH53" i="29"/>
  <c r="O53" i="29" s="1"/>
  <c r="AI53" i="29" s="1"/>
  <c r="AK53" i="29" s="1"/>
  <c r="AH222" i="29"/>
  <c r="O222" i="29" s="1"/>
  <c r="AI222" i="29" s="1"/>
  <c r="AK222" i="29" s="1"/>
  <c r="AH223" i="29"/>
  <c r="O223" i="29" s="1"/>
  <c r="AI223" i="29" s="1"/>
  <c r="AK223" i="29" s="1"/>
  <c r="AH37" i="29"/>
  <c r="O37" i="29" s="1"/>
  <c r="AI37" i="29" s="1"/>
  <c r="AK37" i="29" s="1"/>
  <c r="AH112" i="29"/>
  <c r="O112" i="29" s="1"/>
  <c r="AI112" i="29" s="1"/>
  <c r="AK112" i="29" s="1"/>
  <c r="AH180" i="29"/>
  <c r="O180" i="29" s="1"/>
  <c r="AI180" i="29" s="1"/>
  <c r="AK180" i="29" s="1"/>
  <c r="AH194" i="29"/>
  <c r="O194" i="29" s="1"/>
  <c r="AI194" i="29" s="1"/>
  <c r="AK194" i="29" s="1"/>
  <c r="AH256" i="29"/>
  <c r="O256" i="29" s="1"/>
  <c r="AI256" i="29" s="1"/>
  <c r="AK256" i="29" s="1"/>
  <c r="AH185" i="29"/>
  <c r="O185" i="29" s="1"/>
  <c r="AI185" i="29" s="1"/>
  <c r="AK185" i="29" s="1"/>
  <c r="AH197" i="29"/>
  <c r="O197" i="29" s="1"/>
  <c r="AI197" i="29" s="1"/>
  <c r="AK197" i="29" s="1"/>
  <c r="AH99" i="29"/>
  <c r="O99" i="29" s="1"/>
  <c r="AI99" i="29" s="1"/>
  <c r="AK99" i="29" s="1"/>
  <c r="AH247" i="29"/>
  <c r="O247" i="29" s="1"/>
  <c r="AI247" i="29" s="1"/>
  <c r="AK247" i="29" s="1"/>
  <c r="AH273" i="29"/>
  <c r="O273" i="29" s="1"/>
  <c r="AI273" i="29" s="1"/>
  <c r="AK273" i="29" s="1"/>
  <c r="AH220" i="29"/>
  <c r="O220" i="29" s="1"/>
  <c r="AI220" i="29" s="1"/>
  <c r="AK220" i="29" s="1"/>
  <c r="AH186" i="29"/>
  <c r="O186" i="29" s="1"/>
  <c r="AI186" i="29" s="1"/>
  <c r="AK186" i="29" s="1"/>
  <c r="AH209" i="29"/>
  <c r="O209" i="29" s="1"/>
  <c r="AI209" i="29" s="1"/>
  <c r="AK209" i="29" s="1"/>
  <c r="AH79" i="29"/>
  <c r="O79" i="29" s="1"/>
  <c r="AI79" i="29" s="1"/>
  <c r="AK79" i="29" s="1"/>
  <c r="AH272" i="29"/>
  <c r="O272" i="29" s="1"/>
  <c r="AI272" i="29" s="1"/>
  <c r="AK272" i="29" s="1"/>
  <c r="AH89" i="29"/>
  <c r="O89" i="29" s="1"/>
  <c r="AI89" i="29" s="1"/>
  <c r="AK89" i="29" s="1"/>
  <c r="AH257" i="29"/>
  <c r="O257" i="29" s="1"/>
  <c r="AI257" i="29" s="1"/>
  <c r="AK257" i="29" s="1"/>
  <c r="AH253" i="29"/>
  <c r="O253" i="29" s="1"/>
  <c r="AI253" i="29" s="1"/>
  <c r="AK253" i="29" s="1"/>
  <c r="AH181" i="29"/>
  <c r="O181" i="29" s="1"/>
  <c r="AI181" i="29" s="1"/>
  <c r="AK181" i="29" s="1"/>
  <c r="AH94" i="29"/>
  <c r="O94" i="29" s="1"/>
  <c r="AI94" i="29" s="1"/>
  <c r="AK94" i="29" s="1"/>
  <c r="AH234" i="29"/>
  <c r="O234" i="29" s="1"/>
  <c r="AI234" i="29" s="1"/>
  <c r="AK234" i="29" s="1"/>
  <c r="AH246" i="29"/>
  <c r="O246" i="29" s="1"/>
  <c r="AI246" i="29" s="1"/>
  <c r="AK246" i="29" s="1"/>
  <c r="AH228" i="29"/>
  <c r="O228" i="29" s="1"/>
  <c r="AI228" i="29" s="1"/>
  <c r="AK228" i="29" s="1"/>
  <c r="AH195" i="29"/>
  <c r="O195" i="29" s="1"/>
  <c r="AI195" i="29" s="1"/>
  <c r="AK195" i="29" s="1"/>
  <c r="AH90" i="29"/>
  <c r="O90" i="29" s="1"/>
  <c r="AI90" i="29" s="1"/>
  <c r="AK90" i="29" s="1"/>
  <c r="AH189" i="29"/>
  <c r="O189" i="29" s="1"/>
  <c r="AI189" i="29" s="1"/>
  <c r="AK189" i="29" s="1"/>
  <c r="AH72" i="29"/>
  <c r="O72" i="29" s="1"/>
  <c r="AI72" i="29" s="1"/>
  <c r="AK72" i="29" s="1"/>
  <c r="AH15" i="29"/>
  <c r="O15" i="29" s="1"/>
  <c r="AI15" i="29" s="1"/>
  <c r="AK15" i="29" s="1"/>
  <c r="AH213" i="29"/>
  <c r="O213" i="29" s="1"/>
  <c r="AI213" i="29" s="1"/>
  <c r="AK213" i="29" s="1"/>
  <c r="AH41" i="29"/>
  <c r="O41" i="29" s="1"/>
  <c r="AI41" i="29" s="1"/>
  <c r="AK41" i="29" s="1"/>
  <c r="AH126" i="29"/>
  <c r="O126" i="29" s="1"/>
  <c r="AI126" i="29" s="1"/>
  <c r="AK126" i="29" s="1"/>
  <c r="AH262" i="29"/>
  <c r="O262" i="29" s="1"/>
  <c r="AI262" i="29" s="1"/>
  <c r="AK262" i="29" s="1"/>
  <c r="AH95" i="29"/>
  <c r="O95" i="29" s="1"/>
  <c r="AI95" i="29" s="1"/>
  <c r="AK95" i="29" s="1"/>
  <c r="AH101" i="29"/>
  <c r="O101" i="29" s="1"/>
  <c r="AI101" i="29" s="1"/>
  <c r="AK101" i="29" s="1"/>
  <c r="AH225" i="29"/>
  <c r="O225" i="29" s="1"/>
  <c r="AI225" i="29" s="1"/>
  <c r="AK225" i="29" s="1"/>
  <c r="AH103" i="29"/>
  <c r="O103" i="29" s="1"/>
  <c r="AI103" i="29" s="1"/>
  <c r="AK103" i="29" s="1"/>
  <c r="AH172" i="29"/>
  <c r="O172" i="29" s="1"/>
  <c r="AI172" i="29" s="1"/>
  <c r="AK172" i="29" s="1"/>
  <c r="AH27" i="29"/>
  <c r="O27" i="29" s="1"/>
  <c r="AI27" i="29" s="1"/>
  <c r="AK27" i="29" s="1"/>
  <c r="AH57" i="29"/>
  <c r="O57" i="29" s="1"/>
  <c r="AI57" i="29" s="1"/>
  <c r="AK57" i="29" s="1"/>
  <c r="AH254" i="29"/>
  <c r="O254" i="29" s="1"/>
  <c r="AI254" i="29" s="1"/>
  <c r="AK254" i="29" s="1"/>
  <c r="AH219" i="29"/>
  <c r="O219" i="29" s="1"/>
  <c r="AI219" i="29" s="1"/>
  <c r="AK219" i="29" s="1"/>
  <c r="AH102" i="29"/>
  <c r="O102" i="29" s="1"/>
  <c r="AI102" i="29" s="1"/>
  <c r="AK102" i="29" s="1"/>
  <c r="AH200" i="29"/>
  <c r="O200" i="29" s="1"/>
  <c r="AI200" i="29" s="1"/>
  <c r="AK200" i="29" s="1"/>
  <c r="AH25" i="29"/>
  <c r="O25" i="29" s="1"/>
  <c r="AI25" i="29" s="1"/>
  <c r="AK25" i="29" s="1"/>
  <c r="AH14" i="29"/>
  <c r="O14" i="29" s="1"/>
  <c r="AI14" i="29" s="1"/>
  <c r="AK14" i="29" s="1"/>
  <c r="AH58" i="29"/>
  <c r="O58" i="29" s="1"/>
  <c r="AI58" i="29" s="1"/>
  <c r="AK58" i="29" s="1"/>
  <c r="AH215" i="29"/>
  <c r="O215" i="29" s="1"/>
  <c r="AI215" i="29" s="1"/>
  <c r="AK215" i="29" s="1"/>
  <c r="AH224" i="29"/>
  <c r="O224" i="29" s="1"/>
  <c r="AI224" i="29" s="1"/>
  <c r="AK224" i="29" s="1"/>
  <c r="AH250" i="29"/>
  <c r="O250" i="29" s="1"/>
  <c r="AI250" i="29" s="1"/>
  <c r="AK250" i="29" s="1"/>
  <c r="AH17" i="29"/>
  <c r="O17" i="29" s="1"/>
  <c r="AI17" i="29" s="1"/>
  <c r="AK17" i="29" s="1"/>
  <c r="AH216" i="29"/>
  <c r="O216" i="29" s="1"/>
  <c r="AI216" i="29" s="1"/>
  <c r="AK216" i="29" s="1"/>
  <c r="AH91" i="29"/>
  <c r="O91" i="29" s="1"/>
  <c r="AI91" i="29" s="1"/>
  <c r="AK91" i="29" s="1"/>
  <c r="AH188" i="29"/>
  <c r="O188" i="29" s="1"/>
  <c r="AI188" i="29" s="1"/>
  <c r="AK188" i="29" s="1"/>
  <c r="AH69" i="29"/>
  <c r="O69" i="29" s="1"/>
  <c r="AI69" i="29" s="1"/>
  <c r="AK69" i="29" s="1"/>
  <c r="AH77" i="29"/>
  <c r="O77" i="29" s="1"/>
  <c r="AI77" i="29" s="1"/>
  <c r="AK77" i="29" s="1"/>
  <c r="AH10" i="29"/>
  <c r="O10" i="29" s="1"/>
  <c r="AI10" i="29" s="1"/>
  <c r="AK10" i="29" s="1"/>
  <c r="AH182" i="29"/>
  <c r="O182" i="29" s="1"/>
  <c r="AI182" i="29" s="1"/>
  <c r="AK182" i="29" s="1"/>
  <c r="AH264" i="29"/>
  <c r="O264" i="29" s="1"/>
  <c r="AI264" i="29" s="1"/>
  <c r="AK264" i="29" s="1"/>
  <c r="AH51" i="29"/>
  <c r="O51" i="29" s="1"/>
  <c r="AI51" i="29" s="1"/>
  <c r="AK51" i="29" s="1"/>
  <c r="AH132" i="29"/>
  <c r="O132" i="29" s="1"/>
  <c r="AI132" i="29" s="1"/>
  <c r="AK132" i="29" s="1"/>
  <c r="AH169" i="29"/>
  <c r="O169" i="29" s="1"/>
  <c r="AI169" i="29" s="1"/>
  <c r="AK169" i="29" s="1"/>
  <c r="AH21" i="29"/>
  <c r="O21" i="29" s="1"/>
  <c r="AI21" i="29" s="1"/>
  <c r="AK21" i="29" s="1"/>
  <c r="AH81" i="29"/>
  <c r="O81" i="29" s="1"/>
  <c r="AI81" i="29" s="1"/>
  <c r="AK81" i="29" s="1"/>
  <c r="AH263" i="29"/>
  <c r="O263" i="29" s="1"/>
  <c r="AI263" i="29" s="1"/>
  <c r="AK263" i="29" s="1"/>
  <c r="AH54" i="29"/>
  <c r="O54" i="29" s="1"/>
  <c r="AI54" i="29" s="1"/>
  <c r="AK54" i="29" s="1"/>
  <c r="AH227" i="29"/>
  <c r="O227" i="29" s="1"/>
  <c r="AI227" i="29" s="1"/>
  <c r="AK227" i="29" s="1"/>
  <c r="AH93" i="29"/>
  <c r="O93" i="29" s="1"/>
  <c r="AI93" i="29" s="1"/>
  <c r="AK93" i="29" s="1"/>
  <c r="AH40" i="29"/>
  <c r="O40" i="29" s="1"/>
  <c r="AI40" i="29" s="1"/>
  <c r="AK40" i="29" s="1"/>
  <c r="AH163" i="29"/>
  <c r="O163" i="29" s="1"/>
  <c r="AI163" i="29" s="1"/>
  <c r="AK163" i="29" s="1"/>
  <c r="AH80" i="29"/>
  <c r="O80" i="29" s="1"/>
  <c r="AI80" i="29" s="1"/>
  <c r="AK80" i="29" s="1"/>
  <c r="AH104" i="29"/>
  <c r="AH36" i="29"/>
  <c r="O36" i="29" s="1"/>
  <c r="AI36" i="29" s="1"/>
  <c r="AK36" i="29" s="1"/>
  <c r="AH198" i="29"/>
  <c r="O198" i="29" s="1"/>
  <c r="AI198" i="29" s="1"/>
  <c r="AK198" i="29" s="1"/>
  <c r="AH75" i="29"/>
  <c r="O75" i="29" s="1"/>
  <c r="AI75" i="29" s="1"/>
  <c r="AK75" i="29" s="1"/>
  <c r="AH16" i="29"/>
  <c r="O16" i="29" s="1"/>
  <c r="AI16" i="29" s="1"/>
  <c r="AK16" i="29" s="1"/>
  <c r="AH67" i="29"/>
  <c r="O67" i="29" s="1"/>
  <c r="AI67" i="29" s="1"/>
  <c r="AK67" i="29" s="1"/>
  <c r="AH210" i="29"/>
  <c r="O210" i="29" s="1"/>
  <c r="AI210" i="29" s="1"/>
  <c r="AK210" i="29" s="1"/>
  <c r="AH11" i="29"/>
  <c r="O11" i="29" s="1"/>
  <c r="AI11" i="29" s="1"/>
  <c r="AK11" i="29" s="1"/>
  <c r="AH28" i="29"/>
  <c r="O28" i="29" s="1"/>
  <c r="AI28" i="29" s="1"/>
  <c r="AK28" i="29" s="1"/>
  <c r="AH279" i="29"/>
  <c r="O279" i="29" s="1"/>
  <c r="AI279" i="29" s="1"/>
  <c r="AK279" i="29" s="1"/>
  <c r="AH170" i="29"/>
  <c r="O170" i="29" s="1"/>
  <c r="AI170" i="29" s="1"/>
  <c r="AK170" i="29" s="1"/>
  <c r="AH167" i="29"/>
  <c r="O167" i="29" s="1"/>
  <c r="AI167" i="29" s="1"/>
  <c r="AK167" i="29" s="1"/>
  <c r="AH74" i="29"/>
  <c r="O74" i="29" s="1"/>
  <c r="AI74" i="29" s="1"/>
  <c r="AK74" i="29" s="1"/>
  <c r="AH87" i="29"/>
  <c r="O87" i="29" s="1"/>
  <c r="AI87" i="29" s="1"/>
  <c r="AK87" i="29" s="1"/>
  <c r="AH178" i="29"/>
  <c r="O178" i="29" s="1"/>
  <c r="AI178" i="29" s="1"/>
  <c r="AK178" i="29" s="1"/>
  <c r="AH231" i="29"/>
  <c r="O231" i="29" s="1"/>
  <c r="AI231" i="29" s="1"/>
  <c r="AK231" i="29" s="1"/>
  <c r="AH217" i="29"/>
  <c r="O217" i="29" s="1"/>
  <c r="AI217" i="29" s="1"/>
  <c r="AK217" i="29" s="1"/>
  <c r="AH174" i="29"/>
  <c r="O174" i="29" s="1"/>
  <c r="AI174" i="29" s="1"/>
  <c r="AK174" i="29" s="1"/>
  <c r="AH274" i="29"/>
  <c r="O274" i="29" s="1"/>
  <c r="AI274" i="29" s="1"/>
  <c r="AK274" i="29" s="1"/>
  <c r="AH255" i="29"/>
  <c r="O255" i="29" s="1"/>
  <c r="AI255" i="29" s="1"/>
  <c r="AK255" i="29" s="1"/>
  <c r="AH184" i="29"/>
  <c r="O184" i="29" s="1"/>
  <c r="AI184" i="29" s="1"/>
  <c r="AK184" i="29" s="1"/>
  <c r="AH196" i="29"/>
  <c r="O196" i="29" s="1"/>
  <c r="AI196" i="29" s="1"/>
  <c r="AK196" i="29" s="1"/>
  <c r="AH92" i="29"/>
  <c r="O92" i="29" s="1"/>
  <c r="AI92" i="29" s="1"/>
  <c r="AK92" i="29" s="1"/>
  <c r="AH68" i="29"/>
  <c r="O68" i="29" s="1"/>
  <c r="AI68" i="29" s="1"/>
  <c r="AK68" i="29" s="1"/>
  <c r="AH121" i="29"/>
  <c r="O121" i="29" s="1"/>
  <c r="AI121" i="29" s="1"/>
  <c r="AK121" i="29" s="1"/>
  <c r="AH242" i="29"/>
  <c r="O242" i="29" s="1"/>
  <c r="AI242" i="29" s="1"/>
  <c r="AK242" i="29" s="1"/>
  <c r="AH124" i="29"/>
  <c r="O124" i="29" s="1"/>
  <c r="AI124" i="29" s="1"/>
  <c r="AK124" i="29" s="1"/>
  <c r="AH50" i="29"/>
  <c r="O50" i="29" s="1"/>
  <c r="AI50" i="29" s="1"/>
  <c r="AK50" i="29" s="1"/>
  <c r="AH232" i="29"/>
  <c r="O232" i="29" s="1"/>
  <c r="AI232" i="29" s="1"/>
  <c r="AK232" i="29" s="1"/>
  <c r="AH130" i="29"/>
  <c r="O130" i="29" s="1"/>
  <c r="AI130" i="29" s="1"/>
  <c r="AK130" i="29" s="1"/>
  <c r="AH249" i="29"/>
  <c r="O249" i="29" s="1"/>
  <c r="AI249" i="29" s="1"/>
  <c r="AK249" i="29" s="1"/>
  <c r="AH78" i="29"/>
  <c r="O78" i="29" s="1"/>
  <c r="AI78" i="29" s="1"/>
  <c r="AK78" i="29" s="1"/>
  <c r="AH13" i="29"/>
  <c r="O13" i="29" s="1"/>
  <c r="AI13" i="29" s="1"/>
  <c r="AK13" i="29" s="1"/>
  <c r="AH226" i="29"/>
  <c r="O226" i="29" s="1"/>
  <c r="AI226" i="29" s="1"/>
  <c r="AK226" i="29" s="1"/>
  <c r="AH108" i="29"/>
  <c r="O108" i="29" s="1"/>
  <c r="AI108" i="29" s="1"/>
  <c r="AK108" i="29" s="1"/>
  <c r="AH166" i="29"/>
  <c r="O166" i="29" s="1"/>
  <c r="AI166" i="29" s="1"/>
  <c r="AK166" i="29" s="1"/>
  <c r="AH61" i="29"/>
  <c r="O61" i="29" s="1"/>
  <c r="AI61" i="29" s="1"/>
  <c r="AK61" i="29" s="1"/>
  <c r="AH268" i="29"/>
  <c r="O268" i="29" s="1"/>
  <c r="AI268" i="29" s="1"/>
  <c r="AK268" i="29" s="1"/>
  <c r="AH177" i="29"/>
  <c r="O177" i="29" s="1"/>
  <c r="AI177" i="29" s="1"/>
  <c r="AK177" i="29" s="1"/>
  <c r="AH39" i="29"/>
  <c r="O39" i="29" s="1"/>
  <c r="AI39" i="29" s="1"/>
  <c r="AK39" i="29" s="1"/>
  <c r="AH122" i="29"/>
  <c r="O122" i="29" s="1"/>
  <c r="AI122" i="29" s="1"/>
  <c r="AK122" i="29" s="1"/>
  <c r="AH98" i="29"/>
  <c r="O98" i="29" s="1"/>
  <c r="AI98" i="29" s="1"/>
  <c r="AK98" i="29" s="1"/>
  <c r="AH271" i="29"/>
  <c r="O271" i="29" s="1"/>
  <c r="AI271" i="29" s="1"/>
  <c r="AK271" i="29" s="1"/>
  <c r="AH218" i="29"/>
  <c r="O218" i="29" s="1"/>
  <c r="AI218" i="29" s="1"/>
  <c r="AK218" i="29" s="1"/>
  <c r="AH70" i="29"/>
  <c r="O70" i="29" s="1"/>
  <c r="AI70" i="29" s="1"/>
  <c r="AK70" i="29" s="1"/>
  <c r="AH9" i="29"/>
  <c r="O9" i="29" s="1"/>
  <c r="AI9" i="29" s="1"/>
  <c r="AK9" i="29" s="1"/>
  <c r="AH214" i="29"/>
  <c r="O214" i="29" s="1"/>
  <c r="AI214" i="29" s="1"/>
  <c r="AK214" i="29" s="1"/>
  <c r="AH191" i="29"/>
  <c r="AH109" i="29"/>
  <c r="O109" i="29" s="1"/>
  <c r="AI109" i="29" s="1"/>
  <c r="AK109" i="29" s="1"/>
  <c r="AH52" i="29"/>
  <c r="O52" i="29" s="1"/>
  <c r="AI52" i="29" s="1"/>
  <c r="AK52" i="29" s="1"/>
  <c r="AH164" i="29"/>
  <c r="O164" i="29" s="1"/>
  <c r="AI164" i="29" s="1"/>
  <c r="AK164" i="29" s="1"/>
  <c r="AH258" i="29"/>
  <c r="O258" i="29" s="1"/>
  <c r="AI258" i="29" s="1"/>
  <c r="AK258" i="29" s="1"/>
  <c r="AH73" i="29"/>
  <c r="O73" i="29" s="1"/>
  <c r="AI73" i="29" s="1"/>
  <c r="AK73" i="29" s="1"/>
  <c r="AH275" i="29"/>
  <c r="O275" i="29" s="1"/>
  <c r="AI275" i="29" s="1"/>
  <c r="AK275" i="29" s="1"/>
  <c r="AH235" i="29"/>
  <c r="O235" i="29" s="1"/>
  <c r="AI235" i="29" s="1"/>
  <c r="AK235" i="29" s="1"/>
  <c r="AH133" i="29"/>
  <c r="O133" i="29" s="1"/>
  <c r="AI133" i="29" s="1"/>
  <c r="AK133" i="29" s="1"/>
  <c r="AH105" i="29"/>
  <c r="O105" i="29" s="1"/>
  <c r="AI105" i="29" s="1"/>
  <c r="AK105" i="29" s="1"/>
  <c r="AH118" i="29"/>
  <c r="O118" i="29" s="1"/>
  <c r="AI118" i="29" s="1"/>
  <c r="AK118" i="29" s="1"/>
  <c r="AH193" i="29"/>
  <c r="AH192" i="29"/>
  <c r="AH113" i="29"/>
  <c r="O113" i="29" s="1"/>
  <c r="AI113" i="29" s="1"/>
  <c r="AK113" i="29" s="1"/>
  <c r="AH62" i="29"/>
  <c r="O62" i="29" s="1"/>
  <c r="AI62" i="29" s="1"/>
  <c r="AK62" i="29" s="1"/>
  <c r="AH245" i="29"/>
  <c r="O245" i="29" s="1"/>
  <c r="AI245" i="29" s="1"/>
  <c r="AK245" i="29" s="1"/>
  <c r="AH175" i="29"/>
  <c r="O175" i="29" s="1"/>
  <c r="AI175" i="29" s="1"/>
  <c r="AK175" i="29" s="1"/>
  <c r="AH168" i="29"/>
  <c r="O168" i="29" s="1"/>
  <c r="AI168" i="29" s="1"/>
  <c r="AK168" i="29" s="1"/>
  <c r="AH59" i="29"/>
  <c r="O59" i="29" s="1"/>
  <c r="AI59" i="29" s="1"/>
  <c r="AK59" i="29" s="1"/>
  <c r="AH243" i="29"/>
  <c r="O243" i="29" s="1"/>
  <c r="AI243" i="29" s="1"/>
  <c r="AK243" i="29" s="1"/>
  <c r="AH176" i="29"/>
  <c r="O176" i="29" s="1"/>
  <c r="AI176" i="29" s="1"/>
  <c r="AK176" i="29" s="1"/>
  <c r="AH269" i="29"/>
  <c r="O269" i="29" s="1"/>
  <c r="AI269" i="29" s="1"/>
  <c r="AK269" i="29" s="1"/>
  <c r="AH190" i="29"/>
  <c r="O190" i="29" s="1"/>
  <c r="AI190" i="29" s="1"/>
  <c r="AK190" i="29" s="1"/>
  <c r="AH60" i="29"/>
  <c r="O60" i="29" s="1"/>
  <c r="AI60" i="29" s="1"/>
  <c r="AK60" i="29" s="1"/>
  <c r="AH244" i="29"/>
  <c r="O244" i="29" s="1"/>
  <c r="AI244" i="29" s="1"/>
  <c r="AK244" i="29" s="1"/>
  <c r="AH241" i="29"/>
  <c r="O241" i="29" s="1"/>
  <c r="AI241" i="29" s="1"/>
  <c r="AK241" i="29" s="1"/>
  <c r="AH270" i="29"/>
  <c r="O270" i="29" s="1"/>
  <c r="AI270" i="29" s="1"/>
  <c r="AK270" i="29" s="1"/>
  <c r="AH65" i="29"/>
  <c r="O65" i="29" s="1"/>
  <c r="AI65" i="29" s="1"/>
  <c r="AK65" i="29" s="1"/>
  <c r="AH123" i="29"/>
  <c r="O123" i="29" s="1"/>
  <c r="AI123" i="29" s="1"/>
  <c r="AK123" i="29" s="1"/>
  <c r="AH207" i="29"/>
  <c r="O207" i="29" s="1"/>
  <c r="AI207" i="29" s="1"/>
  <c r="AK207" i="29" s="1"/>
  <c r="AH212" i="29"/>
  <c r="O212" i="29" s="1"/>
  <c r="AI212" i="29" s="1"/>
  <c r="AK212" i="29" s="1"/>
  <c r="AH115" i="29"/>
  <c r="O115" i="29" s="1"/>
  <c r="AI115" i="29" s="1"/>
  <c r="AK115" i="29" s="1"/>
  <c r="AH66" i="29"/>
  <c r="O66" i="29" s="1"/>
  <c r="AI66" i="29" s="1"/>
  <c r="AK66" i="29" s="1"/>
  <c r="AH261" i="29"/>
  <c r="O261" i="29" s="1"/>
  <c r="AI261" i="29" s="1"/>
  <c r="AK261" i="29" s="1"/>
  <c r="AH165" i="29"/>
  <c r="O165" i="29" s="1"/>
  <c r="AI165" i="29" s="1"/>
  <c r="AK165" i="29" s="1"/>
  <c r="AH260" i="29"/>
  <c r="O260" i="29" s="1"/>
  <c r="AI260" i="29" s="1"/>
  <c r="AK260" i="29" s="1"/>
  <c r="AH131" i="29"/>
  <c r="O131" i="29" s="1"/>
  <c r="AI131" i="29" s="1"/>
  <c r="AK131" i="29" s="1"/>
  <c r="AH233" i="29"/>
  <c r="O233" i="29" s="1"/>
  <c r="AI233" i="29" s="1"/>
  <c r="AK233" i="29" s="1"/>
  <c r="AH76" i="29"/>
  <c r="O76" i="29" s="1"/>
  <c r="AI76" i="29" s="1"/>
  <c r="AK76" i="29" s="1"/>
  <c r="AF20" i="29"/>
  <c r="Z20" i="29" s="1"/>
  <c r="Y215" i="29"/>
  <c r="O32" i="29"/>
  <c r="AI32" i="29" s="1"/>
  <c r="AK32" i="29" s="1"/>
  <c r="Y228" i="29"/>
  <c r="Y209" i="29"/>
  <c r="Z192" i="29"/>
  <c r="Y191" i="29"/>
  <c r="Z193" i="29"/>
  <c r="M67" i="10"/>
  <c r="M59" i="10"/>
  <c r="M55" i="10"/>
  <c r="M53" i="10"/>
  <c r="M52" i="10"/>
  <c r="M35" i="10"/>
  <c r="M27" i="10"/>
  <c r="M23" i="10"/>
  <c r="M21" i="10"/>
  <c r="M20" i="10"/>
  <c r="M9" i="10"/>
  <c r="Y248" i="29"/>
  <c r="Z65" i="29"/>
  <c r="O138" i="29"/>
  <c r="AI138" i="29" s="1"/>
  <c r="AK138" i="29" s="1"/>
  <c r="O18" i="29"/>
  <c r="AI18" i="29" s="1"/>
  <c r="AK18" i="29" s="1"/>
  <c r="O19" i="29"/>
  <c r="AI19" i="29" s="1"/>
  <c r="AK19" i="29" s="1"/>
  <c r="O42" i="29"/>
  <c r="AI42" i="29" s="1"/>
  <c r="AK42" i="29" s="1"/>
  <c r="O46" i="29"/>
  <c r="AI46" i="29" s="1"/>
  <c r="AK46" i="29" s="1"/>
  <c r="O47" i="29"/>
  <c r="AI47" i="29" s="1"/>
  <c r="AK47" i="29" s="1"/>
  <c r="O48" i="29"/>
  <c r="AI48" i="29" s="1"/>
  <c r="AK48" i="29" s="1"/>
  <c r="O49" i="29"/>
  <c r="AI49" i="29" s="1"/>
  <c r="AK49" i="29" s="1"/>
  <c r="O82" i="29"/>
  <c r="AI82" i="29" s="1"/>
  <c r="AK82" i="29" s="1"/>
  <c r="O85" i="29"/>
  <c r="AI85" i="29" s="1"/>
  <c r="AK85" i="29" s="1"/>
  <c r="O86" i="29"/>
  <c r="AI86" i="29" s="1"/>
  <c r="AK86" i="29" s="1"/>
  <c r="O161" i="29"/>
  <c r="AI161" i="29" s="1"/>
  <c r="AK161" i="29" s="1"/>
  <c r="O160" i="29"/>
  <c r="AI160" i="29" s="1"/>
  <c r="AK160" i="29" s="1"/>
  <c r="O159" i="29"/>
  <c r="AI159" i="29" s="1"/>
  <c r="AK159" i="29" s="1"/>
  <c r="O157" i="29"/>
  <c r="AI157" i="29" s="1"/>
  <c r="AK157" i="29" s="1"/>
  <c r="O155" i="29"/>
  <c r="AI155" i="29" s="1"/>
  <c r="AK155" i="29" s="1"/>
  <c r="O154" i="29"/>
  <c r="AI154" i="29" s="1"/>
  <c r="AK154" i="29" s="1"/>
  <c r="O156" i="29"/>
  <c r="AI156" i="29" s="1"/>
  <c r="AK156" i="29" s="1"/>
  <c r="O162" i="29"/>
  <c r="AI162" i="29" s="1"/>
  <c r="AK162" i="29" s="1"/>
  <c r="O158" i="29"/>
  <c r="AI158" i="29" s="1"/>
  <c r="AK158" i="29" s="1"/>
  <c r="O203" i="29"/>
  <c r="AI203" i="29" s="1"/>
  <c r="AK203" i="29" s="1"/>
  <c r="O204" i="29"/>
  <c r="AI204" i="29" s="1"/>
  <c r="AK204" i="29" s="1"/>
  <c r="O205" i="29"/>
  <c r="AI205" i="29" s="1"/>
  <c r="AK205" i="29" s="1"/>
  <c r="O206" i="29"/>
  <c r="AI206" i="29" s="1"/>
  <c r="AK206" i="29" s="1"/>
  <c r="O266" i="29"/>
  <c r="AI266" i="29" s="1"/>
  <c r="AK266" i="29" s="1"/>
  <c r="O153" i="29"/>
  <c r="AI153" i="29" s="1"/>
  <c r="AK153" i="29" s="1"/>
  <c r="O152" i="29"/>
  <c r="AI152" i="29" s="1"/>
  <c r="AK152" i="29" s="1"/>
  <c r="O151" i="29"/>
  <c r="AI151" i="29" s="1"/>
  <c r="AK151" i="29" s="1"/>
  <c r="O150" i="29"/>
  <c r="AI150" i="29" s="1"/>
  <c r="AK150" i="29" s="1"/>
  <c r="O149" i="29"/>
  <c r="AI149" i="29" s="1"/>
  <c r="AK149" i="29" s="1"/>
  <c r="O148" i="29"/>
  <c r="AI148" i="29" s="1"/>
  <c r="AK148" i="29" s="1"/>
  <c r="O147" i="29"/>
  <c r="AI147" i="29" s="1"/>
  <c r="AK147" i="29" s="1"/>
  <c r="O146" i="29"/>
  <c r="AI146" i="29" s="1"/>
  <c r="AK146" i="29" s="1"/>
  <c r="O145" i="29"/>
  <c r="AI145" i="29" s="1"/>
  <c r="AK145" i="29" s="1"/>
  <c r="O280" i="29"/>
  <c r="AI280" i="29" s="1"/>
  <c r="AK280" i="29" s="1"/>
  <c r="O144" i="29"/>
  <c r="AI144" i="29" s="1"/>
  <c r="AK144" i="29" s="1"/>
  <c r="O143" i="29"/>
  <c r="AI143" i="29" s="1"/>
  <c r="AK143" i="29" s="1"/>
  <c r="O142" i="29"/>
  <c r="AI142" i="29" s="1"/>
  <c r="AK142" i="29" s="1"/>
  <c r="O141" i="29"/>
  <c r="AI141" i="29" s="1"/>
  <c r="AK141" i="29" s="1"/>
  <c r="O140" i="29"/>
  <c r="AI140" i="29" s="1"/>
  <c r="AK140" i="29" s="1"/>
  <c r="O139" i="29"/>
  <c r="AI139" i="29" s="1"/>
  <c r="AK139" i="29" s="1"/>
  <c r="O278" i="29"/>
  <c r="AI278" i="29" s="1"/>
  <c r="AK278" i="29" s="1"/>
  <c r="O43" i="29"/>
  <c r="AI43" i="29" s="1"/>
  <c r="AK43" i="29" s="1"/>
  <c r="O120" i="29"/>
  <c r="AI120" i="29" s="1"/>
  <c r="AK120" i="29" s="1"/>
  <c r="O173" i="29"/>
  <c r="AI173" i="29" s="1"/>
  <c r="AK173" i="29" s="1"/>
  <c r="AE79" i="29"/>
  <c r="AG79" i="29" s="1"/>
  <c r="Y41" i="29"/>
  <c r="Z210" i="29"/>
  <c r="Z58" i="29"/>
  <c r="Z57" i="29"/>
  <c r="N277" i="29"/>
  <c r="AE277" i="29" s="1"/>
  <c r="AG277" i="29" s="1"/>
  <c r="Z254" i="29"/>
  <c r="Z257" i="29"/>
  <c r="Y255" i="29"/>
  <c r="Z245" i="29"/>
  <c r="Z198" i="29"/>
  <c r="Y224" i="29"/>
  <c r="Y199" i="29"/>
  <c r="Z195" i="29"/>
  <c r="Z186" i="29"/>
  <c r="Z179" i="29"/>
  <c r="Z37" i="29"/>
  <c r="N150" i="29"/>
  <c r="N143" i="29"/>
  <c r="N141" i="29"/>
  <c r="N104" i="29"/>
  <c r="AE104" i="29" s="1"/>
  <c r="AG104" i="29" s="1"/>
  <c r="N164" i="29"/>
  <c r="N95" i="29"/>
  <c r="AE95" i="29" s="1"/>
  <c r="AG95" i="29" s="1"/>
  <c r="N242" i="29"/>
  <c r="AE242" i="29" s="1"/>
  <c r="AG242" i="29" s="1"/>
  <c r="N270" i="29"/>
  <c r="AE270" i="29" s="1"/>
  <c r="AG270" i="29" s="1"/>
  <c r="N252" i="29"/>
  <c r="AE252" i="29" s="1"/>
  <c r="AG252" i="29" s="1"/>
  <c r="N83" i="29"/>
  <c r="N264" i="29"/>
  <c r="N54" i="29"/>
  <c r="AE54" i="29" s="1"/>
  <c r="AG54" i="29" s="1"/>
  <c r="N57" i="29"/>
  <c r="AE57" i="29" s="1"/>
  <c r="AG57" i="29" s="1"/>
  <c r="N272" i="29"/>
  <c r="N213" i="29"/>
  <c r="AE163" i="29"/>
  <c r="AG163" i="29" s="1"/>
  <c r="AE184" i="29"/>
  <c r="AG184" i="29" s="1"/>
  <c r="AE225" i="29"/>
  <c r="AG225" i="29" s="1"/>
  <c r="N265" i="29"/>
  <c r="N93" i="29"/>
  <c r="AE93" i="29" s="1"/>
  <c r="AG93" i="29" s="1"/>
  <c r="N101" i="29"/>
  <c r="N39" i="29"/>
  <c r="N88" i="29"/>
  <c r="N62" i="29"/>
  <c r="AE62" i="29" s="1"/>
  <c r="AG62" i="29" s="1"/>
  <c r="N102" i="29"/>
  <c r="AE102" i="29" s="1"/>
  <c r="AG102" i="29" s="1"/>
  <c r="N221" i="29"/>
  <c r="N222" i="29"/>
  <c r="AE222" i="29" s="1"/>
  <c r="AG222" i="29" s="1"/>
  <c r="AE228" i="29"/>
  <c r="AG228" i="29" s="1"/>
  <c r="N250" i="29"/>
  <c r="N248" i="29"/>
  <c r="AE248" i="29" s="1"/>
  <c r="AG248" i="29" s="1"/>
  <c r="N64" i="29"/>
  <c r="AE64" i="29" s="1"/>
  <c r="AG64" i="29" s="1"/>
  <c r="N209" i="29"/>
  <c r="AE209" i="29" s="1"/>
  <c r="AG209" i="29" s="1"/>
  <c r="N202" i="29"/>
  <c r="AE202" i="29" s="1"/>
  <c r="AG202" i="29" s="1"/>
  <c r="N153" i="29"/>
  <c r="N148" i="29"/>
  <c r="N139" i="29"/>
  <c r="N42" i="29"/>
  <c r="N119" i="29"/>
  <c r="AE119" i="29" s="1"/>
  <c r="AG119" i="29" s="1"/>
  <c r="N168" i="29"/>
  <c r="N170" i="29"/>
  <c r="AE170" i="29" s="1"/>
  <c r="AG170" i="29" s="1"/>
  <c r="N178" i="29"/>
  <c r="N138" i="29"/>
  <c r="N43" i="29"/>
  <c r="N86" i="29"/>
  <c r="N157" i="29"/>
  <c r="N162" i="29"/>
  <c r="N55" i="29"/>
  <c r="AE55" i="29" s="1"/>
  <c r="AG55" i="29" s="1"/>
  <c r="N97" i="29"/>
  <c r="N107" i="29"/>
  <c r="N106" i="29"/>
  <c r="N212" i="29"/>
  <c r="AE212" i="29" s="1"/>
  <c r="AG212" i="29" s="1"/>
  <c r="N171" i="29"/>
  <c r="AE171" i="29" s="1"/>
  <c r="AG171" i="29" s="1"/>
  <c r="N76" i="29"/>
  <c r="AE76" i="29" s="1"/>
  <c r="AG76" i="29" s="1"/>
  <c r="N241" i="29"/>
  <c r="AE241" i="29" s="1"/>
  <c r="AG241" i="29" s="1"/>
  <c r="N165" i="29"/>
  <c r="AE165" i="29" s="1"/>
  <c r="AG165" i="29" s="1"/>
  <c r="N167" i="29"/>
  <c r="N169" i="29"/>
  <c r="AE169" i="29" s="1"/>
  <c r="AG169" i="29" s="1"/>
  <c r="N108" i="29"/>
  <c r="N177" i="29"/>
  <c r="N174" i="29"/>
  <c r="AE174" i="29" s="1"/>
  <c r="AG174" i="29" s="1"/>
  <c r="N132" i="29"/>
  <c r="AE132" i="29" s="1"/>
  <c r="AG132" i="29" s="1"/>
  <c r="N210" i="29"/>
  <c r="N50" i="29"/>
  <c r="N254" i="29"/>
  <c r="N256" i="29"/>
  <c r="AE256" i="29" s="1"/>
  <c r="AG256" i="29" s="1"/>
  <c r="N258" i="29"/>
  <c r="AE258" i="29" s="1"/>
  <c r="AG258" i="29" s="1"/>
  <c r="N71" i="29"/>
  <c r="N84" i="29"/>
  <c r="AE84" i="29" s="1"/>
  <c r="AG84" i="29" s="1"/>
  <c r="N9" i="29"/>
  <c r="AE9" i="29" s="1"/>
  <c r="AG9" i="29" s="1"/>
  <c r="N122" i="29"/>
  <c r="N268" i="29"/>
  <c r="N59" i="29"/>
  <c r="N61" i="29"/>
  <c r="AE61" i="29" s="1"/>
  <c r="AG61" i="29" s="1"/>
  <c r="N73" i="29"/>
  <c r="AE73" i="29" s="1"/>
  <c r="AG73" i="29" s="1"/>
  <c r="N126" i="29"/>
  <c r="N279" i="29"/>
  <c r="N51" i="29"/>
  <c r="AE51" i="29" s="1"/>
  <c r="AG51" i="29" s="1"/>
  <c r="N52" i="29"/>
  <c r="AE52" i="29" s="1"/>
  <c r="AG52" i="29" s="1"/>
  <c r="N244" i="29"/>
  <c r="N14" i="29"/>
  <c r="N134" i="29"/>
  <c r="N239" i="29"/>
  <c r="AE239" i="29" s="1"/>
  <c r="AG239" i="29" s="1"/>
  <c r="N236" i="29"/>
  <c r="N53" i="29"/>
  <c r="AE53" i="29" s="1"/>
  <c r="AG53" i="29" s="1"/>
  <c r="N124" i="29"/>
  <c r="AE124" i="29" s="1"/>
  <c r="AG124" i="29" s="1"/>
  <c r="AE58" i="29"/>
  <c r="AG58" i="29" s="1"/>
  <c r="N110" i="29"/>
  <c r="AE110" i="29" s="1"/>
  <c r="AG110" i="29" s="1"/>
  <c r="N247" i="29"/>
  <c r="AE247" i="29" s="1"/>
  <c r="AG247" i="29" s="1"/>
  <c r="AE103" i="29"/>
  <c r="AG103" i="29" s="1"/>
  <c r="N198" i="29"/>
  <c r="N262" i="29"/>
  <c r="N87" i="29"/>
  <c r="AE17" i="29"/>
  <c r="AG17" i="29" s="1"/>
  <c r="N28" i="29"/>
  <c r="AE28" i="29" s="1"/>
  <c r="AG28" i="29" s="1"/>
  <c r="Z111" i="29"/>
  <c r="N130" i="29"/>
  <c r="N67" i="29"/>
  <c r="AE67" i="29" s="1"/>
  <c r="AG67" i="29" s="1"/>
  <c r="N68" i="29"/>
  <c r="AE68" i="29" s="1"/>
  <c r="AG68" i="29" s="1"/>
  <c r="N45" i="29"/>
  <c r="N40" i="29"/>
  <c r="N63" i="29"/>
  <c r="N217" i="29"/>
  <c r="AE217" i="29" s="1"/>
  <c r="AG217" i="29" s="1"/>
  <c r="N232" i="29"/>
  <c r="N229" i="29"/>
  <c r="AE229" i="29" s="1"/>
  <c r="AG229" i="29" s="1"/>
  <c r="N21" i="29"/>
  <c r="N219" i="29"/>
  <c r="AE219" i="29" s="1"/>
  <c r="AG219" i="29" s="1"/>
  <c r="N223" i="29"/>
  <c r="N127" i="29"/>
  <c r="N129" i="29"/>
  <c r="N215" i="29"/>
  <c r="N263" i="29"/>
  <c r="N131" i="29"/>
  <c r="AE131" i="29" s="1"/>
  <c r="AG131" i="29" s="1"/>
  <c r="N261" i="29"/>
  <c r="AE261" i="29" s="1"/>
  <c r="AG261" i="29" s="1"/>
  <c r="N276" i="29"/>
  <c r="AE276" i="29" s="1"/>
  <c r="AG276" i="29" s="1"/>
  <c r="AE75" i="29"/>
  <c r="AG75" i="29" s="1"/>
  <c r="N94" i="29"/>
  <c r="AE94" i="29" s="1"/>
  <c r="AG94" i="29" s="1"/>
  <c r="N197" i="29"/>
  <c r="N224" i="29"/>
  <c r="N245" i="29"/>
  <c r="AE245" i="29" s="1"/>
  <c r="AG245" i="29" s="1"/>
  <c r="N246" i="29"/>
  <c r="AE246" i="29" s="1"/>
  <c r="AG246" i="29" s="1"/>
  <c r="N116" i="29"/>
  <c r="N216" i="29"/>
  <c r="AE216" i="29" s="1"/>
  <c r="AG216" i="29" s="1"/>
  <c r="N137" i="29"/>
  <c r="N192" i="29"/>
  <c r="AE192" i="29" s="1"/>
  <c r="AG192" i="29" s="1"/>
  <c r="N200" i="29"/>
  <c r="AE200" i="29" s="1"/>
  <c r="AG200" i="29" s="1"/>
  <c r="N38" i="29"/>
  <c r="AE25" i="29"/>
  <c r="AG25" i="29" s="1"/>
  <c r="N182" i="29"/>
  <c r="AE182" i="29" s="1"/>
  <c r="AG182" i="29" s="1"/>
  <c r="Z93" i="29"/>
  <c r="Z225" i="29"/>
  <c r="N173" i="29"/>
  <c r="Z83" i="29"/>
  <c r="Y187" i="29"/>
  <c r="Y111" i="29"/>
  <c r="Y52" i="29"/>
  <c r="N266" i="29"/>
  <c r="Z215" i="29"/>
  <c r="Y98" i="29"/>
  <c r="N111" i="29"/>
  <c r="Y200" i="29"/>
  <c r="N147" i="29"/>
  <c r="Z217" i="29"/>
  <c r="Z123" i="29"/>
  <c r="Y129" i="29"/>
  <c r="Z129" i="29"/>
  <c r="Y217" i="29"/>
  <c r="N231" i="29"/>
  <c r="Z52" i="29"/>
  <c r="N46" i="29"/>
  <c r="N47" i="29"/>
  <c r="Y246" i="29"/>
  <c r="N123" i="29"/>
  <c r="AE123" i="29" s="1"/>
  <c r="AG123" i="29" s="1"/>
  <c r="Y123" i="29"/>
  <c r="Z165" i="29"/>
  <c r="Z177" i="29"/>
  <c r="Z91" i="29"/>
  <c r="Y115" i="29"/>
  <c r="Z137" i="29"/>
  <c r="Z169" i="29"/>
  <c r="N149" i="29"/>
  <c r="N146" i="29"/>
  <c r="Y137" i="29"/>
  <c r="N145" i="29"/>
  <c r="Y83" i="29"/>
  <c r="Z200" i="29"/>
  <c r="N151" i="29"/>
  <c r="Y95" i="29"/>
  <c r="N199" i="29"/>
  <c r="AE199" i="29" s="1"/>
  <c r="AG199" i="29" s="1"/>
  <c r="Z60" i="29"/>
  <c r="Z74" i="29"/>
  <c r="Y37" i="29"/>
  <c r="Y57" i="29"/>
  <c r="Y179" i="29"/>
  <c r="A10" i="17"/>
  <c r="A30" i="17" s="1"/>
  <c r="Z260" i="29"/>
  <c r="Z268" i="29"/>
  <c r="Z61" i="29"/>
  <c r="Y243" i="29"/>
  <c r="Y94" i="29"/>
  <c r="Z102" i="29"/>
  <c r="Y197" i="29"/>
  <c r="Y216" i="29"/>
  <c r="N179" i="29"/>
  <c r="Z128" i="29"/>
  <c r="Y220" i="29"/>
  <c r="Z220" i="29"/>
  <c r="Y93" i="29"/>
  <c r="Z16" i="29"/>
  <c r="Y108" i="29"/>
  <c r="Z174" i="29"/>
  <c r="Z92" i="29"/>
  <c r="Y15" i="29"/>
  <c r="Z106" i="29"/>
  <c r="Z178" i="29"/>
  <c r="Z207" i="29"/>
  <c r="Y262" i="29"/>
  <c r="Z73" i="29"/>
  <c r="Y105" i="29"/>
  <c r="Z168" i="29"/>
  <c r="Z183" i="29"/>
  <c r="Y233" i="29"/>
  <c r="Y81" i="29"/>
  <c r="Y219" i="29"/>
  <c r="A29" i="34"/>
  <c r="N18" i="29"/>
  <c r="Y102" i="29"/>
  <c r="Y265" i="29"/>
  <c r="N19" i="29"/>
  <c r="Y128" i="29"/>
  <c r="Y73" i="29"/>
  <c r="Z235" i="29"/>
  <c r="Z265" i="29"/>
  <c r="Z216" i="29"/>
  <c r="Y66" i="29"/>
  <c r="Z69" i="29"/>
  <c r="M75" i="10"/>
  <c r="M71" i="10"/>
  <c r="M69" i="10"/>
  <c r="M68" i="10"/>
  <c r="M43" i="10"/>
  <c r="M39" i="10"/>
  <c r="M37" i="10"/>
  <c r="M36" i="10"/>
  <c r="M4" i="10"/>
  <c r="M79" i="10"/>
  <c r="M77" i="10"/>
  <c r="M76" i="10"/>
  <c r="M63" i="10"/>
  <c r="M61" i="10"/>
  <c r="M60" i="10"/>
  <c r="M47" i="10"/>
  <c r="M45" i="10"/>
  <c r="M44" i="10"/>
  <c r="M31" i="10"/>
  <c r="M29" i="10"/>
  <c r="M28" i="10"/>
  <c r="M15" i="10"/>
  <c r="M13" i="10"/>
  <c r="M12" i="10"/>
  <c r="M8" i="10"/>
  <c r="M6" i="10"/>
  <c r="M5" i="10"/>
  <c r="M81" i="10"/>
  <c r="M80" i="10"/>
  <c r="M73" i="10"/>
  <c r="M72" i="10"/>
  <c r="M65" i="10"/>
  <c r="M64" i="10"/>
  <c r="M57" i="10"/>
  <c r="M56" i="10"/>
  <c r="M49" i="10"/>
  <c r="M48" i="10"/>
  <c r="M41" i="10"/>
  <c r="M40" i="10"/>
  <c r="M33" i="10"/>
  <c r="M32" i="10"/>
  <c r="M25" i="10"/>
  <c r="M24" i="10"/>
  <c r="M17" i="10"/>
  <c r="M16" i="10"/>
  <c r="M11" i="10"/>
  <c r="M10" i="10"/>
  <c r="M78" i="10"/>
  <c r="M74" i="10"/>
  <c r="M70" i="10"/>
  <c r="M66" i="10"/>
  <c r="M62" i="10"/>
  <c r="M58" i="10"/>
  <c r="M54" i="10"/>
  <c r="M50" i="10"/>
  <c r="M46" i="10"/>
  <c r="M42" i="10"/>
  <c r="M38" i="10"/>
  <c r="M34" i="10"/>
  <c r="M30" i="10"/>
  <c r="M26" i="10"/>
  <c r="M22" i="10"/>
  <c r="M18" i="10"/>
  <c r="M14" i="10"/>
  <c r="M7" i="10"/>
  <c r="M3" i="10"/>
  <c r="Y269" i="29"/>
  <c r="Z90" i="29"/>
  <c r="Y92" i="29"/>
  <c r="Z134" i="29"/>
  <c r="Y134" i="29"/>
  <c r="Z101" i="29"/>
  <c r="Y101" i="29"/>
  <c r="N155" i="29"/>
  <c r="N154" i="29"/>
  <c r="Y212" i="29"/>
  <c r="N240" i="29"/>
  <c r="AE240" i="29" s="1"/>
  <c r="AG240" i="29" s="1"/>
  <c r="N249" i="29"/>
  <c r="Z249" i="29"/>
  <c r="N98" i="29"/>
  <c r="Z98" i="29"/>
  <c r="N166" i="29"/>
  <c r="AE166" i="29" s="1"/>
  <c r="AG166" i="29" s="1"/>
  <c r="Z175" i="29"/>
  <c r="Y175" i="29"/>
  <c r="Z270" i="29"/>
  <c r="Y270" i="29"/>
  <c r="Y125" i="29"/>
  <c r="N125" i="29"/>
  <c r="N175" i="29"/>
  <c r="AE175" i="29" s="1"/>
  <c r="AG175" i="29" s="1"/>
  <c r="Y16" i="29"/>
  <c r="Z246" i="29"/>
  <c r="Z212" i="29"/>
  <c r="Y174" i="29"/>
  <c r="Z166" i="29"/>
  <c r="N49" i="29"/>
  <c r="Z119" i="29"/>
  <c r="Z108" i="29"/>
  <c r="Y166" i="29"/>
  <c r="N160" i="29"/>
  <c r="Y165" i="29"/>
  <c r="Y252" i="29"/>
  <c r="N48" i="29"/>
  <c r="N82" i="29"/>
  <c r="N85" i="29"/>
  <c r="N161" i="29"/>
  <c r="N159" i="29"/>
  <c r="N156" i="29"/>
  <c r="N158" i="29"/>
  <c r="Z100" i="29"/>
  <c r="Y100" i="29"/>
  <c r="Y104" i="29"/>
  <c r="N105" i="29"/>
  <c r="AE105" i="29" s="1"/>
  <c r="AG105" i="29" s="1"/>
  <c r="Z105" i="29"/>
  <c r="Z76" i="29"/>
  <c r="Z241" i="29"/>
  <c r="Y241" i="29"/>
  <c r="Y164" i="29"/>
  <c r="Z164" i="29"/>
  <c r="Y167" i="29"/>
  <c r="Y169" i="29"/>
  <c r="Y177" i="29"/>
  <c r="Y260" i="29"/>
  <c r="N260" i="29"/>
  <c r="AE260" i="29" s="1"/>
  <c r="AG260" i="29" s="1"/>
  <c r="Y61" i="29"/>
  <c r="Z272" i="29"/>
  <c r="Y272" i="29"/>
  <c r="N20" i="29"/>
  <c r="AE186" i="29"/>
  <c r="AG186" i="29" s="1"/>
  <c r="AE66" i="29"/>
  <c r="AG66" i="29" s="1"/>
  <c r="N280" i="29"/>
  <c r="N144" i="29"/>
  <c r="N142" i="29"/>
  <c r="N140" i="29"/>
  <c r="Y133" i="29"/>
  <c r="N133" i="29"/>
  <c r="N120" i="29"/>
  <c r="Y168" i="29"/>
  <c r="Z262" i="29"/>
  <c r="Y127" i="29"/>
  <c r="N203" i="29"/>
  <c r="N205" i="29"/>
  <c r="N206" i="29"/>
  <c r="Z15" i="29"/>
  <c r="N273" i="29"/>
  <c r="AE273" i="29" s="1"/>
  <c r="AG273" i="29" s="1"/>
  <c r="Z180" i="29"/>
  <c r="Y180" i="29"/>
  <c r="N96" i="29"/>
  <c r="Y96" i="29"/>
  <c r="Y97" i="29"/>
  <c r="Z97" i="29"/>
  <c r="Z107" i="29"/>
  <c r="Y107" i="29"/>
  <c r="N211" i="29"/>
  <c r="Z211" i="29"/>
  <c r="Y106" i="29"/>
  <c r="N13" i="29"/>
  <c r="Z13" i="29"/>
  <c r="Y13" i="29"/>
  <c r="Y113" i="29"/>
  <c r="Z113" i="29"/>
  <c r="Z80" i="29"/>
  <c r="AE41" i="29"/>
  <c r="AG41" i="29" s="1"/>
  <c r="Z226" i="29"/>
  <c r="Y226" i="29"/>
  <c r="N226" i="29"/>
  <c r="N253" i="29"/>
  <c r="AE253" i="29" s="1"/>
  <c r="AG253" i="29" s="1"/>
  <c r="Y253" i="29"/>
  <c r="N255" i="29"/>
  <c r="AE255" i="29" s="1"/>
  <c r="AG255" i="29" s="1"/>
  <c r="Z256" i="29"/>
  <c r="Y256" i="29"/>
  <c r="N257" i="29"/>
  <c r="AE257" i="29" s="1"/>
  <c r="AG257" i="29" s="1"/>
  <c r="N259" i="29"/>
  <c r="Z259" i="29"/>
  <c r="Y259" i="29"/>
  <c r="Z95" i="29"/>
  <c r="N235" i="29"/>
  <c r="N269" i="29"/>
  <c r="AE269" i="29" s="1"/>
  <c r="AG269" i="29" s="1"/>
  <c r="AE275" i="29"/>
  <c r="AG275" i="29" s="1"/>
  <c r="Z252" i="29"/>
  <c r="Z71" i="29"/>
  <c r="Y71" i="29"/>
  <c r="Z84" i="29"/>
  <c r="Y84" i="29"/>
  <c r="N112" i="29"/>
  <c r="Y112" i="29"/>
  <c r="Z112" i="29"/>
  <c r="N118" i="29"/>
  <c r="Z118" i="29"/>
  <c r="Y44" i="29"/>
  <c r="Z9" i="29"/>
  <c r="Y9" i="29"/>
  <c r="N11" i="29"/>
  <c r="Y218" i="29"/>
  <c r="N218" i="29"/>
  <c r="AE218" i="29" s="1"/>
  <c r="AG218" i="29" s="1"/>
  <c r="Y122" i="29"/>
  <c r="Z122" i="29"/>
  <c r="N183" i="29"/>
  <c r="AE183" i="29" s="1"/>
  <c r="AG183" i="29" s="1"/>
  <c r="Y183" i="29"/>
  <c r="Y268" i="29"/>
  <c r="Z59" i="29"/>
  <c r="Y60" i="29"/>
  <c r="N74" i="29"/>
  <c r="Y74" i="29"/>
  <c r="N191" i="29"/>
  <c r="AE191" i="29" s="1"/>
  <c r="AG191" i="29" s="1"/>
  <c r="Y121" i="29"/>
  <c r="Z121" i="29"/>
  <c r="Z126" i="29"/>
  <c r="Y126" i="29"/>
  <c r="N214" i="29"/>
  <c r="Z214" i="29"/>
  <c r="Y172" i="29"/>
  <c r="Z172" i="29"/>
  <c r="Z51" i="29"/>
  <c r="Y51" i="29"/>
  <c r="N194" i="29"/>
  <c r="Z194" i="29"/>
  <c r="Y231" i="29"/>
  <c r="N243" i="29"/>
  <c r="AE243" i="29" s="1"/>
  <c r="AG243" i="29" s="1"/>
  <c r="Z243" i="29"/>
  <c r="Y244" i="29"/>
  <c r="Y14" i="29"/>
  <c r="Z14" i="29"/>
  <c r="N238" i="29"/>
  <c r="Z238" i="29"/>
  <c r="Z239" i="29"/>
  <c r="N77" i="29"/>
  <c r="Y236" i="29"/>
  <c r="Z236" i="29"/>
  <c r="N237" i="29"/>
  <c r="Z237" i="29"/>
  <c r="Y53" i="29"/>
  <c r="Z54" i="29"/>
  <c r="Y54" i="29"/>
  <c r="Y114" i="29"/>
  <c r="Y58" i="29"/>
  <c r="N181" i="29"/>
  <c r="N234" i="29"/>
  <c r="Z247" i="29"/>
  <c r="Y247" i="29"/>
  <c r="Z99" i="29"/>
  <c r="N135" i="29"/>
  <c r="Z267" i="29"/>
  <c r="N267" i="29"/>
  <c r="Z28" i="29"/>
  <c r="Y27" i="29"/>
  <c r="N27" i="29"/>
  <c r="Z27" i="29"/>
  <c r="Z40" i="29"/>
  <c r="Y40" i="29"/>
  <c r="Z63" i="29"/>
  <c r="Y63" i="29"/>
  <c r="N117" i="29"/>
  <c r="AE117" i="29" s="1"/>
  <c r="AG117" i="29" s="1"/>
  <c r="Z227" i="29"/>
  <c r="Y227" i="29"/>
  <c r="N233" i="29"/>
  <c r="Z233" i="29"/>
  <c r="Z39" i="29"/>
  <c r="Y39" i="29"/>
  <c r="Y208" i="29"/>
  <c r="Z208" i="29"/>
  <c r="Z56" i="29"/>
  <c r="Y56" i="29"/>
  <c r="Y79" i="29"/>
  <c r="N121" i="29"/>
  <c r="Z125" i="29"/>
  <c r="N100" i="29"/>
  <c r="Z253" i="29"/>
  <c r="Y235" i="29"/>
  <c r="Y28" i="29"/>
  <c r="Y267" i="29"/>
  <c r="Y118" i="29"/>
  <c r="Z87" i="29"/>
  <c r="Y99" i="29"/>
  <c r="Z114" i="29"/>
  <c r="Z53" i="29"/>
  <c r="Y239" i="29"/>
  <c r="AE172" i="29"/>
  <c r="AG172" i="29" s="1"/>
  <c r="Y237" i="29"/>
  <c r="Z44" i="29"/>
  <c r="Z242" i="29"/>
  <c r="Y238" i="29"/>
  <c r="N70" i="29"/>
  <c r="AE70" i="29" s="1"/>
  <c r="AG70" i="29" s="1"/>
  <c r="Y242" i="29"/>
  <c r="N56" i="29"/>
  <c r="Y119" i="29"/>
  <c r="Y124" i="29"/>
  <c r="N204" i="29"/>
  <c r="Z127" i="29"/>
  <c r="Z79" i="29"/>
  <c r="N208" i="29"/>
  <c r="Y88" i="29"/>
  <c r="Z88" i="29"/>
  <c r="Z201" i="29"/>
  <c r="Y201" i="29"/>
  <c r="N187" i="29"/>
  <c r="Z187" i="29"/>
  <c r="Z62" i="29"/>
  <c r="Y62" i="29"/>
  <c r="N72" i="29"/>
  <c r="AE72" i="29" s="1"/>
  <c r="AG72" i="29" s="1"/>
  <c r="Y72" i="29"/>
  <c r="Y196" i="29"/>
  <c r="N35" i="29"/>
  <c r="AE35" i="29" s="1"/>
  <c r="AG35" i="29" s="1"/>
  <c r="Z115" i="29"/>
  <c r="Y69" i="29"/>
  <c r="Z94" i="29"/>
  <c r="Z66" i="29"/>
  <c r="Z197" i="29"/>
  <c r="AE92" i="29"/>
  <c r="AG92" i="29" s="1"/>
  <c r="Z196" i="29"/>
  <c r="N201" i="29"/>
  <c r="AE201" i="29" s="1"/>
  <c r="AG201" i="29" s="1"/>
  <c r="Z72" i="29"/>
  <c r="N152" i="29"/>
  <c r="N278" i="29"/>
  <c r="Y249" i="29"/>
  <c r="Z170" i="29"/>
  <c r="O135" i="29"/>
  <c r="AI135" i="29" s="1"/>
  <c r="AK135" i="29" s="1"/>
  <c r="B25" i="17"/>
  <c r="B25" i="34"/>
  <c r="Y211" i="29"/>
  <c r="Y80" i="29"/>
  <c r="Y87" i="29"/>
  <c r="Y90" i="29"/>
  <c r="Z167" i="29"/>
  <c r="Y170" i="29"/>
  <c r="Z89" i="29"/>
  <c r="Z133" i="29"/>
  <c r="Z218" i="29"/>
  <c r="Y225" i="29"/>
  <c r="O104" i="29"/>
  <c r="AI104" i="29" s="1"/>
  <c r="AK104" i="29" s="1"/>
  <c r="O23" i="29"/>
  <c r="AI23" i="29" s="1"/>
  <c r="AK23" i="29" s="1"/>
  <c r="O221" i="29"/>
  <c r="AI221" i="29" s="1"/>
  <c r="AK221" i="29" s="1"/>
  <c r="AH20" i="29"/>
  <c r="O20" i="29" s="1"/>
  <c r="O24" i="29"/>
  <c r="AI24" i="29" s="1"/>
  <c r="AK24" i="29" s="1"/>
  <c r="Z231" i="29"/>
  <c r="Y214" i="29"/>
  <c r="Z124" i="29"/>
  <c r="Z244" i="29"/>
  <c r="N89" i="29"/>
  <c r="Z176" i="29"/>
  <c r="Y176" i="29"/>
  <c r="N128" i="29"/>
  <c r="AE91" i="29"/>
  <c r="AG91" i="29" s="1"/>
  <c r="Y91" i="29"/>
  <c r="N12" i="29"/>
  <c r="AE12" i="29" s="1"/>
  <c r="AG12" i="29" s="1"/>
  <c r="B26" i="17"/>
  <c r="B26" i="34"/>
  <c r="Y178" i="29"/>
  <c r="Y194" i="29"/>
  <c r="N207" i="29"/>
  <c r="AE207" i="29" s="1"/>
  <c r="AG207" i="29" s="1"/>
  <c r="Y207" i="29"/>
  <c r="N81" i="29"/>
  <c r="Z81" i="29"/>
  <c r="Y89" i="29"/>
  <c r="Z96" i="29"/>
  <c r="Y76" i="29"/>
  <c r="Z269" i="29"/>
  <c r="Y59" i="29"/>
  <c r="Z219" i="29"/>
  <c r="AC22" i="29" l="1"/>
  <c r="Z11" i="29"/>
  <c r="AD22" i="29"/>
  <c r="Y110" i="29"/>
  <c r="Y36" i="29"/>
  <c r="AC36" i="29" s="1"/>
  <c r="Z230" i="29"/>
  <c r="Y45" i="29"/>
  <c r="AC45" i="29" s="1"/>
  <c r="Y273" i="29"/>
  <c r="AC273" i="29" s="1"/>
  <c r="Z34" i="29"/>
  <c r="Y34" i="29"/>
  <c r="AB34" i="29"/>
  <c r="AA34" i="29"/>
  <c r="Z104" i="29"/>
  <c r="AC104" i="29" s="1"/>
  <c r="Y251" i="29"/>
  <c r="AC251" i="29" s="1"/>
  <c r="Y182" i="29"/>
  <c r="AC182" i="29" s="1"/>
  <c r="AB104" i="29"/>
  <c r="AD104" i="29" s="1"/>
  <c r="Y230" i="29"/>
  <c r="Y75" i="29"/>
  <c r="AC75" i="29" s="1"/>
  <c r="Y156" i="29"/>
  <c r="AC156" i="29" s="1"/>
  <c r="Z155" i="29"/>
  <c r="AC155" i="29" s="1"/>
  <c r="Z142" i="29"/>
  <c r="AC142" i="29" s="1"/>
  <c r="Z163" i="29"/>
  <c r="Z139" i="29"/>
  <c r="AC139" i="29" s="1"/>
  <c r="Z109" i="29"/>
  <c r="AC109" i="29" s="1"/>
  <c r="Y103" i="29"/>
  <c r="AC103" i="29" s="1"/>
  <c r="Z205" i="29"/>
  <c r="AC205" i="29" s="1"/>
  <c r="Z157" i="29"/>
  <c r="AC157" i="29" s="1"/>
  <c r="Y278" i="29"/>
  <c r="AC278" i="29" s="1"/>
  <c r="AB230" i="29"/>
  <c r="AD230" i="29" s="1"/>
  <c r="Z136" i="29"/>
  <c r="AC136" i="29" s="1"/>
  <c r="Y223" i="29"/>
  <c r="AC223" i="29" s="1"/>
  <c r="AC242" i="29"/>
  <c r="Z271" i="29"/>
  <c r="AC271" i="29" s="1"/>
  <c r="Z276" i="29"/>
  <c r="AC276" i="29" s="1"/>
  <c r="AE211" i="29"/>
  <c r="AG211" i="29" s="1"/>
  <c r="AA211" i="29"/>
  <c r="AB211" i="29"/>
  <c r="Y26" i="29"/>
  <c r="AE56" i="29"/>
  <c r="AG56" i="29" s="1"/>
  <c r="AA56" i="29"/>
  <c r="AB56" i="29"/>
  <c r="Y190" i="29"/>
  <c r="AC190" i="29" s="1"/>
  <c r="AE96" i="29"/>
  <c r="AG96" i="29" s="1"/>
  <c r="AB96" i="29"/>
  <c r="AA96" i="29"/>
  <c r="AE45" i="29"/>
  <c r="AG45" i="29" s="1"/>
  <c r="AA45" i="29"/>
  <c r="AB45" i="29"/>
  <c r="AE21" i="29"/>
  <c r="AG21" i="29" s="1"/>
  <c r="AB21" i="29"/>
  <c r="AA21" i="29"/>
  <c r="AE63" i="29"/>
  <c r="AG63" i="29" s="1"/>
  <c r="AA63" i="29"/>
  <c r="AB63" i="29"/>
  <c r="AE208" i="29"/>
  <c r="AG208" i="29" s="1"/>
  <c r="AB208" i="29"/>
  <c r="AA208" i="29"/>
  <c r="AE97" i="29"/>
  <c r="AG97" i="29" s="1"/>
  <c r="AB97" i="29"/>
  <c r="AA97" i="29"/>
  <c r="AE128" i="29"/>
  <c r="AG128" i="29" s="1"/>
  <c r="AA128" i="29"/>
  <c r="AB128" i="29"/>
  <c r="AE127" i="29"/>
  <c r="AG127" i="29" s="1"/>
  <c r="AA127" i="29"/>
  <c r="AB127" i="29"/>
  <c r="AE129" i="29"/>
  <c r="AG129" i="29" s="1"/>
  <c r="AB129" i="29"/>
  <c r="AA129" i="29"/>
  <c r="AC166" i="29"/>
  <c r="AC217" i="29"/>
  <c r="AE187" i="29"/>
  <c r="AG187" i="29" s="1"/>
  <c r="AA187" i="29"/>
  <c r="AB187" i="29"/>
  <c r="AE179" i="29"/>
  <c r="AG179" i="29" s="1"/>
  <c r="AB179" i="29"/>
  <c r="AA179" i="29"/>
  <c r="AE106" i="29"/>
  <c r="AG106" i="29" s="1"/>
  <c r="AB106" i="29"/>
  <c r="AA106" i="29"/>
  <c r="AE100" i="29"/>
  <c r="AG100" i="29" s="1"/>
  <c r="AB100" i="29"/>
  <c r="AA100" i="29"/>
  <c r="AE137" i="29"/>
  <c r="AG137" i="29" s="1"/>
  <c r="AA137" i="29"/>
  <c r="AB137" i="29"/>
  <c r="AE107" i="29"/>
  <c r="AG107" i="29" s="1"/>
  <c r="AA107" i="29"/>
  <c r="AB107" i="29"/>
  <c r="AB12" i="29"/>
  <c r="AB229" i="29"/>
  <c r="AE116" i="29"/>
  <c r="AG116" i="29" s="1"/>
  <c r="AA116" i="29"/>
  <c r="AB116" i="29"/>
  <c r="AB276" i="29"/>
  <c r="AA276" i="29"/>
  <c r="Y277" i="29"/>
  <c r="AC277" i="29" s="1"/>
  <c r="Y131" i="29"/>
  <c r="AC131" i="29" s="1"/>
  <c r="Z68" i="29"/>
  <c r="AC68" i="29" s="1"/>
  <c r="Y46" i="29"/>
  <c r="AC46" i="29" s="1"/>
  <c r="Z234" i="29"/>
  <c r="AC234" i="29" s="1"/>
  <c r="Y12" i="29"/>
  <c r="AC12" i="29" s="1"/>
  <c r="AC137" i="29"/>
  <c r="AC123" i="29"/>
  <c r="AC163" i="29"/>
  <c r="Y48" i="29"/>
  <c r="AC48" i="29" s="1"/>
  <c r="AA229" i="29"/>
  <c r="AC59" i="29"/>
  <c r="AC118" i="29"/>
  <c r="AC211" i="29"/>
  <c r="AC91" i="29"/>
  <c r="AC111" i="29"/>
  <c r="AC207" i="29"/>
  <c r="Y229" i="29"/>
  <c r="Z229" i="29"/>
  <c r="AC69" i="29"/>
  <c r="AC235" i="29"/>
  <c r="Y20" i="29"/>
  <c r="AC20" i="29" s="1"/>
  <c r="AC249" i="29"/>
  <c r="AC58" i="29"/>
  <c r="AC60" i="29"/>
  <c r="Z47" i="29"/>
  <c r="AC47" i="29" s="1"/>
  <c r="AC18" i="29"/>
  <c r="AC151" i="29"/>
  <c r="AC49" i="29"/>
  <c r="AC106" i="29"/>
  <c r="AA12" i="29"/>
  <c r="AC42" i="29"/>
  <c r="AB20" i="29"/>
  <c r="AC266" i="29"/>
  <c r="AC76" i="29"/>
  <c r="Z26" i="29"/>
  <c r="AB26" i="29"/>
  <c r="AD26" i="29" s="1"/>
  <c r="Z23" i="29"/>
  <c r="AC23" i="29" s="1"/>
  <c r="AC57" i="29"/>
  <c r="AC174" i="29"/>
  <c r="AC90" i="29"/>
  <c r="AC37" i="29"/>
  <c r="AB240" i="29"/>
  <c r="AC134" i="29"/>
  <c r="AC135" i="29"/>
  <c r="AC238" i="29"/>
  <c r="AC56" i="29"/>
  <c r="AC39" i="29"/>
  <c r="AC227" i="29"/>
  <c r="AC54" i="29"/>
  <c r="AC126" i="29"/>
  <c r="AC9" i="29"/>
  <c r="AC107" i="29"/>
  <c r="AC241" i="29"/>
  <c r="AC270" i="29"/>
  <c r="Y240" i="29"/>
  <c r="AC240" i="29" s="1"/>
  <c r="AA240" i="29"/>
  <c r="AC173" i="29"/>
  <c r="AC176" i="29"/>
  <c r="AC170" i="29"/>
  <c r="AC87" i="29"/>
  <c r="AC72" i="29"/>
  <c r="AC88" i="29"/>
  <c r="AC237" i="29"/>
  <c r="AC14" i="29"/>
  <c r="AC168" i="29"/>
  <c r="AC133" i="29"/>
  <c r="AC61" i="29"/>
  <c r="AC252" i="29"/>
  <c r="AC105" i="29"/>
  <c r="AC216" i="29"/>
  <c r="AC187" i="29"/>
  <c r="AC146" i="29"/>
  <c r="AC141" i="29"/>
  <c r="AC206" i="29"/>
  <c r="AC161" i="29"/>
  <c r="AC147" i="29"/>
  <c r="AB121" i="29"/>
  <c r="AA121" i="29"/>
  <c r="AA27" i="29"/>
  <c r="AB27" i="29"/>
  <c r="AB99" i="29"/>
  <c r="AA99" i="29"/>
  <c r="AB238" i="29"/>
  <c r="AA238" i="29"/>
  <c r="AA74" i="29"/>
  <c r="AB74" i="29"/>
  <c r="AA11" i="29"/>
  <c r="AB11" i="29"/>
  <c r="AB49" i="29"/>
  <c r="AA49" i="29"/>
  <c r="AA145" i="29"/>
  <c r="AB145" i="29"/>
  <c r="AA197" i="29"/>
  <c r="AB197" i="29"/>
  <c r="AA130" i="29"/>
  <c r="AB130" i="29"/>
  <c r="AB88" i="29"/>
  <c r="AA88" i="29"/>
  <c r="AA113" i="29"/>
  <c r="AB113" i="29"/>
  <c r="AE88" i="29"/>
  <c r="AG88" i="29" s="1"/>
  <c r="AE197" i="29"/>
  <c r="AG197" i="29" s="1"/>
  <c r="AA234" i="29"/>
  <c r="AB234" i="29"/>
  <c r="AA194" i="29"/>
  <c r="AB194" i="29"/>
  <c r="AA65" i="29"/>
  <c r="AB65" i="29"/>
  <c r="AE65" i="29"/>
  <c r="AG65" i="29" s="1"/>
  <c r="AA226" i="29"/>
  <c r="AB226" i="29"/>
  <c r="AB82" i="29"/>
  <c r="AA82" i="29"/>
  <c r="AA98" i="29"/>
  <c r="AB98" i="29"/>
  <c r="AB53" i="29"/>
  <c r="AA53" i="29"/>
  <c r="AB254" i="29"/>
  <c r="AA254" i="29"/>
  <c r="AB43" i="29"/>
  <c r="AA43" i="29"/>
  <c r="AA252" i="29"/>
  <c r="AB252" i="29"/>
  <c r="AE238" i="29"/>
  <c r="AG238" i="29" s="1"/>
  <c r="AA81" i="29"/>
  <c r="AB81" i="29"/>
  <c r="AA90" i="29"/>
  <c r="AB90" i="29"/>
  <c r="AA70" i="29"/>
  <c r="AB70" i="29"/>
  <c r="AC28" i="29"/>
  <c r="AC79" i="29"/>
  <c r="AC208" i="29"/>
  <c r="AA233" i="29"/>
  <c r="AB233" i="29"/>
  <c r="AB135" i="29"/>
  <c r="AA135" i="29"/>
  <c r="AA181" i="29"/>
  <c r="AB181" i="29"/>
  <c r="AE181" i="29"/>
  <c r="AG181" i="29" s="1"/>
  <c r="AA114" i="29"/>
  <c r="AB114" i="29"/>
  <c r="AA243" i="29"/>
  <c r="AB243" i="29"/>
  <c r="AB214" i="29"/>
  <c r="AA214" i="29"/>
  <c r="AC121" i="29"/>
  <c r="AA60" i="29"/>
  <c r="AB60" i="29"/>
  <c r="AC122" i="29"/>
  <c r="AC44" i="29"/>
  <c r="AC112" i="29"/>
  <c r="AA271" i="29"/>
  <c r="AB271" i="29"/>
  <c r="AB255" i="29"/>
  <c r="AA255" i="29"/>
  <c r="AB80" i="29"/>
  <c r="AA80" i="29"/>
  <c r="AC97" i="29"/>
  <c r="AA15" i="29"/>
  <c r="AB15" i="29"/>
  <c r="AA133" i="29"/>
  <c r="AB133" i="29"/>
  <c r="AB144" i="29"/>
  <c r="AA144" i="29"/>
  <c r="AC177" i="29"/>
  <c r="AC164" i="29"/>
  <c r="AA159" i="29"/>
  <c r="AB159" i="29"/>
  <c r="AA48" i="29"/>
  <c r="AB48" i="29"/>
  <c r="AC16" i="29"/>
  <c r="AC128" i="29"/>
  <c r="AC102" i="29"/>
  <c r="AB151" i="29"/>
  <c r="AA151" i="29"/>
  <c r="AC246" i="29"/>
  <c r="AA36" i="29"/>
  <c r="AB36" i="29"/>
  <c r="AA192" i="29"/>
  <c r="AB192" i="29"/>
  <c r="AA246" i="29"/>
  <c r="AB246" i="29"/>
  <c r="AA115" i="29"/>
  <c r="AB115" i="29"/>
  <c r="AA261" i="29"/>
  <c r="AB261" i="29"/>
  <c r="AA136" i="29"/>
  <c r="AB136" i="29"/>
  <c r="AB223" i="29"/>
  <c r="AA223" i="29"/>
  <c r="AA232" i="29"/>
  <c r="AB232" i="29"/>
  <c r="AE232" i="29"/>
  <c r="AG232" i="29" s="1"/>
  <c r="AB262" i="29"/>
  <c r="AA262" i="29"/>
  <c r="AA110" i="29"/>
  <c r="AB110" i="29"/>
  <c r="AB236" i="29"/>
  <c r="AA236" i="29"/>
  <c r="AA244" i="29"/>
  <c r="AB244" i="29"/>
  <c r="AA126" i="29"/>
  <c r="AB126" i="29"/>
  <c r="AB268" i="29"/>
  <c r="AA268" i="29"/>
  <c r="AB71" i="29"/>
  <c r="AA71" i="29"/>
  <c r="AA50" i="29"/>
  <c r="AB50" i="29"/>
  <c r="AA177" i="29"/>
  <c r="AB177" i="29"/>
  <c r="AB165" i="29"/>
  <c r="AA165" i="29"/>
  <c r="AA212" i="29"/>
  <c r="AB212" i="29"/>
  <c r="AB162" i="29"/>
  <c r="AA162" i="29"/>
  <c r="AB168" i="29"/>
  <c r="AA168" i="29"/>
  <c r="AB148" i="29"/>
  <c r="AA148" i="29"/>
  <c r="AA209" i="29"/>
  <c r="AB209" i="29"/>
  <c r="AB228" i="29"/>
  <c r="AA228" i="29"/>
  <c r="AA69" i="29"/>
  <c r="AB69" i="29"/>
  <c r="AB265" i="29"/>
  <c r="AA265" i="29"/>
  <c r="AA164" i="29"/>
  <c r="AB164" i="29"/>
  <c r="AA150" i="29"/>
  <c r="AB150" i="29"/>
  <c r="AA185" i="29"/>
  <c r="AB185" i="29"/>
  <c r="AE115" i="29"/>
  <c r="AG115" i="29" s="1"/>
  <c r="AE136" i="29"/>
  <c r="AG136" i="29" s="1"/>
  <c r="AA109" i="29"/>
  <c r="AB109" i="29"/>
  <c r="AE244" i="29"/>
  <c r="AG244" i="29" s="1"/>
  <c r="AE279" i="29"/>
  <c r="AG279" i="29" s="1"/>
  <c r="AE274" i="29"/>
  <c r="AG274" i="29" s="1"/>
  <c r="AE226" i="29"/>
  <c r="AG226" i="29" s="1"/>
  <c r="AE168" i="29"/>
  <c r="AG168" i="29" s="1"/>
  <c r="AC85" i="29"/>
  <c r="AC143" i="29"/>
  <c r="AE78" i="29"/>
  <c r="AG78" i="29" s="1"/>
  <c r="AE74" i="29"/>
  <c r="AG74" i="29" s="1"/>
  <c r="AE98" i="29"/>
  <c r="AG98" i="29" s="1"/>
  <c r="AE121" i="29"/>
  <c r="AG121" i="29" s="1"/>
  <c r="AC145" i="29"/>
  <c r="AD189" i="29"/>
  <c r="AE60" i="29"/>
  <c r="AG60" i="29" s="1"/>
  <c r="AE254" i="29"/>
  <c r="AG254" i="29" s="1"/>
  <c r="AE15" i="29"/>
  <c r="AG15" i="29" s="1"/>
  <c r="AE265" i="29"/>
  <c r="AG265" i="29" s="1"/>
  <c r="AE126" i="29"/>
  <c r="AG126" i="29" s="1"/>
  <c r="AC152" i="29"/>
  <c r="AE81" i="29"/>
  <c r="AG81" i="29" s="1"/>
  <c r="AA89" i="29"/>
  <c r="AB89" i="29"/>
  <c r="AA172" i="29"/>
  <c r="AB172" i="29"/>
  <c r="AB44" i="29"/>
  <c r="AA44" i="29"/>
  <c r="AB120" i="29"/>
  <c r="AA120" i="29"/>
  <c r="AA186" i="29"/>
  <c r="AB186" i="29"/>
  <c r="AA156" i="29"/>
  <c r="AB156" i="29"/>
  <c r="AB160" i="29"/>
  <c r="AA160" i="29"/>
  <c r="AA123" i="29"/>
  <c r="AB123" i="29"/>
  <c r="AB111" i="29"/>
  <c r="AA111" i="29"/>
  <c r="AA40" i="29"/>
  <c r="AB40" i="29"/>
  <c r="AA87" i="29"/>
  <c r="AB87" i="29"/>
  <c r="AB14" i="29"/>
  <c r="AA14" i="29"/>
  <c r="AB59" i="29"/>
  <c r="AA59" i="29"/>
  <c r="AA174" i="29"/>
  <c r="AB174" i="29"/>
  <c r="AA167" i="29"/>
  <c r="AB167" i="29"/>
  <c r="AB170" i="29"/>
  <c r="AA170" i="29"/>
  <c r="AA202" i="29"/>
  <c r="AB202" i="29"/>
  <c r="AB163" i="29"/>
  <c r="AA163" i="29"/>
  <c r="AA143" i="29"/>
  <c r="AB143" i="29"/>
  <c r="AA79" i="29"/>
  <c r="AB79" i="29"/>
  <c r="AB251" i="29"/>
  <c r="AA251" i="29"/>
  <c r="AB237" i="29"/>
  <c r="AA237" i="29"/>
  <c r="AC231" i="29"/>
  <c r="AB269" i="29"/>
  <c r="AA269" i="29"/>
  <c r="AC253" i="29"/>
  <c r="AB13" i="29"/>
  <c r="AA13" i="29"/>
  <c r="AC169" i="29"/>
  <c r="AA105" i="29"/>
  <c r="AB105" i="29"/>
  <c r="AB175" i="29"/>
  <c r="AA175" i="29"/>
  <c r="AA19" i="29"/>
  <c r="AB19" i="29"/>
  <c r="AC81" i="29"/>
  <c r="AB199" i="29"/>
  <c r="AA199" i="29"/>
  <c r="AA146" i="29"/>
  <c r="AB146" i="29"/>
  <c r="AC115" i="29"/>
  <c r="AA231" i="29"/>
  <c r="AB231" i="29"/>
  <c r="AB147" i="29"/>
  <c r="AA147" i="29"/>
  <c r="AA245" i="29"/>
  <c r="AB245" i="29"/>
  <c r="AA94" i="29"/>
  <c r="AB94" i="29"/>
  <c r="AA190" i="29"/>
  <c r="AB190" i="29"/>
  <c r="AB215" i="29"/>
  <c r="AA215" i="29"/>
  <c r="AA219" i="29"/>
  <c r="AB219" i="29"/>
  <c r="AA217" i="29"/>
  <c r="AB217" i="29"/>
  <c r="AA68" i="29"/>
  <c r="AB68" i="29"/>
  <c r="AA28" i="29"/>
  <c r="AB28" i="29"/>
  <c r="AB198" i="29"/>
  <c r="AA198" i="29"/>
  <c r="AA58" i="29"/>
  <c r="AB58" i="29"/>
  <c r="AB239" i="29"/>
  <c r="AA239" i="29"/>
  <c r="AA52" i="29"/>
  <c r="AB52" i="29"/>
  <c r="AA73" i="29"/>
  <c r="AB73" i="29"/>
  <c r="AA122" i="29"/>
  <c r="AB122" i="29"/>
  <c r="AA210" i="29"/>
  <c r="AB210" i="29"/>
  <c r="AA108" i="29"/>
  <c r="AB108" i="29"/>
  <c r="AA241" i="29"/>
  <c r="AB241" i="29"/>
  <c r="AA180" i="29"/>
  <c r="AB180" i="29"/>
  <c r="AA157" i="29"/>
  <c r="AB157" i="29"/>
  <c r="AA176" i="29"/>
  <c r="AB176" i="29"/>
  <c r="AB119" i="29"/>
  <c r="AA119" i="29"/>
  <c r="AB153" i="29"/>
  <c r="AA153" i="29"/>
  <c r="AA64" i="29"/>
  <c r="AB64" i="29"/>
  <c r="AA188" i="29"/>
  <c r="AB188" i="29"/>
  <c r="AE188" i="29"/>
  <c r="AG188" i="29" s="1"/>
  <c r="AB39" i="29"/>
  <c r="AA39" i="29"/>
  <c r="AA225" i="29"/>
  <c r="AB225" i="29"/>
  <c r="AB272" i="29"/>
  <c r="AA272" i="29"/>
  <c r="AB270" i="29"/>
  <c r="AA270" i="29"/>
  <c r="AE39" i="29"/>
  <c r="AG39" i="29" s="1"/>
  <c r="AE27" i="29"/>
  <c r="AG27" i="29" s="1"/>
  <c r="AE114" i="29"/>
  <c r="AG114" i="29" s="1"/>
  <c r="AE194" i="29"/>
  <c r="AG194" i="29" s="1"/>
  <c r="AE80" i="29"/>
  <c r="AG80" i="29" s="1"/>
  <c r="AE164" i="29"/>
  <c r="AG164" i="29" s="1"/>
  <c r="AC159" i="29"/>
  <c r="AC19" i="29"/>
  <c r="AC150" i="29"/>
  <c r="AE223" i="29"/>
  <c r="AG223" i="29" s="1"/>
  <c r="AA227" i="29"/>
  <c r="AB227" i="29"/>
  <c r="AC43" i="29"/>
  <c r="AE262" i="29"/>
  <c r="AG262" i="29" s="1"/>
  <c r="AE268" i="29"/>
  <c r="AG268" i="29" s="1"/>
  <c r="AE50" i="29"/>
  <c r="AG50" i="29" s="1"/>
  <c r="AA23" i="29"/>
  <c r="AB23" i="29"/>
  <c r="AE133" i="29"/>
  <c r="AG133" i="29" s="1"/>
  <c r="AE40" i="29"/>
  <c r="AG40" i="29" s="1"/>
  <c r="AE213" i="29"/>
  <c r="AG213" i="29" s="1"/>
  <c r="AE236" i="29"/>
  <c r="AG236" i="29" s="1"/>
  <c r="AE264" i="29"/>
  <c r="AG264" i="29" s="1"/>
  <c r="AE122" i="29"/>
  <c r="AG122" i="29" s="1"/>
  <c r="AE271" i="29"/>
  <c r="AG271" i="29" s="1"/>
  <c r="AE210" i="29"/>
  <c r="AG210" i="29" s="1"/>
  <c r="AE108" i="29"/>
  <c r="AG108" i="29" s="1"/>
  <c r="AC203" i="29"/>
  <c r="AC82" i="29"/>
  <c r="AC144" i="29"/>
  <c r="AE111" i="29"/>
  <c r="AG111" i="29" s="1"/>
  <c r="AE77" i="29"/>
  <c r="AG77" i="29" s="1"/>
  <c r="AE59" i="29"/>
  <c r="AG59" i="29" s="1"/>
  <c r="AC158" i="29"/>
  <c r="AC148" i="29"/>
  <c r="AE69" i="29"/>
  <c r="AG69" i="29" s="1"/>
  <c r="AE251" i="29"/>
  <c r="AG251" i="29" s="1"/>
  <c r="AE11" i="29"/>
  <c r="AG11" i="29" s="1"/>
  <c r="AC162" i="29"/>
  <c r="AC86" i="29"/>
  <c r="AC149" i="29"/>
  <c r="AC120" i="29"/>
  <c r="AC221" i="29"/>
  <c r="AB91" i="29"/>
  <c r="AA91" i="29"/>
  <c r="AA152" i="29"/>
  <c r="AB152" i="29"/>
  <c r="AA92" i="29"/>
  <c r="AB92" i="29"/>
  <c r="AA203" i="29"/>
  <c r="AB203" i="29"/>
  <c r="AA142" i="29"/>
  <c r="AB142" i="29"/>
  <c r="AB125" i="29"/>
  <c r="AA125" i="29"/>
  <c r="AA46" i="29"/>
  <c r="AB46" i="29"/>
  <c r="AB182" i="29"/>
  <c r="AA182" i="29"/>
  <c r="AA200" i="29"/>
  <c r="AB200" i="29"/>
  <c r="AA247" i="29"/>
  <c r="AB247" i="29"/>
  <c r="AB84" i="29"/>
  <c r="AA84" i="29"/>
  <c r="AA139" i="29"/>
  <c r="AB139" i="29"/>
  <c r="AB102" i="29"/>
  <c r="AA102" i="29"/>
  <c r="AB93" i="29"/>
  <c r="AA93" i="29"/>
  <c r="AA54" i="29"/>
  <c r="AB54" i="29"/>
  <c r="AA95" i="29"/>
  <c r="AB95" i="29"/>
  <c r="AA16" i="29"/>
  <c r="AB16" i="29"/>
  <c r="AB201" i="29"/>
  <c r="AA201" i="29"/>
  <c r="AA204" i="29"/>
  <c r="AB204" i="29"/>
  <c r="AA37" i="29"/>
  <c r="AB37" i="29"/>
  <c r="AA191" i="29"/>
  <c r="AB191" i="29"/>
  <c r="AC183" i="29"/>
  <c r="AB218" i="29"/>
  <c r="AA218" i="29"/>
  <c r="AA112" i="29"/>
  <c r="AB112" i="29"/>
  <c r="AB257" i="29"/>
  <c r="AA257" i="29"/>
  <c r="AC96" i="29"/>
  <c r="AB206" i="29"/>
  <c r="AA206" i="29"/>
  <c r="AA161" i="29"/>
  <c r="AB161" i="29"/>
  <c r="AB166" i="29"/>
  <c r="AA166" i="29"/>
  <c r="AA249" i="29"/>
  <c r="AB249" i="29"/>
  <c r="AB18" i="29"/>
  <c r="AA18" i="29"/>
  <c r="AC89" i="29"/>
  <c r="AA207" i="29"/>
  <c r="AB207" i="29"/>
  <c r="AC214" i="29"/>
  <c r="AC80" i="29"/>
  <c r="AA278" i="29"/>
  <c r="AB278" i="29"/>
  <c r="AA35" i="29"/>
  <c r="AB35" i="29"/>
  <c r="AA72" i="29"/>
  <c r="AB72" i="29"/>
  <c r="AC201" i="29"/>
  <c r="AC267" i="29"/>
  <c r="AC63" i="29"/>
  <c r="AB267" i="29"/>
  <c r="AA267" i="29"/>
  <c r="AC244" i="29"/>
  <c r="AC74" i="29"/>
  <c r="AB183" i="29"/>
  <c r="AA183" i="29"/>
  <c r="AC218" i="29"/>
  <c r="AA118" i="29"/>
  <c r="AB118" i="29"/>
  <c r="AC84" i="29"/>
  <c r="AA235" i="29"/>
  <c r="AB235" i="29"/>
  <c r="AA259" i="29"/>
  <c r="AB259" i="29"/>
  <c r="AC256" i="29"/>
  <c r="AA253" i="29"/>
  <c r="AB253" i="29"/>
  <c r="AB41" i="29"/>
  <c r="AA41" i="29"/>
  <c r="AB273" i="29"/>
  <c r="AA273" i="29"/>
  <c r="AA205" i="29"/>
  <c r="AB205" i="29"/>
  <c r="AA140" i="29"/>
  <c r="AB140" i="29"/>
  <c r="AA66" i="29"/>
  <c r="AB66" i="29"/>
  <c r="AC110" i="29"/>
  <c r="AB260" i="29"/>
  <c r="AA260" i="29"/>
  <c r="AB158" i="29"/>
  <c r="AA158" i="29"/>
  <c r="AB85" i="29"/>
  <c r="AA85" i="29"/>
  <c r="AC165" i="29"/>
  <c r="AA155" i="29"/>
  <c r="AB155" i="29"/>
  <c r="AC233" i="29"/>
  <c r="AC243" i="29"/>
  <c r="AC179" i="29"/>
  <c r="AC95" i="29"/>
  <c r="AC83" i="29"/>
  <c r="AB149" i="29"/>
  <c r="AA149" i="29"/>
  <c r="AB47" i="29"/>
  <c r="AA47" i="29"/>
  <c r="AA266" i="29"/>
  <c r="AB266" i="29"/>
  <c r="AA173" i="29"/>
  <c r="AB173" i="29"/>
  <c r="AB38" i="29"/>
  <c r="AA38" i="29"/>
  <c r="AA216" i="29"/>
  <c r="AB216" i="29"/>
  <c r="AA224" i="29"/>
  <c r="AB224" i="29"/>
  <c r="AB75" i="29"/>
  <c r="AA75" i="29"/>
  <c r="AA131" i="29"/>
  <c r="AB131" i="29"/>
  <c r="AA103" i="29"/>
  <c r="AB103" i="29"/>
  <c r="AA124" i="29"/>
  <c r="AB124" i="29"/>
  <c r="AB134" i="29"/>
  <c r="AA134" i="29"/>
  <c r="AA51" i="29"/>
  <c r="AB51" i="29"/>
  <c r="AA61" i="29"/>
  <c r="AB61" i="29"/>
  <c r="AA9" i="29"/>
  <c r="AB9" i="29"/>
  <c r="AA256" i="29"/>
  <c r="AB256" i="29"/>
  <c r="AA132" i="29"/>
  <c r="AB132" i="29"/>
  <c r="AB169" i="29"/>
  <c r="AA169" i="29"/>
  <c r="AA76" i="29"/>
  <c r="AB76" i="29"/>
  <c r="AA86" i="29"/>
  <c r="AB86" i="29"/>
  <c r="AB178" i="29"/>
  <c r="AA178" i="29"/>
  <c r="AB42" i="29"/>
  <c r="AA42" i="29"/>
  <c r="AB220" i="29"/>
  <c r="AA220" i="29"/>
  <c r="AA248" i="29"/>
  <c r="AB248" i="29"/>
  <c r="AA221" i="29"/>
  <c r="AB221" i="29"/>
  <c r="AA62" i="29"/>
  <c r="AB62" i="29"/>
  <c r="AA101" i="29"/>
  <c r="AB101" i="29"/>
  <c r="AB184" i="29"/>
  <c r="AA184" i="29"/>
  <c r="AA57" i="29"/>
  <c r="AB57" i="29"/>
  <c r="AA83" i="29"/>
  <c r="AB83" i="29"/>
  <c r="AA242" i="29"/>
  <c r="AB242" i="29"/>
  <c r="AA141" i="29"/>
  <c r="AB141" i="29"/>
  <c r="AA277" i="29"/>
  <c r="AB277" i="29"/>
  <c r="AE250" i="29"/>
  <c r="AG250" i="29" s="1"/>
  <c r="AE101" i="29"/>
  <c r="AG101" i="29" s="1"/>
  <c r="AE130" i="29"/>
  <c r="AG130" i="29" s="1"/>
  <c r="AE198" i="29"/>
  <c r="AG198" i="29" s="1"/>
  <c r="AE237" i="29"/>
  <c r="AG237" i="29" s="1"/>
  <c r="AE10" i="29"/>
  <c r="AG10" i="29" s="1"/>
  <c r="AA193" i="29"/>
  <c r="AB193" i="29"/>
  <c r="AE112" i="29"/>
  <c r="AG112" i="29" s="1"/>
  <c r="AE259" i="29"/>
  <c r="AG259" i="29" s="1"/>
  <c r="AE176" i="29"/>
  <c r="AG176" i="29" s="1"/>
  <c r="AE249" i="29"/>
  <c r="AG249" i="29" s="1"/>
  <c r="AE16" i="29"/>
  <c r="AG16" i="29" s="1"/>
  <c r="AC204" i="29"/>
  <c r="AE37" i="29"/>
  <c r="AG37" i="29" s="1"/>
  <c r="AE231" i="29"/>
  <c r="AG231" i="29" s="1"/>
  <c r="AE83" i="29"/>
  <c r="AG83" i="29" s="1"/>
  <c r="AE13" i="29"/>
  <c r="AG13" i="29" s="1"/>
  <c r="AE180" i="29"/>
  <c r="AG180" i="29" s="1"/>
  <c r="AE272" i="29"/>
  <c r="AG272" i="29" s="1"/>
  <c r="AE89" i="29"/>
  <c r="AG89" i="29" s="1"/>
  <c r="AE125" i="29"/>
  <c r="AG125" i="29" s="1"/>
  <c r="AE185" i="29"/>
  <c r="AG185" i="29" s="1"/>
  <c r="AC153" i="29"/>
  <c r="AE36" i="29"/>
  <c r="AG36" i="29" s="1"/>
  <c r="AE90" i="29"/>
  <c r="AG90" i="29" s="1"/>
  <c r="AE233" i="29"/>
  <c r="AG233" i="29" s="1"/>
  <c r="AE87" i="29"/>
  <c r="AG87" i="29" s="1"/>
  <c r="AE234" i="29"/>
  <c r="AG234" i="29" s="1"/>
  <c r="AE134" i="29"/>
  <c r="AG134" i="29" s="1"/>
  <c r="AE214" i="29"/>
  <c r="AG214" i="29" s="1"/>
  <c r="AE44" i="29"/>
  <c r="AG44" i="29" s="1"/>
  <c r="AE235" i="29"/>
  <c r="AG235" i="29" s="1"/>
  <c r="AE113" i="29"/>
  <c r="AG113" i="29" s="1"/>
  <c r="AE167" i="29"/>
  <c r="AG167" i="29" s="1"/>
  <c r="AC160" i="29"/>
  <c r="AC140" i="29"/>
  <c r="AE215" i="29"/>
  <c r="AG215" i="29" s="1"/>
  <c r="AE267" i="29"/>
  <c r="AG267" i="29" s="1"/>
  <c r="AE14" i="29"/>
  <c r="AG14" i="29" s="1"/>
  <c r="AE118" i="29"/>
  <c r="AG118" i="29" s="1"/>
  <c r="AE178" i="29"/>
  <c r="AG178" i="29" s="1"/>
  <c r="AE220" i="29"/>
  <c r="AG220" i="29" s="1"/>
  <c r="AE224" i="29"/>
  <c r="AG224" i="29" s="1"/>
  <c r="AE263" i="29"/>
  <c r="AG263" i="29" s="1"/>
  <c r="AE99" i="29"/>
  <c r="AG99" i="29" s="1"/>
  <c r="AE71" i="29"/>
  <c r="AG71" i="29" s="1"/>
  <c r="AE177" i="29"/>
  <c r="AG177" i="29" s="1"/>
  <c r="AE38" i="29"/>
  <c r="AG38" i="29" s="1"/>
  <c r="AE190" i="29"/>
  <c r="AG190" i="29" s="1"/>
  <c r="AC172" i="29"/>
  <c r="AC167" i="29"/>
  <c r="AC269" i="29"/>
  <c r="AC108" i="29"/>
  <c r="AC220" i="29"/>
  <c r="AC197" i="29"/>
  <c r="AC129" i="29"/>
  <c r="AC200" i="29"/>
  <c r="AC215" i="29"/>
  <c r="AC194" i="29"/>
  <c r="AC225" i="29"/>
  <c r="AC196" i="29"/>
  <c r="AC119" i="29"/>
  <c r="AC99" i="29"/>
  <c r="AC114" i="29"/>
  <c r="AC53" i="29"/>
  <c r="AC236" i="29"/>
  <c r="AC13" i="29"/>
  <c r="AC180" i="29"/>
  <c r="AC272" i="29"/>
  <c r="AC260" i="29"/>
  <c r="AC175" i="29"/>
  <c r="AC101" i="29"/>
  <c r="AC92" i="29"/>
  <c r="AC66" i="29"/>
  <c r="AC73" i="29"/>
  <c r="AC265" i="29"/>
  <c r="AC262" i="29"/>
  <c r="AC15" i="29"/>
  <c r="AC52" i="29"/>
  <c r="AC124" i="29"/>
  <c r="AC113" i="29"/>
  <c r="AC178" i="29"/>
  <c r="AC62" i="29"/>
  <c r="AC239" i="29"/>
  <c r="AC40" i="29"/>
  <c r="AC27" i="29"/>
  <c r="AC247" i="29"/>
  <c r="AC51" i="29"/>
  <c r="AC268" i="29"/>
  <c r="AC11" i="29"/>
  <c r="AC71" i="29"/>
  <c r="AC259" i="29"/>
  <c r="AC226" i="29"/>
  <c r="AC127" i="29"/>
  <c r="AC100" i="29"/>
  <c r="AC125" i="29"/>
  <c r="AC212" i="29"/>
  <c r="AC219" i="29"/>
  <c r="AC93" i="29"/>
  <c r="AC94" i="29"/>
  <c r="AC98" i="29"/>
  <c r="Z228" i="29"/>
  <c r="AC228" i="29" s="1"/>
  <c r="Y193" i="29"/>
  <c r="AC193" i="29" s="1"/>
  <c r="Y181" i="29"/>
  <c r="AC181" i="29" s="1"/>
  <c r="Z209" i="29"/>
  <c r="AC209" i="29" s="1"/>
  <c r="Y192" i="29"/>
  <c r="AC192" i="29" s="1"/>
  <c r="Z191" i="29"/>
  <c r="AC191" i="29" s="1"/>
  <c r="Y189" i="29"/>
  <c r="Z189" i="29"/>
  <c r="Z248" i="29"/>
  <c r="AC248" i="29" s="1"/>
  <c r="Y65" i="29"/>
  <c r="AC65" i="29" s="1"/>
  <c r="Z184" i="29"/>
  <c r="AC184" i="29" s="1"/>
  <c r="Y232" i="29"/>
  <c r="AC232" i="29" s="1"/>
  <c r="Z41" i="29"/>
  <c r="AC41" i="29" s="1"/>
  <c r="Y210" i="29"/>
  <c r="AC210" i="29" s="1"/>
  <c r="Z21" i="29"/>
  <c r="AC21" i="29" s="1"/>
  <c r="Z185" i="29"/>
  <c r="Y185" i="29"/>
  <c r="Y254" i="29"/>
  <c r="AC254" i="29" s="1"/>
  <c r="Z255" i="29"/>
  <c r="AC255" i="29" s="1"/>
  <c r="Y257" i="29"/>
  <c r="AC257" i="29" s="1"/>
  <c r="Y245" i="29"/>
  <c r="AC245" i="29" s="1"/>
  <c r="Z224" i="29"/>
  <c r="AC224" i="29" s="1"/>
  <c r="Y198" i="29"/>
  <c r="AC198" i="29" s="1"/>
  <c r="Y195" i="29"/>
  <c r="AC195" i="29" s="1"/>
  <c r="Z199" i="29"/>
  <c r="AC199" i="29" s="1"/>
  <c r="Y186" i="29"/>
  <c r="AC186" i="29" s="1"/>
  <c r="Y70" i="29"/>
  <c r="Z70" i="29"/>
  <c r="AE20" i="29"/>
  <c r="AG20" i="29" s="1"/>
  <c r="E13" i="34"/>
  <c r="AA20" i="29"/>
  <c r="A29" i="17"/>
  <c r="AC230" i="29" l="1"/>
  <c r="AD34" i="29"/>
  <c r="AC34" i="29"/>
  <c r="AD211" i="29"/>
  <c r="AC26" i="29"/>
  <c r="AD56" i="29"/>
  <c r="AD45" i="29"/>
  <c r="AD63" i="29"/>
  <c r="AD21" i="29"/>
  <c r="AD129" i="29"/>
  <c r="AD97" i="29"/>
  <c r="AD208" i="29"/>
  <c r="AD96" i="29"/>
  <c r="AD127" i="29"/>
  <c r="AD128" i="29"/>
  <c r="AD12" i="29"/>
  <c r="AD276" i="29"/>
  <c r="AD137" i="29"/>
  <c r="AD100" i="29"/>
  <c r="AD229" i="29"/>
  <c r="AD116" i="29"/>
  <c r="AD106" i="29"/>
  <c r="AD107" i="29"/>
  <c r="AD179" i="29"/>
  <c r="AD187" i="29"/>
  <c r="AC229" i="29"/>
  <c r="AD20" i="29"/>
  <c r="AD240" i="29"/>
  <c r="AD70" i="29"/>
  <c r="AD43" i="29"/>
  <c r="AD53" i="29"/>
  <c r="AD226" i="29"/>
  <c r="AD194" i="29"/>
  <c r="AD113" i="29"/>
  <c r="AD11" i="29"/>
  <c r="AD83" i="29"/>
  <c r="AD86" i="29"/>
  <c r="AD124" i="29"/>
  <c r="AD224" i="29"/>
  <c r="AD38" i="29"/>
  <c r="AD155" i="29"/>
  <c r="AD85" i="29"/>
  <c r="AD41" i="29"/>
  <c r="AD235" i="29"/>
  <c r="AD278" i="29"/>
  <c r="AD18" i="29"/>
  <c r="AD206" i="29"/>
  <c r="AD201" i="29"/>
  <c r="AD93" i="29"/>
  <c r="AD84" i="29"/>
  <c r="AD200" i="29"/>
  <c r="AD92" i="29"/>
  <c r="AD270" i="29"/>
  <c r="AD272" i="29"/>
  <c r="AD39" i="29"/>
  <c r="AD241" i="29"/>
  <c r="AD210" i="29"/>
  <c r="AD122" i="29"/>
  <c r="AD28" i="29"/>
  <c r="AD217" i="29"/>
  <c r="AD215" i="29"/>
  <c r="AD94" i="29"/>
  <c r="AD231" i="29"/>
  <c r="AD146" i="29"/>
  <c r="AD13" i="29"/>
  <c r="AD251" i="29"/>
  <c r="AD143" i="29"/>
  <c r="AD59" i="29"/>
  <c r="AD87" i="29"/>
  <c r="AD111" i="29"/>
  <c r="AD160" i="29"/>
  <c r="AD69" i="29"/>
  <c r="AD168" i="29"/>
  <c r="AD165" i="29"/>
  <c r="AD50" i="29"/>
  <c r="AD268" i="29"/>
  <c r="AD261" i="29"/>
  <c r="AD246" i="29"/>
  <c r="AD133" i="29"/>
  <c r="AD259" i="29"/>
  <c r="AD207" i="29"/>
  <c r="AD112" i="29"/>
  <c r="AD176" i="29"/>
  <c r="AD180" i="29"/>
  <c r="AD108" i="29"/>
  <c r="AD198" i="29"/>
  <c r="AD68" i="29"/>
  <c r="AD219" i="29"/>
  <c r="AD190" i="29"/>
  <c r="AD245" i="29"/>
  <c r="AD19" i="29"/>
  <c r="AD136" i="29"/>
  <c r="AD115" i="29"/>
  <c r="AD192" i="29"/>
  <c r="AD15" i="29"/>
  <c r="AD81" i="29"/>
  <c r="AC189" i="29"/>
  <c r="AD277" i="29"/>
  <c r="AD57" i="29"/>
  <c r="AD221" i="29"/>
  <c r="AD256" i="29"/>
  <c r="AD61" i="29"/>
  <c r="AD103" i="29"/>
  <c r="AD173" i="29"/>
  <c r="AD253" i="29"/>
  <c r="AD35" i="29"/>
  <c r="AD191" i="29"/>
  <c r="AD204" i="29"/>
  <c r="AD16" i="29"/>
  <c r="AD54" i="29"/>
  <c r="AD247" i="29"/>
  <c r="AD182" i="29"/>
  <c r="AD227" i="29"/>
  <c r="AD237" i="29"/>
  <c r="AD79" i="29"/>
  <c r="AD174" i="29"/>
  <c r="AD40" i="29"/>
  <c r="AD123" i="29"/>
  <c r="AD156" i="29"/>
  <c r="AD89" i="29"/>
  <c r="AD109" i="29"/>
  <c r="AD265" i="29"/>
  <c r="AD212" i="29"/>
  <c r="AD177" i="29"/>
  <c r="AD126" i="29"/>
  <c r="AD255" i="29"/>
  <c r="AD60" i="29"/>
  <c r="AD181" i="29"/>
  <c r="AD90" i="29"/>
  <c r="AD65" i="29"/>
  <c r="AD234" i="29"/>
  <c r="AD74" i="29"/>
  <c r="AD80" i="29"/>
  <c r="AD243" i="29"/>
  <c r="AD114" i="29"/>
  <c r="AD135" i="29"/>
  <c r="AD233" i="29"/>
  <c r="AD252" i="29"/>
  <c r="AD98" i="29"/>
  <c r="AD197" i="29"/>
  <c r="AD145" i="29"/>
  <c r="AD238" i="29"/>
  <c r="AD27" i="29"/>
  <c r="AC70" i="29"/>
  <c r="AD193" i="29"/>
  <c r="AD141" i="29"/>
  <c r="AD184" i="29"/>
  <c r="AD62" i="29"/>
  <c r="AD248" i="29"/>
  <c r="AD42" i="29"/>
  <c r="AD76" i="29"/>
  <c r="AD132" i="29"/>
  <c r="AD9" i="29"/>
  <c r="AD51" i="29"/>
  <c r="AD131" i="29"/>
  <c r="AD266" i="29"/>
  <c r="AD149" i="29"/>
  <c r="AD260" i="29"/>
  <c r="AD66" i="29"/>
  <c r="AD205" i="29"/>
  <c r="AD183" i="29"/>
  <c r="AD72" i="29"/>
  <c r="AD249" i="29"/>
  <c r="AD161" i="29"/>
  <c r="AD37" i="29"/>
  <c r="AD95" i="29"/>
  <c r="AD139" i="29"/>
  <c r="AD46" i="29"/>
  <c r="AD142" i="29"/>
  <c r="AD91" i="29"/>
  <c r="AD23" i="29"/>
  <c r="AD153" i="29"/>
  <c r="AD73" i="29"/>
  <c r="AD239" i="29"/>
  <c r="AD105" i="29"/>
  <c r="AD202" i="29"/>
  <c r="AD167" i="29"/>
  <c r="AD186" i="29"/>
  <c r="AD172" i="29"/>
  <c r="AD150" i="29"/>
  <c r="AD209" i="29"/>
  <c r="AD162" i="29"/>
  <c r="AD244" i="29"/>
  <c r="AD110" i="29"/>
  <c r="AD232" i="29"/>
  <c r="AD159" i="29"/>
  <c r="AD144" i="29"/>
  <c r="AD271" i="29"/>
  <c r="AD214" i="29"/>
  <c r="AD254" i="29"/>
  <c r="AD82" i="29"/>
  <c r="AD242" i="29"/>
  <c r="AD101" i="29"/>
  <c r="AD220" i="29"/>
  <c r="AD178" i="29"/>
  <c r="AD169" i="29"/>
  <c r="AD134" i="29"/>
  <c r="AD75" i="29"/>
  <c r="AD216" i="29"/>
  <c r="AD158" i="29"/>
  <c r="AD140" i="29"/>
  <c r="AD273" i="29"/>
  <c r="AD118" i="29"/>
  <c r="AD267" i="29"/>
  <c r="AD166" i="29"/>
  <c r="AD102" i="29"/>
  <c r="AD125" i="29"/>
  <c r="AD203" i="29"/>
  <c r="AD152" i="29"/>
  <c r="AD225" i="29"/>
  <c r="AD147" i="29"/>
  <c r="AD199" i="29"/>
  <c r="AD163" i="29"/>
  <c r="AD170" i="29"/>
  <c r="AD14" i="29"/>
  <c r="AD120" i="29"/>
  <c r="AD44" i="29"/>
  <c r="AD185" i="29"/>
  <c r="AD164" i="29"/>
  <c r="AD228" i="29"/>
  <c r="AD148" i="29"/>
  <c r="AD71" i="29"/>
  <c r="AD236" i="29"/>
  <c r="AD262" i="29"/>
  <c r="AD151" i="29"/>
  <c r="AD88" i="29"/>
  <c r="AD130" i="29"/>
  <c r="AD49" i="29"/>
  <c r="AD99" i="29"/>
  <c r="AD121" i="29"/>
  <c r="AD47" i="29"/>
  <c r="AD257" i="29"/>
  <c r="AD218" i="29"/>
  <c r="AD188" i="29"/>
  <c r="AD64" i="29"/>
  <c r="AD119" i="29"/>
  <c r="AD157" i="29"/>
  <c r="AD52" i="29"/>
  <c r="AD58" i="29"/>
  <c r="AD175" i="29"/>
  <c r="AD269" i="29"/>
  <c r="AD223" i="29"/>
  <c r="AD36" i="29"/>
  <c r="AD48" i="29"/>
  <c r="AC185" i="29"/>
  <c r="A2" i="29"/>
  <c r="AI20" i="29"/>
  <c r="AK20" i="29" s="1"/>
  <c r="AF25" i="29" l="1"/>
  <c r="Y25" i="29" s="1"/>
  <c r="AF10" i="29"/>
  <c r="Z25" i="29"/>
  <c r="AB25" i="29"/>
  <c r="AA25" i="29"/>
  <c r="AF264" i="29"/>
  <c r="Z264" i="29" s="1"/>
  <c r="AF222" i="29"/>
  <c r="AF280" i="29"/>
  <c r="Z280" i="29" s="1"/>
  <c r="AF32" i="29"/>
  <c r="AF77" i="29"/>
  <c r="AB77" i="29" s="1"/>
  <c r="AF78" i="29"/>
  <c r="AF250" i="29"/>
  <c r="Z250" i="29" s="1"/>
  <c r="AF213" i="29"/>
  <c r="AF154" i="29"/>
  <c r="Z154" i="29" s="1"/>
  <c r="AF17" i="29"/>
  <c r="AF258" i="29"/>
  <c r="Y258" i="29" s="1"/>
  <c r="AF275" i="29"/>
  <c r="AF263" i="29"/>
  <c r="Y263" i="29" s="1"/>
  <c r="AF274" i="29"/>
  <c r="AF279" i="29"/>
  <c r="Z279" i="29" s="1"/>
  <c r="AF117" i="29"/>
  <c r="AF55" i="29"/>
  <c r="Z55" i="29" s="1"/>
  <c r="AF138" i="29"/>
  <c r="AF67" i="29"/>
  <c r="Y67" i="29" s="1"/>
  <c r="AF171" i="29"/>
  <c r="AF24" i="29"/>
  <c r="Y132" i="29"/>
  <c r="C27" i="34"/>
  <c r="C27" i="17"/>
  <c r="D28" i="17"/>
  <c r="D28" i="34"/>
  <c r="E10" i="34" s="1"/>
  <c r="Z10" i="29" l="1"/>
  <c r="Y10" i="29"/>
  <c r="AA10" i="29"/>
  <c r="AB10" i="29"/>
  <c r="AD25" i="29"/>
  <c r="AC25" i="29"/>
  <c r="AA264" i="29"/>
  <c r="AB264" i="29"/>
  <c r="Y264" i="29"/>
  <c r="AC264" i="29" s="1"/>
  <c r="AA222" i="29"/>
  <c r="Z222" i="29"/>
  <c r="Y222" i="29"/>
  <c r="AB222" i="29"/>
  <c r="AA280" i="29"/>
  <c r="Y280" i="29"/>
  <c r="AC280" i="29" s="1"/>
  <c r="AB280" i="29"/>
  <c r="AA32" i="29"/>
  <c r="AB32" i="29"/>
  <c r="Y32" i="29"/>
  <c r="Z32" i="29"/>
  <c r="Z77" i="29"/>
  <c r="Y77" i="29"/>
  <c r="AA77" i="29"/>
  <c r="AD77" i="29" s="1"/>
  <c r="Y78" i="29"/>
  <c r="Z78" i="29"/>
  <c r="AA78" i="29"/>
  <c r="AB78" i="29"/>
  <c r="AA250" i="29"/>
  <c r="Y250" i="29"/>
  <c r="AC250" i="29" s="1"/>
  <c r="AB250" i="29"/>
  <c r="Z213" i="29"/>
  <c r="Y213" i="29"/>
  <c r="AB213" i="29"/>
  <c r="AA213" i="29"/>
  <c r="AA154" i="29"/>
  <c r="AB154" i="29"/>
  <c r="Y154" i="29"/>
  <c r="AC154" i="29" s="1"/>
  <c r="Y17" i="29"/>
  <c r="Z17" i="29"/>
  <c r="AA17" i="29"/>
  <c r="AB17" i="29"/>
  <c r="AA258" i="29"/>
  <c r="AB258" i="29"/>
  <c r="Z258" i="29"/>
  <c r="AC258" i="29" s="1"/>
  <c r="Y275" i="29"/>
  <c r="Z275" i="29"/>
  <c r="AA275" i="29"/>
  <c r="AB275" i="29"/>
  <c r="AA263" i="29"/>
  <c r="AB263" i="29"/>
  <c r="Z263" i="29"/>
  <c r="AC263" i="29" s="1"/>
  <c r="Y274" i="29"/>
  <c r="Z274" i="29"/>
  <c r="AB274" i="29"/>
  <c r="AA274" i="29"/>
  <c r="AB279" i="29"/>
  <c r="AA279" i="29"/>
  <c r="Y279" i="29"/>
  <c r="AC279" i="29" s="1"/>
  <c r="AB117" i="29"/>
  <c r="AA117" i="29"/>
  <c r="Z117" i="29"/>
  <c r="Y117" i="29"/>
  <c r="Y55" i="29"/>
  <c r="AC55" i="29" s="1"/>
  <c r="AB55" i="29"/>
  <c r="AA55" i="29"/>
  <c r="Y138" i="29"/>
  <c r="Z138" i="29"/>
  <c r="AA138" i="29"/>
  <c r="AB138" i="29"/>
  <c r="AA67" i="29"/>
  <c r="AB67" i="29"/>
  <c r="Z67" i="29"/>
  <c r="AC67" i="29" s="1"/>
  <c r="AA171" i="29"/>
  <c r="AB171" i="29"/>
  <c r="Z171" i="29"/>
  <c r="Y171" i="29"/>
  <c r="Y24" i="29"/>
  <c r="AB24" i="29"/>
  <c r="Z24" i="29"/>
  <c r="AA24" i="29"/>
  <c r="Z130" i="29"/>
  <c r="Y130" i="29"/>
  <c r="Z50" i="29"/>
  <c r="Y50" i="29"/>
  <c r="Z261" i="29"/>
  <c r="Y261" i="29"/>
  <c r="Z132" i="29"/>
  <c r="AC132" i="29" s="1"/>
  <c r="Y116" i="29"/>
  <c r="Z116" i="29"/>
  <c r="Y188" i="29"/>
  <c r="Z188" i="29"/>
  <c r="A12" i="17"/>
  <c r="E10" i="17" s="1"/>
  <c r="AD10" i="29" l="1"/>
  <c r="AC10" i="29"/>
  <c r="AD264" i="29"/>
  <c r="AC222" i="29"/>
  <c r="AD222" i="29"/>
  <c r="AD280" i="29"/>
  <c r="AC32" i="29"/>
  <c r="AD32" i="29"/>
  <c r="AC77" i="29"/>
  <c r="AD78" i="29"/>
  <c r="AC78" i="29"/>
  <c r="AD250" i="29"/>
  <c r="AC213" i="29"/>
  <c r="AD213" i="29"/>
  <c r="AD154" i="29"/>
  <c r="AD17" i="29"/>
  <c r="AC17" i="29"/>
  <c r="AD258" i="29"/>
  <c r="AD275" i="29"/>
  <c r="AC275" i="29"/>
  <c r="AD263" i="29"/>
  <c r="AC274" i="29"/>
  <c r="AD274" i="29"/>
  <c r="AD279" i="29"/>
  <c r="AD117" i="29"/>
  <c r="AC117" i="29"/>
  <c r="AD55" i="29"/>
  <c r="AD138" i="29"/>
  <c r="AC138" i="29"/>
  <c r="AD67" i="29"/>
  <c r="AD171" i="29"/>
  <c r="AC171" i="29"/>
  <c r="AD24" i="29"/>
  <c r="AC24" i="29"/>
  <c r="AC50" i="29"/>
  <c r="AC116" i="29"/>
  <c r="AC261" i="29"/>
  <c r="AC130" i="29"/>
  <c r="AC188" i="29"/>
  <c r="E13" i="17"/>
  <c r="O42" i="10" l="1"/>
  <c r="O14" i="10"/>
  <c r="O67" i="10"/>
  <c r="O10" i="10"/>
  <c r="O41" i="10"/>
  <c r="O72" i="10"/>
  <c r="O58" i="10"/>
  <c r="O29" i="10"/>
  <c r="O6" i="10"/>
  <c r="O54" i="10"/>
  <c r="O77" i="10"/>
  <c r="O30" i="10"/>
  <c r="O4" i="10"/>
  <c r="O64" i="10"/>
  <c r="O78" i="10"/>
  <c r="O19" i="10"/>
  <c r="O8" i="10"/>
  <c r="O26" i="10"/>
  <c r="O36" i="10"/>
  <c r="O20" i="10"/>
  <c r="O17" i="10"/>
  <c r="O25" i="10"/>
  <c r="O5" i="10"/>
  <c r="O35" i="10"/>
  <c r="O39" i="10"/>
  <c r="O63" i="10"/>
  <c r="O79" i="10"/>
  <c r="O44" i="10"/>
  <c r="O69" i="10"/>
  <c r="O43" i="10"/>
  <c r="O23" i="10"/>
  <c r="O18" i="10"/>
  <c r="O28" i="10"/>
  <c r="O75" i="10"/>
  <c r="O65" i="10"/>
  <c r="O45" i="10"/>
  <c r="O61" i="10"/>
  <c r="O55" i="10"/>
  <c r="O22" i="10"/>
  <c r="O7" i="10"/>
  <c r="O46" i="10"/>
  <c r="O27" i="10"/>
  <c r="O70" i="10"/>
  <c r="O16" i="10"/>
  <c r="O38" i="10"/>
  <c r="O21" i="10"/>
  <c r="O76" i="10"/>
  <c r="O73" i="10"/>
  <c r="O33" i="10"/>
  <c r="O9" i="10"/>
  <c r="O31" i="10"/>
  <c r="O24" i="10"/>
  <c r="O32" i="10"/>
  <c r="O11" i="10"/>
  <c r="O13" i="10"/>
  <c r="O57" i="10"/>
  <c r="O59" i="10"/>
  <c r="O12" i="10"/>
  <c r="O34" i="10"/>
  <c r="O40" i="10"/>
  <c r="O48" i="10"/>
  <c r="O74" i="10"/>
  <c r="O37" i="10"/>
  <c r="O66" i="10"/>
  <c r="O62" i="10"/>
  <c r="O81" i="10"/>
  <c r="O56" i="10"/>
  <c r="O60" i="10"/>
  <c r="O51" i="10"/>
  <c r="O53" i="10"/>
  <c r="O68" i="10"/>
  <c r="O15" i="10"/>
  <c r="O3" i="10"/>
  <c r="O49" i="10"/>
  <c r="O52" i="10"/>
  <c r="O71" i="10"/>
  <c r="O80" i="10"/>
  <c r="O50" i="10"/>
  <c r="O47" i="10"/>
  <c r="N41" i="10"/>
  <c r="N59" i="10"/>
  <c r="N29" i="10"/>
  <c r="N76" i="10"/>
  <c r="N61" i="10"/>
  <c r="N49" i="10"/>
  <c r="N13" i="10"/>
  <c r="N64" i="10"/>
  <c r="N43" i="10"/>
  <c r="N25" i="10"/>
  <c r="N31" i="10"/>
  <c r="N70" i="10"/>
  <c r="N66" i="10"/>
  <c r="N71" i="10"/>
  <c r="N4" i="10"/>
  <c r="N36" i="10"/>
  <c r="N78" i="10"/>
  <c r="N18" i="10"/>
  <c r="N35" i="10"/>
  <c r="N45" i="10"/>
  <c r="N6" i="10"/>
  <c r="N58" i="10"/>
  <c r="N54" i="10"/>
  <c r="N15" i="10"/>
  <c r="N52" i="10"/>
  <c r="N9" i="10"/>
  <c r="N34" i="10"/>
  <c r="N39" i="10"/>
  <c r="N74" i="10"/>
  <c r="N23" i="10"/>
  <c r="N73" i="10"/>
  <c r="N5" i="10"/>
  <c r="N69" i="10"/>
  <c r="N27" i="10"/>
  <c r="N32" i="10"/>
  <c r="N21" i="10"/>
  <c r="N77" i="10"/>
  <c r="N67" i="10"/>
  <c r="N20" i="10"/>
  <c r="N10" i="10"/>
  <c r="N28" i="10"/>
  <c r="N26" i="10"/>
  <c r="N81" i="10"/>
  <c r="N60" i="10"/>
  <c r="N8" i="10"/>
  <c r="N33" i="10"/>
  <c r="N75" i="10"/>
  <c r="N42" i="10"/>
  <c r="N48" i="10"/>
  <c r="N17" i="10"/>
  <c r="N11" i="10"/>
  <c r="N47" i="10"/>
  <c r="N63" i="10"/>
  <c r="N72" i="10"/>
  <c r="N37" i="10"/>
  <c r="N79" i="10"/>
  <c r="N80" i="10"/>
  <c r="N68" i="10"/>
  <c r="N44" i="10"/>
  <c r="N55" i="10"/>
  <c r="N57" i="10"/>
  <c r="N19" i="10"/>
  <c r="N38" i="10"/>
  <c r="N16" i="10"/>
  <c r="N40" i="10"/>
  <c r="N53" i="10"/>
  <c r="N24" i="10"/>
  <c r="N3" i="10"/>
  <c r="N12" i="10"/>
  <c r="N30" i="10"/>
  <c r="N51" i="10"/>
  <c r="N46" i="10"/>
  <c r="N22" i="10"/>
  <c r="N65" i="10"/>
  <c r="N50" i="10"/>
  <c r="N56" i="10"/>
  <c r="N7" i="10"/>
  <c r="N62" i="10"/>
  <c r="N14" i="10"/>
</calcChain>
</file>

<file path=xl/comments1.xml><?xml version="1.0" encoding="utf-8"?>
<comments xmlns="http://schemas.openxmlformats.org/spreadsheetml/2006/main">
  <authors>
    <author>charles.neeley</author>
    <author>Neeley, Charles T SSG USARMY NG MSARNG (US)</author>
    <author>Neeley, Charles T SFC USARMY NG MSARNG (US)</author>
  </authors>
  <commentList>
    <comment ref="J3" authorId="0" shapeId="0">
      <text>
        <r>
          <rPr>
            <b/>
            <sz val="9"/>
            <color indexed="81"/>
            <rFont val="Tahoma"/>
            <family val="2"/>
          </rPr>
          <t xml:space="preserve">Enter a date from the "Current Run" column on the "Calibration Run Schedule". This will allow the cell below this one to autopopulate and the program can figure what needs to be highlighted to take before it becomes delinquent.
</t>
        </r>
      </text>
    </comment>
    <comment ref="J4" authorId="0" shapeId="0">
      <text>
        <r>
          <rPr>
            <b/>
            <sz val="11"/>
            <color indexed="81"/>
            <rFont val="Tahoma"/>
            <family val="2"/>
          </rPr>
          <t>Should auto populate if date above matches one of the dates on the "Calibration Run Schedule" sheet in the Current Run Column</t>
        </r>
      </text>
    </comment>
    <comment ref="A8" authorId="0" shapeId="0">
      <text>
        <r>
          <rPr>
            <b/>
            <sz val="11"/>
            <color indexed="81"/>
            <rFont val="Tahoma"/>
            <family val="2"/>
          </rPr>
          <t>Enter exactly as it is on the IMFR Report</t>
        </r>
        <r>
          <rPr>
            <sz val="9"/>
            <color indexed="81"/>
            <rFont val="Tahoma"/>
            <family val="2"/>
          </rPr>
          <t xml:space="preserve">
</t>
        </r>
      </text>
    </comment>
    <comment ref="B8" authorId="0" shapeId="0">
      <text>
        <r>
          <rPr>
            <b/>
            <sz val="11"/>
            <color indexed="81"/>
            <rFont val="Tahoma"/>
            <family val="2"/>
          </rPr>
          <t xml:space="preserve">Enter the serial number exactly as it is on the IMFR report.
If there is a conflict between the report  put both numbers in this column seperated by a "space / space". This ensures that data can be found using search
</t>
        </r>
      </text>
    </comment>
    <comment ref="C8" authorId="0" shapeId="0">
      <text>
        <r>
          <rPr>
            <b/>
            <sz val="11"/>
            <color indexed="81"/>
            <rFont val="Tahoma"/>
            <family val="2"/>
          </rPr>
          <t>Insert Line Number For property book items.
Insert "H" for items that belong to a unit and have been hand receipted to the facility. This data is used to compute the number if proberty book items on the "Availability-Delinquent Rate" Sheet</t>
        </r>
      </text>
    </comment>
    <comment ref="D8" authorId="0" shapeId="0">
      <text>
        <r>
          <rPr>
            <b/>
            <sz val="9"/>
            <color indexed="81"/>
            <rFont val="Tahoma"/>
            <family val="2"/>
          </rPr>
          <t xml:space="preserve">This field does not have much relation to the PB column. </t>
        </r>
      </text>
    </comment>
    <comment ref="F8" authorId="0" shapeId="0">
      <text>
        <r>
          <rPr>
            <b/>
            <sz val="11"/>
            <color indexed="81"/>
            <rFont val="Tahoma"/>
            <family val="2"/>
          </rPr>
          <t>If this is a torque wrench be sure to put the torque range first and if the model number on the IMFR is different put it after the range, This allows you to filter only a certain range of torque wrenchs to ensure that their calibration dates are all different. and stilll use the search feature to find any thing on the IMFR l.ist
All other items enter the model number exactly as per the IMFR list</t>
        </r>
      </text>
    </comment>
    <comment ref="I8" authorId="0" shapeId="0">
      <text>
        <r>
          <rPr>
            <b/>
            <sz val="11"/>
            <color indexed="81"/>
            <rFont val="Tahoma"/>
            <family val="2"/>
          </rPr>
          <t xml:space="preserve">Us the Nomenclature that is on the IMFR List exactly as it is written.
</t>
        </r>
        <r>
          <rPr>
            <sz val="9"/>
            <color indexed="81"/>
            <rFont val="Tahoma"/>
            <family val="2"/>
          </rPr>
          <t xml:space="preserve">
</t>
        </r>
      </text>
    </comment>
    <comment ref="J8" authorId="0" shapeId="0">
      <text>
        <r>
          <rPr>
            <b/>
            <sz val="11"/>
            <color indexed="81"/>
            <rFont val="Tahoma"/>
            <family val="2"/>
          </rPr>
          <t xml:space="preserve">Enter without dashes, otherwise copying and pasting in a PDF search is difficult. Highlighting the cell can be done manually.
</t>
        </r>
        <r>
          <rPr>
            <sz val="9"/>
            <color indexed="81"/>
            <rFont val="Tahoma"/>
            <family val="2"/>
          </rPr>
          <t xml:space="preserve">
</t>
        </r>
      </text>
    </comment>
    <comment ref="K8" authorId="0" shapeId="0">
      <text>
        <r>
          <rPr>
            <b/>
            <sz val="11"/>
            <color indexed="81"/>
            <rFont val="Tahoma"/>
            <family val="2"/>
          </rPr>
          <t xml:space="preserve">Insert the last calibration date here (not the day it was returned to the facility). This will be used to calculate the next calibration date.
</t>
        </r>
        <r>
          <rPr>
            <sz val="11"/>
            <color indexed="81"/>
            <rFont val="Tahoma"/>
            <family val="2"/>
          </rPr>
          <t xml:space="preserve">
</t>
        </r>
      </text>
    </comment>
    <comment ref="L8" authorId="0" shapeId="0">
      <text>
        <r>
          <rPr>
            <b/>
            <sz val="11"/>
            <color indexed="81"/>
            <rFont val="Tahoma"/>
            <family val="2"/>
          </rPr>
          <t xml:space="preserve">Insert the Calibration interval as per TB 43-180. This number will be added to the Last Cal Date to compute the next cal due date. If any cell is colored it has to be done manully to call attention to that cell.
</t>
        </r>
        <r>
          <rPr>
            <sz val="9"/>
            <color indexed="81"/>
            <rFont val="Tahoma"/>
            <family val="2"/>
          </rPr>
          <t xml:space="preserve">
</t>
        </r>
      </text>
    </comment>
    <comment ref="M8" authorId="0" shapeId="0">
      <text>
        <r>
          <rPr>
            <b/>
            <sz val="12"/>
            <color indexed="10"/>
            <rFont val="Tahoma"/>
            <family val="2"/>
          </rPr>
          <t>DO NOT ENTER DATA INTO THIS COLUMN. It has a formula to to calculate the next due date. It will add the interval amount to the Last Cal Date.</t>
        </r>
        <r>
          <rPr>
            <sz val="11"/>
            <color indexed="81"/>
            <rFont val="Tahoma"/>
            <family val="2"/>
          </rPr>
          <t xml:space="preserve">
</t>
        </r>
      </text>
    </comment>
    <comment ref="O8" authorId="0" shapeId="0">
      <text>
        <r>
          <rPr>
            <b/>
            <sz val="14"/>
            <color indexed="10"/>
            <rFont val="Tahoma"/>
            <family val="2"/>
          </rPr>
          <t>DO NOT ENTER data into this column! It has a formula to turn it Red and put the word "DEL" for "delinquent" if the item is past due for calibration.</t>
        </r>
        <r>
          <rPr>
            <b/>
            <sz val="12"/>
            <color indexed="81"/>
            <rFont val="Tahoma"/>
            <family val="2"/>
          </rPr>
          <t xml:space="preserve">
</t>
        </r>
      </text>
    </comment>
    <comment ref="P8" authorId="0" shapeId="0">
      <text>
        <r>
          <rPr>
            <b/>
            <sz val="11"/>
            <color indexed="81"/>
            <rFont val="Tahoma"/>
            <family val="2"/>
          </rPr>
          <t>Use this column to show that an item is at the Lab or that it is projected to go to the Lab. Insert either "Projected" or "At Lab". the present date can be added by holding down the control key and pressing ":" The cell will color automatically: Blue for item at the Lab, Orange for Items projected and Yellow for any other items due in less than 45 days. Example Data are: "Projected" if it has been projected on the data from the lab. or "12/15/2011... at lab" THE ENTRY MUST CONTAIN EITHER "Projected" or "at lab" for the formulas to work correctly.</t>
        </r>
      </text>
    </comment>
    <comment ref="Q8" authorId="0" shapeId="0">
      <text>
        <r>
          <rPr>
            <b/>
            <sz val="11"/>
            <color indexed="81"/>
            <rFont val="Tahoma"/>
            <family val="2"/>
          </rPr>
          <t>Insert "AP" for any items that are awaiting Pickup. This information is used to calculate the "Ready For Pickup" data at the top of the page</t>
        </r>
        <r>
          <rPr>
            <sz val="11"/>
            <color indexed="81"/>
            <rFont val="Tahoma"/>
            <family val="2"/>
          </rPr>
          <t xml:space="preserve">
</t>
        </r>
      </text>
    </comment>
    <comment ref="R8" authorId="0" shapeId="0">
      <text>
        <r>
          <rPr>
            <b/>
            <sz val="11"/>
            <color indexed="81"/>
            <rFont val="Tahoma"/>
            <family val="2"/>
          </rPr>
          <t xml:space="preserve">Column is used to initial when items are </t>
        </r>
        <r>
          <rPr>
            <b/>
            <u/>
            <sz val="11"/>
            <color indexed="81"/>
            <rFont val="Tahoma"/>
            <family val="2"/>
          </rPr>
          <t>sent</t>
        </r>
        <r>
          <rPr>
            <b/>
            <sz val="11"/>
            <color indexed="81"/>
            <rFont val="Tahoma"/>
            <family val="2"/>
          </rPr>
          <t xml:space="preserve"> to the lab.</t>
        </r>
        <r>
          <rPr>
            <b/>
            <sz val="9"/>
            <color indexed="81"/>
            <rFont val="Tahoma"/>
            <family val="2"/>
          </rPr>
          <t xml:space="preserve">
</t>
        </r>
        <r>
          <rPr>
            <sz val="9"/>
            <color indexed="81"/>
            <rFont val="Tahoma"/>
            <family val="2"/>
          </rPr>
          <t xml:space="preserve">
</t>
        </r>
      </text>
    </comment>
    <comment ref="S8" authorId="0" shapeId="0">
      <text>
        <r>
          <rPr>
            <b/>
            <sz val="11"/>
            <color indexed="81"/>
            <rFont val="Tahoma"/>
            <family val="2"/>
          </rPr>
          <t xml:space="preserve">Column is used to initial when items are </t>
        </r>
        <r>
          <rPr>
            <b/>
            <u/>
            <sz val="11"/>
            <color indexed="81"/>
            <rFont val="Tahoma"/>
            <family val="2"/>
          </rPr>
          <t xml:space="preserve">returned </t>
        </r>
        <r>
          <rPr>
            <b/>
            <sz val="11"/>
            <color indexed="81"/>
            <rFont val="Tahoma"/>
            <family val="2"/>
          </rPr>
          <t>from the lab.</t>
        </r>
        <r>
          <rPr>
            <sz val="11"/>
            <color indexed="81"/>
            <rFont val="Tahoma"/>
            <family val="2"/>
          </rPr>
          <t xml:space="preserve">
</t>
        </r>
      </text>
    </comment>
    <comment ref="U8" authorId="0" shapeId="0">
      <text>
        <r>
          <rPr>
            <b/>
            <sz val="11"/>
            <color indexed="81"/>
            <rFont val="Tahoma"/>
            <family val="2"/>
          </rPr>
          <t>This column can be used to enter notes. Please enter like entries in a like manner to make filtering and sorting easier. Todays date can be added by holding the control key and pressing ":" EXAMPLE: "12/15/2011…any comment"</t>
        </r>
        <r>
          <rPr>
            <b/>
            <sz val="9"/>
            <color indexed="81"/>
            <rFont val="Tahoma"/>
            <family val="2"/>
          </rPr>
          <t xml:space="preserve">
</t>
        </r>
        <r>
          <rPr>
            <sz val="9"/>
            <color indexed="81"/>
            <rFont val="Tahoma"/>
            <family val="2"/>
          </rPr>
          <t xml:space="preserve">
</t>
        </r>
      </text>
    </comment>
    <comment ref="V8" authorId="0" shapeId="0">
      <text>
        <r>
          <rPr>
            <b/>
            <sz val="11"/>
            <color indexed="81"/>
            <rFont val="Tahoma"/>
            <family val="2"/>
          </rPr>
          <t>This comumn is used to tell which shop the tool is in. Use it to filter by shop to print the lists that are given to the individual 
shops.</t>
        </r>
      </text>
    </comment>
    <comment ref="AH8" authorId="0" shapeId="0">
      <text>
        <r>
          <rPr>
            <b/>
            <sz val="9"/>
            <color indexed="81"/>
            <rFont val="Tahoma"/>
            <family val="2"/>
          </rPr>
          <t>charles.neeley:</t>
        </r>
        <r>
          <rPr>
            <sz val="9"/>
            <color indexed="81"/>
            <rFont val="Tahoma"/>
            <family val="2"/>
          </rPr>
          <t xml:space="preserve">Do not enter date. This field should be hidden.
</t>
        </r>
      </text>
    </comment>
    <comment ref="AI8" authorId="0" shapeId="0">
      <text>
        <r>
          <rPr>
            <b/>
            <sz val="9"/>
            <color indexed="81"/>
            <rFont val="Tahoma"/>
            <family val="2"/>
          </rPr>
          <t>Do Not enter data: Formula should equal "1" if item shows Delinquent in column "Q"</t>
        </r>
        <r>
          <rPr>
            <sz val="9"/>
            <color indexed="81"/>
            <rFont val="Tahoma"/>
            <family val="2"/>
          </rPr>
          <t xml:space="preserve">
</t>
        </r>
      </text>
    </comment>
    <comment ref="AJ8" authorId="0" shapeId="0">
      <text>
        <r>
          <rPr>
            <b/>
            <sz val="9"/>
            <color indexed="81"/>
            <rFont val="Tahoma"/>
            <family val="2"/>
          </rPr>
          <t>Do Not Enter Data: formula should show a "1" if Column "V" contains "at Lab"</t>
        </r>
        <r>
          <rPr>
            <sz val="9"/>
            <color indexed="81"/>
            <rFont val="Tahoma"/>
            <family val="2"/>
          </rPr>
          <t xml:space="preserve">
</t>
        </r>
      </text>
    </comment>
    <comment ref="L9" authorId="0" shapeId="0">
      <text>
        <r>
          <rPr>
            <b/>
            <sz val="9"/>
            <color indexed="81"/>
            <rFont val="Tahoma"/>
            <family val="2"/>
          </rPr>
          <t>10/3/2014… IMFR shows change from 420 days to 360 days</t>
        </r>
      </text>
    </comment>
    <comment ref="L11" authorId="0" shapeId="0">
      <text>
        <r>
          <rPr>
            <b/>
            <sz val="9"/>
            <color indexed="81"/>
            <rFont val="Tahoma"/>
            <family val="2"/>
          </rPr>
          <t>10/3/2014… IMFR shows change from 420 days to 360 days</t>
        </r>
        <r>
          <rPr>
            <sz val="9"/>
            <color indexed="81"/>
            <rFont val="Tahoma"/>
            <family val="2"/>
          </rPr>
          <t xml:space="preserve">
</t>
        </r>
      </text>
    </comment>
    <comment ref="B27" authorId="0" shapeId="0">
      <text>
        <r>
          <rPr>
            <b/>
            <sz val="9"/>
            <color indexed="81"/>
            <rFont val="Tahoma"/>
            <family val="2"/>
          </rPr>
          <t>1/6/2015… not on Property book</t>
        </r>
      </text>
    </comment>
    <comment ref="L27" authorId="0" shapeId="0">
      <text>
        <r>
          <rPr>
            <b/>
            <sz val="9"/>
            <color indexed="81"/>
            <rFont val="Tahoma"/>
            <family val="2"/>
          </rPr>
          <t>20140801… Returned from lab with interval change from 360 to 480. 3/14/2017… Returned with interval of 720</t>
        </r>
      </text>
    </comment>
    <comment ref="L28" authorId="1" shapeId="0">
      <text>
        <r>
          <rPr>
            <b/>
            <sz val="9"/>
            <color indexed="81"/>
            <rFont val="Tahoma"/>
            <family val="2"/>
          </rPr>
          <t>5/9/2017… changed from 480 to 720</t>
        </r>
        <r>
          <rPr>
            <sz val="9"/>
            <color indexed="81"/>
            <rFont val="Tahoma"/>
            <family val="2"/>
          </rPr>
          <t xml:space="preserve">
</t>
        </r>
      </text>
    </comment>
    <comment ref="L30" authorId="2" shapeId="0">
      <text>
        <r>
          <rPr>
            <b/>
            <sz val="9"/>
            <color indexed="81"/>
            <rFont val="Tahoma"/>
            <family val="2"/>
          </rPr>
          <t>as Per the Part number (M85352/1) and system code USA</t>
        </r>
      </text>
    </comment>
    <comment ref="F35" authorId="1" shapeId="0">
      <text>
        <r>
          <rPr>
            <b/>
            <sz val="9"/>
            <color indexed="81"/>
            <rFont val="Tahoma"/>
            <family val="2"/>
          </rPr>
          <t>20160801… Brought to  me from supply. Does not show up in TB 43-180 DTD 20160701. Will send to CAL LAB to verify calibration needs.</t>
        </r>
        <r>
          <rPr>
            <sz val="9"/>
            <color indexed="81"/>
            <rFont val="Tahoma"/>
            <family val="2"/>
          </rPr>
          <t xml:space="preserve">
</t>
        </r>
      </text>
    </comment>
    <comment ref="A37" authorId="1" shapeId="0">
      <text>
        <r>
          <rPr>
            <b/>
            <sz val="9"/>
            <color indexed="81"/>
            <rFont val="Tahoma"/>
            <family val="2"/>
          </rPr>
          <t>Old ID MS4626</t>
        </r>
        <r>
          <rPr>
            <sz val="9"/>
            <color indexed="81"/>
            <rFont val="Tahoma"/>
            <family val="2"/>
          </rPr>
          <t xml:space="preserve">
</t>
        </r>
      </text>
    </comment>
    <comment ref="A40" authorId="0" shapeId="0">
      <text>
        <r>
          <rPr>
            <sz val="9"/>
            <color indexed="81"/>
            <rFont val="Tahoma"/>
            <family val="2"/>
          </rPr>
          <t xml:space="preserve">Old ID code was ALR494
</t>
        </r>
      </text>
    </comment>
    <comment ref="L41" authorId="1" shapeId="0">
      <text>
        <r>
          <rPr>
            <b/>
            <sz val="9"/>
            <color indexed="81"/>
            <rFont val="Tahoma"/>
            <family val="2"/>
          </rPr>
          <t xml:space="preserve">5/9/2017… changed from 840 to 720
</t>
        </r>
        <r>
          <rPr>
            <sz val="9"/>
            <color indexed="81"/>
            <rFont val="Tahoma"/>
            <family val="2"/>
          </rPr>
          <t xml:space="preserve">
</t>
        </r>
      </text>
    </comment>
    <comment ref="L51" authorId="1" shapeId="0">
      <text>
        <r>
          <rPr>
            <b/>
            <sz val="9"/>
            <color indexed="81"/>
            <rFont val="Tahoma"/>
            <family val="2"/>
          </rPr>
          <t>5/9/2017… Changed from 360 to 720</t>
        </r>
        <r>
          <rPr>
            <sz val="9"/>
            <color indexed="81"/>
            <rFont val="Tahoma"/>
            <family val="2"/>
          </rPr>
          <t xml:space="preserve">
</t>
        </r>
      </text>
    </comment>
    <comment ref="L52" authorId="1" shapeId="0">
      <text>
        <r>
          <rPr>
            <b/>
            <sz val="9"/>
            <color indexed="81"/>
            <rFont val="Tahoma"/>
            <family val="2"/>
          </rPr>
          <t>5/9/2017… Changed from 360 to 720</t>
        </r>
      </text>
    </comment>
    <comment ref="A56" authorId="0" shapeId="0">
      <text>
        <r>
          <rPr>
            <sz val="9"/>
            <color indexed="81"/>
            <rFont val="Tahoma"/>
            <family val="2"/>
          </rPr>
          <t xml:space="preserve">20140731… Handreceipt from Lab shows new ID of MS4911, OLD ID was BPM440
</t>
        </r>
      </text>
    </comment>
    <comment ref="I57" authorId="0" shapeId="0">
      <text>
        <r>
          <rPr>
            <b/>
            <sz val="9"/>
            <color indexed="81"/>
            <rFont val="Tahoma"/>
            <family val="2"/>
          </rPr>
          <t>01/15/2015… Gages in Kit are calibrated as a Kit so there will only be one ID number per kit</t>
        </r>
        <r>
          <rPr>
            <sz val="9"/>
            <color indexed="81"/>
            <rFont val="Tahoma"/>
            <family val="2"/>
          </rPr>
          <t xml:space="preserve">
</t>
        </r>
      </text>
    </comment>
    <comment ref="L57" authorId="0" shapeId="0">
      <text>
        <r>
          <rPr>
            <b/>
            <sz val="9"/>
            <color indexed="81"/>
            <rFont val="Tahoma"/>
            <family val="2"/>
          </rPr>
          <t>1/15/2015… changed interal to 240 days as per lab</t>
        </r>
        <r>
          <rPr>
            <sz val="9"/>
            <color indexed="81"/>
            <rFont val="Tahoma"/>
            <family val="2"/>
          </rPr>
          <t xml:space="preserve">
</t>
        </r>
      </text>
    </comment>
    <comment ref="I58" authorId="0" shapeId="0">
      <text>
        <r>
          <rPr>
            <b/>
            <sz val="9"/>
            <color indexed="81"/>
            <rFont val="Tahoma"/>
            <family val="2"/>
          </rPr>
          <t xml:space="preserve">01/15/2015… Gages in Kit are calibrated as a Kit so there will only be one ID number per kit
</t>
        </r>
        <r>
          <rPr>
            <sz val="9"/>
            <color indexed="81"/>
            <rFont val="Tahoma"/>
            <family val="2"/>
          </rPr>
          <t xml:space="preserve">
</t>
        </r>
      </text>
    </comment>
    <comment ref="L58" authorId="0" shapeId="0">
      <text>
        <r>
          <rPr>
            <b/>
            <sz val="9"/>
            <color indexed="81"/>
            <rFont val="Tahoma"/>
            <family val="2"/>
          </rPr>
          <t>1/15/2015… changed interal to 240 days as per lab</t>
        </r>
        <r>
          <rPr>
            <sz val="9"/>
            <color indexed="81"/>
            <rFont val="Tahoma"/>
            <family val="2"/>
          </rPr>
          <t xml:space="preserve">
</t>
        </r>
      </text>
    </comment>
    <comment ref="A65" authorId="0" shapeId="0">
      <text>
        <r>
          <rPr>
            <b/>
            <sz val="9"/>
            <color indexed="81"/>
            <rFont val="Tahoma"/>
            <family val="2"/>
          </rPr>
          <t>20140109… Old ID MS2212</t>
        </r>
        <r>
          <rPr>
            <sz val="9"/>
            <color indexed="81"/>
            <rFont val="Tahoma"/>
            <family val="2"/>
          </rPr>
          <t xml:space="preserve">
</t>
        </r>
      </text>
    </comment>
    <comment ref="F65" authorId="0" shapeId="0">
      <text>
        <r>
          <rPr>
            <b/>
            <sz val="9"/>
            <color indexed="81"/>
            <rFont val="Tahoma"/>
            <family val="2"/>
          </rPr>
          <t>This item has 8 different calibrated components. The watt meter is 360 days and all other are 720 day intervals</t>
        </r>
        <r>
          <rPr>
            <sz val="9"/>
            <color indexed="81"/>
            <rFont val="Tahoma"/>
            <family val="2"/>
          </rPr>
          <t xml:space="preserve">
</t>
        </r>
      </text>
    </comment>
    <comment ref="L76" authorId="1" shapeId="0">
      <text>
        <r>
          <rPr>
            <b/>
            <sz val="9"/>
            <color indexed="81"/>
            <rFont val="Tahoma"/>
            <family val="2"/>
          </rPr>
          <t>5/25/2017… interval changed from 720 to 840</t>
        </r>
        <r>
          <rPr>
            <sz val="9"/>
            <color indexed="81"/>
            <rFont val="Tahoma"/>
            <family val="2"/>
          </rPr>
          <t xml:space="preserve">
</t>
        </r>
      </text>
    </comment>
    <comment ref="I79" authorId="1" shapeId="0">
      <text>
        <r>
          <rPr>
            <b/>
            <sz val="9"/>
            <color indexed="81"/>
            <rFont val="Tahoma"/>
            <family val="2"/>
          </rPr>
          <t>Part of AVA Kit containing DAU 7595, CADU 7636, UTD 11136</t>
        </r>
        <r>
          <rPr>
            <sz val="9"/>
            <color indexed="81"/>
            <rFont val="Tahoma"/>
            <family val="2"/>
          </rPr>
          <t xml:space="preserve">
</t>
        </r>
      </text>
    </comment>
    <comment ref="I81" authorId="1" shapeId="0">
      <text>
        <r>
          <rPr>
            <b/>
            <sz val="9"/>
            <color indexed="81"/>
            <rFont val="Tahoma"/>
            <family val="2"/>
          </rPr>
          <t xml:space="preserve">Part of AVA Kit containing DAU 7596, CADU 7640, UTD 11141
</t>
        </r>
      </text>
    </comment>
    <comment ref="L112" authorId="0" shapeId="0">
      <text>
        <r>
          <rPr>
            <b/>
            <sz val="9"/>
            <color indexed="81"/>
            <rFont val="Tahoma"/>
            <family val="2"/>
          </rPr>
          <t>TB 43-180 DTD 01May2014  changes Interval from 840 to 360. for U05 sys code only.</t>
        </r>
      </text>
    </comment>
    <comment ref="L113" authorId="1" shapeId="0">
      <text>
        <r>
          <rPr>
            <b/>
            <sz val="9"/>
            <color indexed="81"/>
            <rFont val="Tahoma"/>
            <family val="2"/>
          </rPr>
          <t xml:space="preserve">6/12/2017… Interval change from 720 to 840
</t>
        </r>
        <r>
          <rPr>
            <sz val="9"/>
            <color indexed="81"/>
            <rFont val="Tahoma"/>
            <family val="2"/>
          </rPr>
          <t xml:space="preserve">
</t>
        </r>
      </text>
    </comment>
    <comment ref="I119" authorId="1" shapeId="0">
      <text>
        <r>
          <rPr>
            <b/>
            <sz val="9"/>
            <color indexed="81"/>
            <rFont val="Tahoma"/>
            <family val="2"/>
          </rPr>
          <t>Part of AVA Kit containing DAU 1244, CADU 7047, UTD 10884</t>
        </r>
        <r>
          <rPr>
            <sz val="9"/>
            <color indexed="81"/>
            <rFont val="Tahoma"/>
            <family val="2"/>
          </rPr>
          <t xml:space="preserve">
</t>
        </r>
      </text>
    </comment>
    <comment ref="I120" authorId="1" shapeId="0">
      <text>
        <r>
          <rPr>
            <b/>
            <sz val="9"/>
            <color indexed="81"/>
            <rFont val="Tahoma"/>
            <family val="2"/>
          </rPr>
          <t xml:space="preserve">Part of AVA Kit containing DAU 7595, CADU 7636, UTD 11136
</t>
        </r>
      </text>
    </comment>
    <comment ref="I123" authorId="1" shapeId="0">
      <text>
        <r>
          <rPr>
            <b/>
            <sz val="9"/>
            <color indexed="81"/>
            <rFont val="Tahoma"/>
            <family val="2"/>
          </rPr>
          <t>Part of AVA Kit containing DAU 7361, CADU 7366, UTD 6252</t>
        </r>
        <r>
          <rPr>
            <sz val="9"/>
            <color indexed="81"/>
            <rFont val="Tahoma"/>
            <family val="2"/>
          </rPr>
          <t xml:space="preserve">
</t>
        </r>
      </text>
    </comment>
    <comment ref="AK124" authorId="0" shapeId="0">
      <text>
        <r>
          <rPr>
            <b/>
            <sz val="9"/>
            <color indexed="81"/>
            <rFont val="Tahoma"/>
            <family val="2"/>
          </rPr>
          <t xml:space="preserve">Do Not Enter Data: The formula in this column adds the sum of Column S and T. it should return a "2" if the item is at the lab AND delinquent. This data is used on the Available Dilenquent page to subtract the delinquent item not in our control from the percentage calculations.
</t>
        </r>
      </text>
    </comment>
    <comment ref="L125" authorId="1" shapeId="0">
      <text>
        <r>
          <rPr>
            <b/>
            <sz val="9"/>
            <color indexed="81"/>
            <rFont val="Tahoma"/>
            <family val="2"/>
          </rPr>
          <t>8/8/2016… INT CHANGED FROM 720 TO 840</t>
        </r>
        <r>
          <rPr>
            <sz val="9"/>
            <color indexed="81"/>
            <rFont val="Tahoma"/>
            <family val="2"/>
          </rPr>
          <t xml:space="preserve">
</t>
        </r>
      </text>
    </comment>
    <comment ref="B141" authorId="0" shapeId="0">
      <text>
        <r>
          <rPr>
            <b/>
            <sz val="9"/>
            <color indexed="81"/>
            <rFont val="Tahoma"/>
            <family val="2"/>
          </rPr>
          <t xml:space="preserve">Not on PB, </t>
        </r>
        <r>
          <rPr>
            <sz val="9"/>
            <color indexed="81"/>
            <rFont val="Tahoma"/>
            <family val="2"/>
          </rPr>
          <t xml:space="preserve">
</t>
        </r>
      </text>
    </comment>
    <comment ref="I172" authorId="1" shapeId="0">
      <text>
        <r>
          <rPr>
            <b/>
            <sz val="9"/>
            <color indexed="81"/>
            <rFont val="Tahoma"/>
            <family val="2"/>
          </rPr>
          <t>Part of AVA Kit containing DAU 7596, CADU 7640, UTD 11141</t>
        </r>
        <r>
          <rPr>
            <sz val="9"/>
            <color indexed="81"/>
            <rFont val="Tahoma"/>
            <family val="2"/>
          </rPr>
          <t xml:space="preserve">
</t>
        </r>
      </text>
    </comment>
    <comment ref="I173" authorId="1" shapeId="0">
      <text>
        <r>
          <rPr>
            <b/>
            <sz val="9"/>
            <color indexed="81"/>
            <rFont val="Tahoma"/>
            <family val="2"/>
          </rPr>
          <t>Part of AVA Kit containing DAU 7596, CADU 7640, UTD 11141</t>
        </r>
      </text>
    </comment>
    <comment ref="B176" authorId="0" shapeId="0">
      <text>
        <r>
          <rPr>
            <b/>
            <sz val="9"/>
            <color indexed="81"/>
            <rFont val="Tahoma"/>
            <family val="2"/>
          </rPr>
          <t>IMFR Shows S/N as BPN390</t>
        </r>
      </text>
    </comment>
    <comment ref="B191" authorId="0" shapeId="0">
      <text>
        <r>
          <rPr>
            <b/>
            <sz val="9"/>
            <color indexed="81"/>
            <rFont val="Tahoma"/>
            <family val="2"/>
          </rPr>
          <t>1 of 3 in kit</t>
        </r>
        <r>
          <rPr>
            <sz val="9"/>
            <color indexed="81"/>
            <rFont val="Tahoma"/>
            <family val="2"/>
          </rPr>
          <t xml:space="preserve">
</t>
        </r>
      </text>
    </comment>
    <comment ref="B192" authorId="0" shapeId="0">
      <text>
        <r>
          <rPr>
            <b/>
            <sz val="9"/>
            <color indexed="81"/>
            <rFont val="Tahoma"/>
            <family val="2"/>
          </rPr>
          <t>1 of 3 in kit</t>
        </r>
        <r>
          <rPr>
            <sz val="9"/>
            <color indexed="81"/>
            <rFont val="Tahoma"/>
            <family val="2"/>
          </rPr>
          <t xml:space="preserve">
</t>
        </r>
      </text>
    </comment>
    <comment ref="B193" authorId="0" shapeId="0">
      <text>
        <r>
          <rPr>
            <b/>
            <sz val="9"/>
            <color indexed="81"/>
            <rFont val="Tahoma"/>
            <family val="2"/>
          </rPr>
          <t>1 of 3 in kit</t>
        </r>
        <r>
          <rPr>
            <sz val="9"/>
            <color indexed="81"/>
            <rFont val="Tahoma"/>
            <family val="2"/>
          </rPr>
          <t xml:space="preserve">
</t>
        </r>
      </text>
    </comment>
    <comment ref="L210" authorId="1" shapeId="0">
      <text>
        <r>
          <rPr>
            <b/>
            <sz val="9"/>
            <color indexed="81"/>
            <rFont val="Tahoma"/>
            <family val="2"/>
          </rPr>
          <t>5/9/2017… Changed from 940 to 720</t>
        </r>
        <r>
          <rPr>
            <sz val="9"/>
            <color indexed="81"/>
            <rFont val="Tahoma"/>
            <family val="2"/>
          </rPr>
          <t xml:space="preserve">
</t>
        </r>
      </text>
    </comment>
    <comment ref="L213" authorId="2" shapeId="0">
      <text>
        <r>
          <rPr>
            <b/>
            <sz val="9"/>
            <color indexed="81"/>
            <rFont val="Tahoma"/>
            <family val="2"/>
          </rPr>
          <t>5/17/2018… returned with intervql change from 240 to 120</t>
        </r>
      </text>
    </comment>
    <comment ref="L232" authorId="1" shapeId="0">
      <text>
        <r>
          <rPr>
            <sz val="9"/>
            <color indexed="81"/>
            <rFont val="Tahoma"/>
            <family val="2"/>
          </rPr>
          <t xml:space="preserve">5/9/2017… changed from 600 to 840
</t>
        </r>
      </text>
    </comment>
    <comment ref="B233" authorId="0" shapeId="0">
      <text>
        <r>
          <rPr>
            <b/>
            <sz val="9"/>
            <color indexed="81"/>
            <rFont val="Tahoma"/>
            <family val="2"/>
          </rPr>
          <t>6/4/2014… IMFR Show S/N 8878</t>
        </r>
      </text>
    </comment>
    <comment ref="C233" authorId="0" shapeId="0">
      <text>
        <r>
          <rPr>
            <b/>
            <sz val="9"/>
            <color indexed="81"/>
            <rFont val="Tahoma"/>
            <family val="2"/>
          </rPr>
          <t>20120308 Line number is empty on PB</t>
        </r>
        <r>
          <rPr>
            <sz val="9"/>
            <color indexed="81"/>
            <rFont val="Tahoma"/>
            <family val="2"/>
          </rPr>
          <t xml:space="preserve">
</t>
        </r>
      </text>
    </comment>
    <comment ref="D233" authorId="0" shapeId="0">
      <text>
        <r>
          <rPr>
            <b/>
            <sz val="9"/>
            <color indexed="81"/>
            <rFont val="Tahoma"/>
            <family val="2"/>
          </rPr>
          <t>20120308 Line number is empty on PB</t>
        </r>
        <r>
          <rPr>
            <sz val="9"/>
            <color indexed="81"/>
            <rFont val="Tahoma"/>
            <family val="2"/>
          </rPr>
          <t xml:space="preserve">
</t>
        </r>
      </text>
    </comment>
    <comment ref="L233" authorId="2" shapeId="0">
      <text>
        <r>
          <rPr>
            <sz val="9"/>
            <color indexed="81"/>
            <rFont val="Tahoma"/>
            <family val="2"/>
          </rPr>
          <t xml:space="preserve">8/22/2017… Interval changed from 270 to 360
</t>
        </r>
      </text>
    </comment>
    <comment ref="F251" authorId="0" shapeId="0">
      <text>
        <r>
          <rPr>
            <b/>
            <sz val="9"/>
            <color indexed="81"/>
            <rFont val="Tahoma"/>
            <family val="2"/>
          </rPr>
          <t>This item has 8 different calibrated components. The watt meter is 360 days and all other are 720 day intervals</t>
        </r>
      </text>
    </comment>
    <comment ref="B264" authorId="0" shapeId="0">
      <text>
        <r>
          <rPr>
            <b/>
            <sz val="9"/>
            <color indexed="81"/>
            <rFont val="Tahoma"/>
            <family val="2"/>
          </rPr>
          <t>IMFR Shows S/N B011601</t>
        </r>
      </text>
    </comment>
    <comment ref="B268" authorId="0" shapeId="0">
      <text>
        <r>
          <rPr>
            <b/>
            <sz val="9"/>
            <color indexed="81"/>
            <rFont val="Tahoma"/>
            <family val="2"/>
          </rPr>
          <t>IMFR Shows S/N 3002</t>
        </r>
      </text>
    </comment>
  </commentList>
</comments>
</file>

<file path=xl/comments2.xml><?xml version="1.0" encoding="utf-8"?>
<comments xmlns="http://schemas.openxmlformats.org/spreadsheetml/2006/main">
  <authors>
    <author>charles.neeley</author>
  </authors>
  <commentList>
    <comment ref="B12" authorId="0" shapeId="0">
      <text>
        <r>
          <rPr>
            <b/>
            <sz val="8"/>
            <color indexed="81"/>
            <rFont val="Tahoma"/>
            <family val="2"/>
          </rPr>
          <t xml:space="preserve">Interval code A-G (I is not used) and the cell to the right will display the interval in days.
</t>
        </r>
        <r>
          <rPr>
            <sz val="8"/>
            <color indexed="81"/>
            <rFont val="Tahoma"/>
            <family val="2"/>
          </rPr>
          <t xml:space="preserve">
</t>
        </r>
      </text>
    </comment>
  </commentList>
</comments>
</file>

<file path=xl/comments3.xml><?xml version="1.0" encoding="utf-8"?>
<comments xmlns="http://schemas.openxmlformats.org/spreadsheetml/2006/main">
  <authors>
    <author>charles.neeley</author>
  </authors>
  <commentList>
    <comment ref="A1" authorId="0" shapeId="0">
      <text>
        <r>
          <rPr>
            <b/>
            <sz val="11"/>
            <color indexed="81"/>
            <rFont val="Tahoma"/>
            <family val="2"/>
          </rPr>
          <t>Enter exactly as it is on the IMFR Report</t>
        </r>
        <r>
          <rPr>
            <sz val="9"/>
            <color indexed="81"/>
            <rFont val="Tahoma"/>
            <family val="2"/>
          </rPr>
          <t xml:space="preserve">
</t>
        </r>
      </text>
    </comment>
    <comment ref="B1" authorId="0" shapeId="0">
      <text>
        <r>
          <rPr>
            <b/>
            <sz val="11"/>
            <color indexed="81"/>
            <rFont val="Tahoma"/>
            <family val="2"/>
          </rPr>
          <t>Enter the serial number exactly as it is on the IMFR report.
If there is a conflict between the report  put both numbers in this column seperated by a space.</t>
        </r>
      </text>
    </comment>
    <comment ref="C1" authorId="0" shapeId="0">
      <text>
        <r>
          <rPr>
            <b/>
            <sz val="11"/>
            <color indexed="81"/>
            <rFont val="Tahoma"/>
            <family val="2"/>
          </rPr>
          <t>If this is a torque wrench be sure to put the torque range first and if the model number on the IMFR is different put it after the range, This allows you to filter only a certain range of torque wrenchs to ensure that their calibration dates are all different. and stilll use the search feature to find any thing on the IMFR l.ist
All other items enter the model number exactly as per the IMFR list</t>
        </r>
      </text>
    </comment>
    <comment ref="D1" authorId="0" shapeId="0">
      <text>
        <r>
          <rPr>
            <b/>
            <sz val="11"/>
            <color indexed="81"/>
            <rFont val="Tahoma"/>
            <family val="2"/>
          </rPr>
          <t xml:space="preserve">Us the Nomenclature that is on the IMFR List exactly as it is written.
</t>
        </r>
        <r>
          <rPr>
            <sz val="9"/>
            <color indexed="81"/>
            <rFont val="Tahoma"/>
            <family val="2"/>
          </rPr>
          <t xml:space="preserve">
</t>
        </r>
      </text>
    </comment>
    <comment ref="E1" authorId="0" shapeId="0">
      <text>
        <r>
          <rPr>
            <b/>
            <sz val="11"/>
            <color indexed="81"/>
            <rFont val="Tahoma"/>
            <family val="2"/>
          </rPr>
          <t xml:space="preserve">Enter without dashes, otherwise copying and pasting in a PDF search is difficult.
</t>
        </r>
        <r>
          <rPr>
            <sz val="9"/>
            <color indexed="81"/>
            <rFont val="Tahoma"/>
            <family val="2"/>
          </rPr>
          <t xml:space="preserve">
</t>
        </r>
      </text>
    </comment>
    <comment ref="F1" authorId="0" shapeId="0">
      <text>
        <r>
          <rPr>
            <b/>
            <sz val="11"/>
            <color indexed="81"/>
            <rFont val="Tahoma"/>
            <family val="2"/>
          </rPr>
          <t>This column can be used to enter notes. Please enter like entries in a like manner to make filtering and sorting easier.</t>
        </r>
        <r>
          <rPr>
            <b/>
            <sz val="9"/>
            <color indexed="81"/>
            <rFont val="Tahoma"/>
            <family val="2"/>
          </rPr>
          <t xml:space="preserve">
</t>
        </r>
        <r>
          <rPr>
            <sz val="9"/>
            <color indexed="81"/>
            <rFont val="Tahoma"/>
            <family val="2"/>
          </rPr>
          <t xml:space="preserve">
</t>
        </r>
      </text>
    </comment>
    <comment ref="G1" authorId="0" shapeId="0">
      <text>
        <r>
          <rPr>
            <b/>
            <sz val="11"/>
            <color indexed="81"/>
            <rFont val="Tahoma"/>
            <family val="2"/>
          </rPr>
          <t>This comumn is used to tell which shop the tool is in. Use it to filter by shop to print the lists that are given to the individual 
shops.</t>
        </r>
      </text>
    </comment>
    <comment ref="B20" authorId="0" shapeId="0">
      <text>
        <r>
          <rPr>
            <b/>
            <sz val="9"/>
            <color indexed="81"/>
            <rFont val="Tahoma"/>
            <family val="2"/>
          </rPr>
          <t>Non repairable, should be coded out</t>
        </r>
        <r>
          <rPr>
            <sz val="9"/>
            <color indexed="81"/>
            <rFont val="Tahoma"/>
            <family val="2"/>
          </rPr>
          <t xml:space="preserve">
</t>
        </r>
      </text>
    </comment>
  </commentList>
</comments>
</file>

<file path=xl/sharedStrings.xml><?xml version="1.0" encoding="utf-8"?>
<sst xmlns="http://schemas.openxmlformats.org/spreadsheetml/2006/main" count="3724" uniqueCount="1558">
  <si>
    <t>ID CODE</t>
  </si>
  <si>
    <t>MODEL</t>
  </si>
  <si>
    <t>NOMEN</t>
  </si>
  <si>
    <t>BK498</t>
  </si>
  <si>
    <t>0398100520</t>
  </si>
  <si>
    <t>WRENCH TORQ</t>
  </si>
  <si>
    <t>0398200651</t>
  </si>
  <si>
    <t>BK496</t>
  </si>
  <si>
    <t>0398200653</t>
  </si>
  <si>
    <t>J921Q</t>
  </si>
  <si>
    <t>013</t>
  </si>
  <si>
    <t>102-00805</t>
  </si>
  <si>
    <t>TS FUEL QTY</t>
  </si>
  <si>
    <t>C289Z</t>
  </si>
  <si>
    <t>02640100</t>
  </si>
  <si>
    <t>02500-01</t>
  </si>
  <si>
    <t>180D6</t>
  </si>
  <si>
    <t>085</t>
  </si>
  <si>
    <t>30-150FTLB</t>
  </si>
  <si>
    <t>R1L-B</t>
  </si>
  <si>
    <t>METR MILIOM</t>
  </si>
  <si>
    <t>291D6</t>
  </si>
  <si>
    <t>22388</t>
  </si>
  <si>
    <t>4-128-0101</t>
  </si>
  <si>
    <t>VIB PICKUP</t>
  </si>
  <si>
    <t>583Z4</t>
  </si>
  <si>
    <t>584Z4</t>
  </si>
  <si>
    <t>51185</t>
  </si>
  <si>
    <t>713ZZ</t>
  </si>
  <si>
    <t>51198</t>
  </si>
  <si>
    <t>714ZZ</t>
  </si>
  <si>
    <t>51200</t>
  </si>
  <si>
    <t>712ZZ</t>
  </si>
  <si>
    <t>51223</t>
  </si>
  <si>
    <t>298D6</t>
  </si>
  <si>
    <t>733B1</t>
  </si>
  <si>
    <t>20-150INLB</t>
  </si>
  <si>
    <t>A4</t>
  </si>
  <si>
    <t>100-750INLB</t>
  </si>
  <si>
    <t>935D6</t>
  </si>
  <si>
    <t>T417-1</t>
  </si>
  <si>
    <t>GAGE PRESS</t>
  </si>
  <si>
    <t>936D6</t>
  </si>
  <si>
    <t>T417-2</t>
  </si>
  <si>
    <t>938D6</t>
  </si>
  <si>
    <t>T417-3</t>
  </si>
  <si>
    <t>699D6</t>
  </si>
  <si>
    <t>JB003</t>
  </si>
  <si>
    <t>E22</t>
  </si>
  <si>
    <t>237D6</t>
  </si>
  <si>
    <t>JB007</t>
  </si>
  <si>
    <t>GAGE DEPTH</t>
  </si>
  <si>
    <t>910ZW</t>
  </si>
  <si>
    <t>K4</t>
  </si>
  <si>
    <t>998Z4</t>
  </si>
  <si>
    <t>M1</t>
  </si>
  <si>
    <t>0-1IN</t>
  </si>
  <si>
    <t>MICROMETR OS</t>
  </si>
  <si>
    <t>993Z4</t>
  </si>
  <si>
    <t>N48466</t>
  </si>
  <si>
    <t>2-3IN</t>
  </si>
  <si>
    <t>994Z4</t>
  </si>
  <si>
    <t>N49728</t>
  </si>
  <si>
    <t>4-5IN</t>
  </si>
  <si>
    <t>995Z4</t>
  </si>
  <si>
    <t>N50050</t>
  </si>
  <si>
    <t>1-2IN</t>
  </si>
  <si>
    <t>996Z4</t>
  </si>
  <si>
    <t>N52458</t>
  </si>
  <si>
    <t>3-4IN</t>
  </si>
  <si>
    <t>997Z4</t>
  </si>
  <si>
    <t>N53589</t>
  </si>
  <si>
    <t>5-6IN</t>
  </si>
  <si>
    <t>R1</t>
  </si>
  <si>
    <t>BK980</t>
  </si>
  <si>
    <t>J741R</t>
  </si>
  <si>
    <t>S1</t>
  </si>
  <si>
    <t>0-72OZ</t>
  </si>
  <si>
    <t>SCALE SPRING</t>
  </si>
  <si>
    <t>T8</t>
  </si>
  <si>
    <t>22A</t>
  </si>
  <si>
    <t>521ZW</t>
  </si>
  <si>
    <t>TC15</t>
  </si>
  <si>
    <t>908ZW</t>
  </si>
  <si>
    <t>TC65</t>
  </si>
  <si>
    <t>0-200PSI</t>
  </si>
  <si>
    <t>907ZW</t>
  </si>
  <si>
    <t>TC66</t>
  </si>
  <si>
    <t>181D6</t>
  </si>
  <si>
    <t>TR1</t>
  </si>
  <si>
    <t xml:space="preserve">0-6IN </t>
  </si>
  <si>
    <t>CALPER DIAL</t>
  </si>
  <si>
    <t>NSN</t>
  </si>
  <si>
    <t>ATTENUATR VR</t>
  </si>
  <si>
    <t>BK692</t>
  </si>
  <si>
    <t>BK693</t>
  </si>
  <si>
    <t>0594333</t>
  </si>
  <si>
    <t>AN/USM486A</t>
  </si>
  <si>
    <t>METR M DIGTL</t>
  </si>
  <si>
    <t>SG1207U</t>
  </si>
  <si>
    <t>GEN SIG</t>
  </si>
  <si>
    <t>10184A</t>
  </si>
  <si>
    <t>AN/USM486(U)</t>
  </si>
  <si>
    <t>892B2</t>
  </si>
  <si>
    <t>TS4084/G</t>
  </si>
  <si>
    <t>ANALYZR DIST</t>
  </si>
  <si>
    <t>TS RADIO</t>
  </si>
  <si>
    <t>J769R</t>
  </si>
  <si>
    <t>AF5371752</t>
  </si>
  <si>
    <t>AV1</t>
  </si>
  <si>
    <t>887D6</t>
  </si>
  <si>
    <t>DS001</t>
  </si>
  <si>
    <t>719-20</t>
  </si>
  <si>
    <t>TESTER SPRING</t>
  </si>
  <si>
    <t>J387Q</t>
  </si>
  <si>
    <t>TS3895A/U(V)</t>
  </si>
  <si>
    <t>V7091</t>
  </si>
  <si>
    <t>4-94USA</t>
  </si>
  <si>
    <t>TORQUE WRENCH</t>
  </si>
  <si>
    <t>BK876</t>
  </si>
  <si>
    <t>SCALE DIGTL</t>
  </si>
  <si>
    <t>BJ612</t>
  </si>
  <si>
    <t>7016</t>
  </si>
  <si>
    <t>V7890</t>
  </si>
  <si>
    <t>8370</t>
  </si>
  <si>
    <t>0-25INLB</t>
  </si>
  <si>
    <t>4051510</t>
  </si>
  <si>
    <t>PITOT STATIC TSTR</t>
  </si>
  <si>
    <t>0501000033</t>
  </si>
  <si>
    <t>0501000039</t>
  </si>
  <si>
    <t>J920Q</t>
  </si>
  <si>
    <t>329012485</t>
  </si>
  <si>
    <t>0-10000PSI</t>
  </si>
  <si>
    <t>MW344</t>
  </si>
  <si>
    <t>J919Q</t>
  </si>
  <si>
    <t>4111</t>
  </si>
  <si>
    <t>AN/TS23</t>
  </si>
  <si>
    <t>TS STROBE</t>
  </si>
  <si>
    <t>CNR</t>
  </si>
  <si>
    <t>AN/PRM32</t>
  </si>
  <si>
    <t>PP1104C/G</t>
  </si>
  <si>
    <t>14-985B</t>
  </si>
  <si>
    <t>THERMOMETER</t>
  </si>
  <si>
    <t>910Y5</t>
  </si>
  <si>
    <t>0-50LB</t>
  </si>
  <si>
    <t>A3</t>
  </si>
  <si>
    <t>BCA1416</t>
  </si>
  <si>
    <t>RF80GT</t>
  </si>
  <si>
    <t>ANALYZR BTRY</t>
  </si>
  <si>
    <t>NH012</t>
  </si>
  <si>
    <t>NH013</t>
  </si>
  <si>
    <t>Q101</t>
  </si>
  <si>
    <t>QUADRANT</t>
  </si>
  <si>
    <t>Q102</t>
  </si>
  <si>
    <t>Q103</t>
  </si>
  <si>
    <t>Q104</t>
  </si>
  <si>
    <t>S0331</t>
  </si>
  <si>
    <t>B1103</t>
  </si>
  <si>
    <t>MANOMETR</t>
  </si>
  <si>
    <t>TELESCOPE</t>
  </si>
  <si>
    <t>BJ992</t>
  </si>
  <si>
    <t>AN/PSM45A</t>
  </si>
  <si>
    <t>W5MT3</t>
  </si>
  <si>
    <t>TRANSFORMER</t>
  </si>
  <si>
    <t>MULTIMETER</t>
  </si>
  <si>
    <t>60660488</t>
  </si>
  <si>
    <t>QB656</t>
  </si>
  <si>
    <t>QB657</t>
  </si>
  <si>
    <t>10-50INLB</t>
  </si>
  <si>
    <t>0294</t>
  </si>
  <si>
    <t>TS BTRY</t>
  </si>
  <si>
    <t>TS2530A/UR</t>
  </si>
  <si>
    <t>POWER UNIT, AGPU</t>
  </si>
  <si>
    <t>NH230</t>
  </si>
  <si>
    <t>50TA101-814</t>
  </si>
  <si>
    <t>XQ012</t>
  </si>
  <si>
    <t>PD301</t>
  </si>
  <si>
    <t>V8133</t>
  </si>
  <si>
    <t>V8134</t>
  </si>
  <si>
    <t>POWER SUPPLY</t>
  </si>
  <si>
    <t>JB255</t>
  </si>
  <si>
    <t>D880A</t>
  </si>
  <si>
    <t>WW324</t>
  </si>
  <si>
    <t>0-30 PSI</t>
  </si>
  <si>
    <t>WW293</t>
  </si>
  <si>
    <t>WW292</t>
  </si>
  <si>
    <t>WW334</t>
  </si>
  <si>
    <t>2178A</t>
  </si>
  <si>
    <t>TS RF POWER</t>
  </si>
  <si>
    <t>ABE527</t>
  </si>
  <si>
    <t>WW511</t>
  </si>
  <si>
    <t>XQ993</t>
  </si>
  <si>
    <t>XQ994</t>
  </si>
  <si>
    <t>033212</t>
  </si>
  <si>
    <t>XQ987</t>
  </si>
  <si>
    <t>033207</t>
  </si>
  <si>
    <t>ALR073</t>
  </si>
  <si>
    <t>0904816669</t>
  </si>
  <si>
    <t>ALR074</t>
  </si>
  <si>
    <t>0904816675</t>
  </si>
  <si>
    <t>1104355956</t>
  </si>
  <si>
    <t>AKN068</t>
  </si>
  <si>
    <t>0404314470</t>
  </si>
  <si>
    <t>AW4530ABO1</t>
  </si>
  <si>
    <t>AW4530ACO1</t>
  </si>
  <si>
    <t>AW4530ADO1</t>
  </si>
  <si>
    <t>AKN805</t>
  </si>
  <si>
    <t>SMALL ARM GAUGE</t>
  </si>
  <si>
    <t>GH501</t>
  </si>
  <si>
    <t>ALR741</t>
  </si>
  <si>
    <t>AVD358</t>
  </si>
  <si>
    <t>MTP003</t>
  </si>
  <si>
    <t>ALR945</t>
  </si>
  <si>
    <t>ALR944</t>
  </si>
  <si>
    <t>ALR725</t>
  </si>
  <si>
    <t>1646987</t>
  </si>
  <si>
    <t>DSE-100X</t>
  </si>
  <si>
    <t>DIX365A</t>
  </si>
  <si>
    <t>RADIOMETER</t>
  </si>
  <si>
    <t>SENSOR UV</t>
  </si>
  <si>
    <t>TEST SET RADIO</t>
  </si>
  <si>
    <t>ALR829</t>
  </si>
  <si>
    <t>ALR480</t>
  </si>
  <si>
    <t>Standard</t>
  </si>
  <si>
    <t>AT Lab</t>
  </si>
  <si>
    <t>Delinquent %</t>
  </si>
  <si>
    <t>PB</t>
  </si>
  <si>
    <t>N12502080</t>
  </si>
  <si>
    <t>AVD730</t>
  </si>
  <si>
    <t>T36M</t>
  </si>
  <si>
    <t>05T3570GA</t>
  </si>
  <si>
    <t>T47NH</t>
  </si>
  <si>
    <t>TS Transponder</t>
  </si>
  <si>
    <t>Availability Rate</t>
  </si>
  <si>
    <t>ARMY AVIATION SUPPORT FACILITY</t>
  </si>
  <si>
    <t>TUPELO MISSISSIPPI</t>
  </si>
  <si>
    <t>W8NSAA</t>
  </si>
  <si>
    <t>CALIBRATION EQUIPMENT STATUS</t>
  </si>
  <si>
    <t>264</t>
  </si>
  <si>
    <t>AVD672</t>
  </si>
  <si>
    <t xml:space="preserve">Availability Rate </t>
  </si>
  <si>
    <t xml:space="preserve">Delinquent Rate </t>
  </si>
  <si>
    <t>RATE FORMULA (AR 750-43)</t>
  </si>
  <si>
    <t>1208080090</t>
  </si>
  <si>
    <t>AVD360</t>
  </si>
  <si>
    <t>1648365</t>
  </si>
  <si>
    <t>MS0056</t>
  </si>
  <si>
    <t>MS0055</t>
  </si>
  <si>
    <t>MS0057</t>
  </si>
  <si>
    <t>PP-4606/G</t>
  </si>
  <si>
    <t>MS0081</t>
  </si>
  <si>
    <t>CS2000</t>
  </si>
  <si>
    <t>MS0082</t>
  </si>
  <si>
    <t>AWN368</t>
  </si>
  <si>
    <t>AWN369</t>
  </si>
  <si>
    <t>AWN380</t>
  </si>
  <si>
    <t>MS0564</t>
  </si>
  <si>
    <t>196</t>
  </si>
  <si>
    <t>AWN419</t>
  </si>
  <si>
    <t>AWN420</t>
  </si>
  <si>
    <t>AWN421</t>
  </si>
  <si>
    <t>R06828</t>
  </si>
  <si>
    <t>LG100</t>
  </si>
  <si>
    <t>AWN433</t>
  </si>
  <si>
    <t>AWN434</t>
  </si>
  <si>
    <t>TEST SET PYLON</t>
  </si>
  <si>
    <t>2952D24393</t>
  </si>
  <si>
    <t>073B</t>
  </si>
  <si>
    <t>AN/ALM-178</t>
  </si>
  <si>
    <t>TS COUNTERMEASURE</t>
  </si>
  <si>
    <t>AWN381</t>
  </si>
  <si>
    <t>032BBX077</t>
  </si>
  <si>
    <t>13553A</t>
  </si>
  <si>
    <t>AN/USM-486(U)</t>
  </si>
  <si>
    <t>GAGE PR FUEL TS</t>
  </si>
  <si>
    <t>19A</t>
  </si>
  <si>
    <t>923M6</t>
  </si>
  <si>
    <t>BPM003</t>
  </si>
  <si>
    <t>BPM004</t>
  </si>
  <si>
    <t>BPM002</t>
  </si>
  <si>
    <t>BPM001</t>
  </si>
  <si>
    <t>105C</t>
  </si>
  <si>
    <t>AN/URM-213</t>
  </si>
  <si>
    <t>BPM076</t>
  </si>
  <si>
    <t>BPM077</t>
  </si>
  <si>
    <t>0-15000PSI</t>
  </si>
  <si>
    <t>0-3PSI</t>
  </si>
  <si>
    <t>AWN507</t>
  </si>
  <si>
    <t>TS4463/P</t>
  </si>
  <si>
    <t>PP3940A/G</t>
  </si>
  <si>
    <t>624Z4</t>
  </si>
  <si>
    <t>ALR493</t>
  </si>
  <si>
    <t>BPM150</t>
  </si>
  <si>
    <t>100-400F</t>
  </si>
  <si>
    <t>MS0709</t>
  </si>
  <si>
    <t>BPM149</t>
  </si>
  <si>
    <t>AWN183</t>
  </si>
  <si>
    <t>ALR762</t>
  </si>
  <si>
    <t>BPM156</t>
  </si>
  <si>
    <t>MTP001</t>
  </si>
  <si>
    <t>MTP002</t>
  </si>
  <si>
    <t>MS0718</t>
  </si>
  <si>
    <t>MS0719</t>
  </si>
  <si>
    <t>0-12IN</t>
  </si>
  <si>
    <t>0-20IN</t>
  </si>
  <si>
    <t>GAGE DEPTH VERIN</t>
  </si>
  <si>
    <t>ASP069</t>
  </si>
  <si>
    <t>ASP070</t>
  </si>
  <si>
    <t>ASP072</t>
  </si>
  <si>
    <t>ASP073</t>
  </si>
  <si>
    <t>AWN515</t>
  </si>
  <si>
    <t>WW312</t>
  </si>
  <si>
    <t>AWN519</t>
  </si>
  <si>
    <t>AWN521</t>
  </si>
  <si>
    <t>BPM364</t>
  </si>
  <si>
    <t>558007159</t>
  </si>
  <si>
    <t>RPM002</t>
  </si>
  <si>
    <t>TS SUBASSY</t>
  </si>
  <si>
    <t>BPM365</t>
  </si>
  <si>
    <t>560001875</t>
  </si>
  <si>
    <t>RPM003</t>
  </si>
  <si>
    <t>BPM363</t>
  </si>
  <si>
    <t>575006880</t>
  </si>
  <si>
    <t>PL1536</t>
  </si>
  <si>
    <t>BPM366</t>
  </si>
  <si>
    <t>583001319</t>
  </si>
  <si>
    <t>83360E146</t>
  </si>
  <si>
    <t>83360E193</t>
  </si>
  <si>
    <t>MEP-360E</t>
  </si>
  <si>
    <t>AA16060301</t>
  </si>
  <si>
    <t>TRON-AIR</t>
  </si>
  <si>
    <t>HYD TEST CART</t>
  </si>
  <si>
    <t>12097360</t>
  </si>
  <si>
    <t>BPM873</t>
  </si>
  <si>
    <t>BPM874</t>
  </si>
  <si>
    <t>BPM875</t>
  </si>
  <si>
    <t>BPM876</t>
  </si>
  <si>
    <t>0216PY09598</t>
  </si>
  <si>
    <t>ACDAWS</t>
  </si>
  <si>
    <t>PLATFORM SCALE</t>
  </si>
  <si>
    <t>0216PY09599</t>
  </si>
  <si>
    <t>0216PY09600</t>
  </si>
  <si>
    <t>4059180809</t>
  </si>
  <si>
    <t>BPN074</t>
  </si>
  <si>
    <t>BPN534</t>
  </si>
  <si>
    <t>BPN533</t>
  </si>
  <si>
    <t>BPN532</t>
  </si>
  <si>
    <t>101385</t>
  </si>
  <si>
    <t>MS1086</t>
  </si>
  <si>
    <t>0993A</t>
  </si>
  <si>
    <t>DC 400</t>
  </si>
  <si>
    <t>745B1</t>
  </si>
  <si>
    <t/>
  </si>
  <si>
    <t>IMRF =  Instrument Master Record File</t>
  </si>
  <si>
    <t>CBU = Calibrate Before Use</t>
  </si>
  <si>
    <t>CNR = Calibration Not Required</t>
  </si>
  <si>
    <t>IMRF</t>
  </si>
  <si>
    <t>CBU ITEMS</t>
  </si>
  <si>
    <t>CNR ITEMS</t>
  </si>
  <si>
    <t>AVD683</t>
  </si>
  <si>
    <t>BPN531</t>
  </si>
  <si>
    <t>Not on TMDE Report</t>
  </si>
  <si>
    <t>AVD456</t>
  </si>
  <si>
    <t>4381A</t>
  </si>
  <si>
    <t>SG1288G</t>
  </si>
  <si>
    <t>GEN FUNCT</t>
  </si>
  <si>
    <t>Shop</t>
  </si>
  <si>
    <t>Avionics</t>
  </si>
  <si>
    <t>Armament</t>
  </si>
  <si>
    <t>ALSE</t>
  </si>
  <si>
    <t>ELEC</t>
  </si>
  <si>
    <t>LUH2</t>
  </si>
  <si>
    <t>P&amp;R</t>
  </si>
  <si>
    <t>Tool Room</t>
  </si>
  <si>
    <t>Notes</t>
  </si>
  <si>
    <t>Serial</t>
  </si>
  <si>
    <t>INT</t>
  </si>
  <si>
    <t>DUE CAL DATE</t>
  </si>
  <si>
    <t>AKN916</t>
  </si>
  <si>
    <t>AKN917</t>
  </si>
  <si>
    <t>AKN918</t>
  </si>
  <si>
    <t>ALR763</t>
  </si>
  <si>
    <t>Location / Status</t>
  </si>
  <si>
    <t>BPN720</t>
  </si>
  <si>
    <t>10077884</t>
  </si>
  <si>
    <t>10077834</t>
  </si>
  <si>
    <t>10067381</t>
  </si>
  <si>
    <t>BPN721</t>
  </si>
  <si>
    <t>BPN722</t>
  </si>
  <si>
    <t>BPN723</t>
  </si>
  <si>
    <t>CN-608A/U</t>
  </si>
  <si>
    <t>0490</t>
  </si>
  <si>
    <t>83-360A</t>
  </si>
  <si>
    <t>POWER UNIT</t>
  </si>
  <si>
    <t>1730011441897</t>
  </si>
  <si>
    <t>Total Items Req Calibration</t>
  </si>
  <si>
    <t>IN</t>
  </si>
  <si>
    <t>OUT</t>
  </si>
  <si>
    <t>CTN</t>
  </si>
  <si>
    <t>SG1366/U</t>
  </si>
  <si>
    <t>111978</t>
  </si>
  <si>
    <t>DIX555A</t>
  </si>
  <si>
    <t>part of AN/GRM-122 Test Set</t>
  </si>
  <si>
    <t>PP8468</t>
  </si>
  <si>
    <t>719-20MRP</t>
  </si>
  <si>
    <t>29313107</t>
  </si>
  <si>
    <t>H</t>
  </si>
  <si>
    <t>AP</t>
  </si>
  <si>
    <t>Remove from List Signed over to TN</t>
  </si>
  <si>
    <t>3/11/2011… Turned in (2009) No Longer in our inventory, Should be removed from TMDE List</t>
  </si>
  <si>
    <t>Awaiting Pickup</t>
  </si>
  <si>
    <t>Del</t>
  </si>
  <si>
    <t>Initials for out to lab</t>
  </si>
  <si>
    <t>Initials for In from Lab</t>
  </si>
  <si>
    <t>40-200INLB QD1R200</t>
  </si>
  <si>
    <t>SCREWDRIVER TORQ</t>
  </si>
  <si>
    <t>0-1200FTLBS DPT1200</t>
  </si>
  <si>
    <t>TRA200</t>
  </si>
  <si>
    <t>Delinquent Items that are at the Lab:</t>
  </si>
  <si>
    <t>% Delinquent = [ delinquent items (divided by) total items in IMRF - CBU items - CNR items ]</t>
  </si>
  <si>
    <t># of items that can be "unavailable" at any one time without the "availability rate" being too low.</t>
  </si>
  <si>
    <t>% Availability = 100 - [ Items in shop + delinquent items (divided by) total items in IMRF - CBU items]*100</t>
  </si>
  <si>
    <t>LAST CAL DATE</t>
  </si>
  <si>
    <t>0205802860</t>
  </si>
  <si>
    <t>0-10INLB or F10-1</t>
  </si>
  <si>
    <t>01-0605-00 or PSD60-1AF</t>
  </si>
  <si>
    <t>SENSOR LIGHT</t>
  </si>
  <si>
    <t>0-300INLB or D1-300IN-SS</t>
  </si>
  <si>
    <t>AN/GSM64D or 8840/AF05</t>
  </si>
  <si>
    <t>700-1600INLBS OR 16003M</t>
  </si>
  <si>
    <t>GSI2001 or GS2001</t>
  </si>
  <si>
    <t>0409049567</t>
  </si>
  <si>
    <t>CBU</t>
  </si>
  <si>
    <t>Gage, Depth</t>
  </si>
  <si>
    <t>DJA27677</t>
  </si>
  <si>
    <t>0109014857</t>
  </si>
  <si>
    <t>SCREWDRIVER, TORQ</t>
  </si>
  <si>
    <t>12084009</t>
  </si>
  <si>
    <t>UNK</t>
  </si>
  <si>
    <t>DIGITAL PROTRACTOR</t>
  </si>
  <si>
    <t>23798</t>
  </si>
  <si>
    <t>23830</t>
  </si>
  <si>
    <t>CABLE TENSION</t>
  </si>
  <si>
    <t>CALIPER, SLIDE</t>
  </si>
  <si>
    <t>0.25-4IN</t>
  </si>
  <si>
    <t>MICROMETR</t>
  </si>
  <si>
    <t>8124</t>
  </si>
  <si>
    <t>MULTIPLIER TORQ WRENCH</t>
  </si>
  <si>
    <t>CALIPER SET</t>
  </si>
  <si>
    <t>C432847</t>
  </si>
  <si>
    <t>ANALIZER, VIBRATION</t>
  </si>
  <si>
    <t>BPN482</t>
  </si>
  <si>
    <t>300-2500INLB / 25003MRMH</t>
  </si>
  <si>
    <t>BPN483</t>
  </si>
  <si>
    <t>150-1000INLB / 6066CX</t>
  </si>
  <si>
    <t>0301503661</t>
  </si>
  <si>
    <t>20-150INLB / 501MRMH</t>
  </si>
  <si>
    <t>0-600FTLB / 6004DFN</t>
  </si>
  <si>
    <t>BPN925</t>
  </si>
  <si>
    <t>BPN922</t>
  </si>
  <si>
    <t>BPN921</t>
  </si>
  <si>
    <t>BPN935</t>
  </si>
  <si>
    <t>25-250FTLB / 85054</t>
  </si>
  <si>
    <t>BPN915</t>
  </si>
  <si>
    <t>BPN920</t>
  </si>
  <si>
    <t>BPN917</t>
  </si>
  <si>
    <t>SCALE, WEIGHING or SCALE, SPRING</t>
  </si>
  <si>
    <t>BPN484</t>
  </si>
  <si>
    <t>DJA25595</t>
  </si>
  <si>
    <t>BPN485</t>
  </si>
  <si>
    <t>DJA25608</t>
  </si>
  <si>
    <t>TESTER AVIATOR (NVG)</t>
  </si>
  <si>
    <t>10-200LBS or T60-1001C81A</t>
  </si>
  <si>
    <t>10-200LBS OR T60-1001C81A</t>
  </si>
  <si>
    <t>BPN486</t>
  </si>
  <si>
    <t>BPN914</t>
  </si>
  <si>
    <t>033211</t>
  </si>
  <si>
    <t>BPN926</t>
  </si>
  <si>
    <t>BPN927</t>
  </si>
  <si>
    <t>BPN928</t>
  </si>
  <si>
    <t>BPN929</t>
  </si>
  <si>
    <t>BPN916</t>
  </si>
  <si>
    <t>BPN924</t>
  </si>
  <si>
    <t>BPN931</t>
  </si>
  <si>
    <t>Column3</t>
  </si>
  <si>
    <t>DIAL, TORQ or Wrench Torq</t>
  </si>
  <si>
    <t>SCALE DIAL or Scale Spring</t>
  </si>
  <si>
    <t>0-12in</t>
  </si>
  <si>
    <t>10077695</t>
  </si>
  <si>
    <t>MK994AR</t>
  </si>
  <si>
    <t>Added to list on 20apr2011 4/29/2011... in shop awaiting cal, there are 6 calipers in this set 4/29/2011… in shop awaiting cal. 5/11/2011… could not find NSN on prop book</t>
  </si>
  <si>
    <t>2-36INLBS or 6106</t>
  </si>
  <si>
    <t>Not on TMDE Report. 5/11/2011… not on property book</t>
  </si>
  <si>
    <t>Added to list on 20apr2011 4/29/2011... in shop awaiting cal 4/29/2011… In shop awaiting cal. 5/11/2011… if NSN is correct this does not have a lin number</t>
  </si>
  <si>
    <t>Added to list on 20apr2011 4/29/2011... in shop awaiting cal 4/29/2011… In shop awaiting cal 5/11/2011… if NSN is correct this does not have a lin number</t>
  </si>
  <si>
    <t>V87599</t>
  </si>
  <si>
    <t>V61444</t>
  </si>
  <si>
    <t>A55070</t>
  </si>
  <si>
    <t>Q03468</t>
  </si>
  <si>
    <t>N/A</t>
  </si>
  <si>
    <t>T03597</t>
  </si>
  <si>
    <t>02-0866-9700</t>
  </si>
  <si>
    <t>10-100INLB or 1002BIFI</t>
  </si>
  <si>
    <t>20-100INOZ TS100</t>
  </si>
  <si>
    <t>P44627</t>
  </si>
  <si>
    <t>A98563</t>
  </si>
  <si>
    <t>X09635</t>
  </si>
  <si>
    <t>P33724</t>
  </si>
  <si>
    <t>P40374</t>
  </si>
  <si>
    <t>V69816</t>
  </si>
  <si>
    <t>T60338</t>
  </si>
  <si>
    <t>M23954</t>
  </si>
  <si>
    <t>D26583</t>
  </si>
  <si>
    <t>S41715</t>
  </si>
  <si>
    <t>T53635</t>
  </si>
  <si>
    <t>R22666</t>
  </si>
  <si>
    <t>T53471</t>
  </si>
  <si>
    <t>V46228</t>
  </si>
  <si>
    <t xml:space="preserve">5120013390369  
</t>
  </si>
  <si>
    <t>0-24IN or 570</t>
  </si>
  <si>
    <t>V77715</t>
  </si>
  <si>
    <t>V99436</t>
  </si>
  <si>
    <t>P37218</t>
  </si>
  <si>
    <t>Added to list on 20apr2011 4/29/2011... in shop awaiting cal 4/29/2011… In shop awaiting cal. 5/11/2011… not on TMDE list</t>
  </si>
  <si>
    <t># of delinquent items  on hand without going over standard</t>
  </si>
  <si>
    <t>WRENCH TORQ, Multiplier</t>
  </si>
  <si>
    <t>BPN923</t>
  </si>
  <si>
    <t>BPN936</t>
  </si>
  <si>
    <t>2-12IN 124BZ</t>
  </si>
  <si>
    <t>MICROMETER, INSIDE</t>
  </si>
  <si>
    <t>BPN919</t>
  </si>
  <si>
    <t>Caliper, Vernier</t>
  </si>
  <si>
    <t>BPN986</t>
  </si>
  <si>
    <t>700-1600LB TCI-150RA 16003MMH</t>
  </si>
  <si>
    <t>BPN937</t>
  </si>
  <si>
    <t>436-1</t>
  </si>
  <si>
    <t>Micrometer, OS 1 of 6</t>
  </si>
  <si>
    <t>BPN938</t>
  </si>
  <si>
    <t>436-2</t>
  </si>
  <si>
    <t>Micrometer, OS 2 of 6</t>
  </si>
  <si>
    <t>BPN939</t>
  </si>
  <si>
    <t>436-3</t>
  </si>
  <si>
    <t>Micrometer, OS 3 of 6</t>
  </si>
  <si>
    <t>BPN940</t>
  </si>
  <si>
    <t>436-4</t>
  </si>
  <si>
    <t>Micrometer, OS 4 of 6</t>
  </si>
  <si>
    <t>BPN941</t>
  </si>
  <si>
    <t>436-5</t>
  </si>
  <si>
    <t>Micrometer, OS 5 of 6</t>
  </si>
  <si>
    <t>BPN942</t>
  </si>
  <si>
    <t>436-6</t>
  </si>
  <si>
    <t>Micrometer, OS 6 of 6</t>
  </si>
  <si>
    <t>2-6IN of Pro 360</t>
  </si>
  <si>
    <t>BPN932</t>
  </si>
  <si>
    <t>BPN934</t>
  </si>
  <si>
    <t>TS4317/GRM-122</t>
  </si>
  <si>
    <t>NDI</t>
  </si>
  <si>
    <t>Wrench, Torque</t>
  </si>
  <si>
    <t>0309046070</t>
  </si>
  <si>
    <t>GAGE,DEPTH,DIAL INDICATING</t>
  </si>
  <si>
    <t>0-0.125IN / 643J</t>
  </si>
  <si>
    <t>0-6IN / 120A6</t>
  </si>
  <si>
    <t>12082219</t>
  </si>
  <si>
    <t>12082532</t>
  </si>
  <si>
    <t>DHK12380</t>
  </si>
  <si>
    <t>DHK11785</t>
  </si>
  <si>
    <t>0-10lbs</t>
  </si>
  <si>
    <t>DHK13463</t>
  </si>
  <si>
    <t>40-200INLB / 6062CX</t>
  </si>
  <si>
    <t>DHK13496</t>
  </si>
  <si>
    <t>DHK13464</t>
  </si>
  <si>
    <t>DHK15584</t>
  </si>
  <si>
    <t>100-1000INLBS 6066CX</t>
  </si>
  <si>
    <t>DHK15570</t>
  </si>
  <si>
    <t>DHK15507</t>
  </si>
  <si>
    <t>Tool Room / AVA Kit</t>
  </si>
  <si>
    <t>TMU-42553/30</t>
  </si>
  <si>
    <t>INDICATOR, DIAL</t>
  </si>
  <si>
    <t>WB366841</t>
  </si>
  <si>
    <t>See Note</t>
  </si>
  <si>
    <t>A2369</t>
  </si>
  <si>
    <t>Counter, Electronic</t>
  </si>
  <si>
    <t>MS1543</t>
  </si>
  <si>
    <t>MS1230</t>
  </si>
  <si>
    <t>MS1229</t>
  </si>
  <si>
    <t>0-30inlb / J6168F</t>
  </si>
  <si>
    <t>MS1535</t>
  </si>
  <si>
    <t>MS1233</t>
  </si>
  <si>
    <t>MS1559</t>
  </si>
  <si>
    <t>MS1550</t>
  </si>
  <si>
    <t>MS1551</t>
  </si>
  <si>
    <t>MS1232</t>
  </si>
  <si>
    <t>MS1548</t>
  </si>
  <si>
    <t>MS1536</t>
  </si>
  <si>
    <t>MS1549</t>
  </si>
  <si>
    <t>MS1537</t>
  </si>
  <si>
    <t>MS1552</t>
  </si>
  <si>
    <t>MS1231</t>
  </si>
  <si>
    <t>MS1531</t>
  </si>
  <si>
    <t>MS1532</t>
  </si>
  <si>
    <t>MS1534</t>
  </si>
  <si>
    <t>MS1533</t>
  </si>
  <si>
    <t>0-60LBS / 270MD</t>
  </si>
  <si>
    <t>MS1545</t>
  </si>
  <si>
    <t>MS1547</t>
  </si>
  <si>
    <t>MS1530</t>
  </si>
  <si>
    <t>MS1542</t>
  </si>
  <si>
    <t>MS1544</t>
  </si>
  <si>
    <t>MS1546</t>
  </si>
  <si>
    <t>0-12inlb or TQS1A</t>
  </si>
  <si>
    <t>Total Delinquent Items:</t>
  </si>
  <si>
    <t>DEL on hand:</t>
  </si>
  <si>
    <t>150-1000INLB / QC2R1000</t>
  </si>
  <si>
    <t>0-30INLBS / 301LDINSS</t>
  </si>
  <si>
    <t>FLUKE 87 / 87V</t>
  </si>
  <si>
    <t>0-24IN / 123</t>
  </si>
  <si>
    <t>0-12in micrometer depth / 12-2012-9400</t>
  </si>
  <si>
    <t>0-6in / 643 / 0-12in</t>
  </si>
  <si>
    <t>50-250ftlbs / 6014CX</t>
  </si>
  <si>
    <t>50-250FTLB 6014CX</t>
  </si>
  <si>
    <t>196A1Z / 196M</t>
  </si>
  <si>
    <t>MS1352</t>
  </si>
  <si>
    <t>BPN933</t>
  </si>
  <si>
    <t>7640</t>
  </si>
  <si>
    <t>Scale, Digital</t>
  </si>
  <si>
    <t>Q94022151</t>
  </si>
  <si>
    <t>2438A</t>
  </si>
  <si>
    <t>SG-1288/G</t>
  </si>
  <si>
    <t>Signal Generator</t>
  </si>
  <si>
    <t>209090787</t>
  </si>
  <si>
    <t>17150683</t>
  </si>
  <si>
    <t>77IV</t>
  </si>
  <si>
    <t>03039</t>
  </si>
  <si>
    <t>TS-4348/UV</t>
  </si>
  <si>
    <t>TS Elec. Sys (NVG)</t>
  </si>
  <si>
    <t>See Note &gt;&gt;&gt;</t>
  </si>
  <si>
    <t>MS1313</t>
  </si>
  <si>
    <t>MS1314</t>
  </si>
  <si>
    <t>Scale, digitial / CS2000</t>
  </si>
  <si>
    <t>MS1315</t>
  </si>
  <si>
    <t>MS1672</t>
  </si>
  <si>
    <t>MS1671</t>
  </si>
  <si>
    <t>PROTRACTOR, Digital</t>
  </si>
  <si>
    <t>DHX13531</t>
  </si>
  <si>
    <t>DHK15468</t>
  </si>
  <si>
    <t>0309046018</t>
  </si>
  <si>
    <t>B082654</t>
  </si>
  <si>
    <t>AN/USM-488</t>
  </si>
  <si>
    <t>Oscilloscope</t>
  </si>
  <si>
    <t>P30693</t>
  </si>
  <si>
    <t>LUH2 / Wise</t>
  </si>
  <si>
    <t>Tool Room / SHELF X</t>
  </si>
  <si>
    <t>Tool Room / ED11</t>
  </si>
  <si>
    <t>Tool Room / AH D14</t>
  </si>
  <si>
    <t>3/18/2011… Code out at next Cal, No longer in use 8/29/2011… Found and must be calibrated</t>
  </si>
  <si>
    <t>Other</t>
  </si>
  <si>
    <t>1522A</t>
  </si>
  <si>
    <t>Ohmeter</t>
  </si>
  <si>
    <t>ZM-21D/U / AN-PSM-43</t>
  </si>
  <si>
    <t>Days Until Due</t>
  </si>
  <si>
    <t>1648425 or 1648452</t>
  </si>
  <si>
    <t>0282A</t>
  </si>
  <si>
    <t>AN/GRM-114A</t>
  </si>
  <si>
    <t>Tool Room / AFL-0121</t>
  </si>
  <si>
    <t>Tool Room / AFL-0122</t>
  </si>
  <si>
    <t>Tool Room / BD-1</t>
  </si>
  <si>
    <t>Tool Room / 059 BD07</t>
  </si>
  <si>
    <t>Tool Room / 052 BD07</t>
  </si>
  <si>
    <t>Tool Room / 059 ED01</t>
  </si>
  <si>
    <t>Tool Room / 059 ED02</t>
  </si>
  <si>
    <t>Tool Room / 059 ED04</t>
  </si>
  <si>
    <t>Tool Room / 059 FD03</t>
  </si>
  <si>
    <t>Tool Room / 059-ED02</t>
  </si>
  <si>
    <t>Tool Room / 059-ED04</t>
  </si>
  <si>
    <t>Tool Room / 059-FD04</t>
  </si>
  <si>
    <t>Tool Room / AC01</t>
  </si>
  <si>
    <t>Tool Room / AF03</t>
  </si>
  <si>
    <t>Tool Room / AH K06</t>
  </si>
  <si>
    <t>Tool Room / AH03</t>
  </si>
  <si>
    <t>Tool Room / AH-64 H01</t>
  </si>
  <si>
    <t>Tool Room / AI01</t>
  </si>
  <si>
    <t>Tool Room / AI02</t>
  </si>
  <si>
    <t>Tool Room / BA01</t>
  </si>
  <si>
    <t>Tool Room / BA02</t>
  </si>
  <si>
    <t>Tool Room / BA03</t>
  </si>
  <si>
    <t>Tool Room / BB01</t>
  </si>
  <si>
    <t>Tool Room / BB02</t>
  </si>
  <si>
    <t>Tool Room / BB03</t>
  </si>
  <si>
    <t>Tool Room / BB04</t>
  </si>
  <si>
    <t>Tool Room / BC01</t>
  </si>
  <si>
    <t>Tool Room / BC02</t>
  </si>
  <si>
    <t>Tool Room / BD04</t>
  </si>
  <si>
    <t>Tool Room / BF01</t>
  </si>
  <si>
    <t>Tool Room / BG01</t>
  </si>
  <si>
    <t>Tool Room / CB05</t>
  </si>
  <si>
    <t>Tool Room / ED08</t>
  </si>
  <si>
    <t>Tool Room / 059-ED01</t>
  </si>
  <si>
    <t>Tool Room / 059-FD05</t>
  </si>
  <si>
    <t>17980505</t>
  </si>
  <si>
    <t>LUH2 / J. White</t>
  </si>
  <si>
    <t>SJ12KHS</t>
  </si>
  <si>
    <t>6625014091017 / 6625014585183</t>
  </si>
  <si>
    <t>GECC40000010 / GECFB10000</t>
  </si>
  <si>
    <t>8505Y</t>
  </si>
  <si>
    <t>MS1384</t>
  </si>
  <si>
    <t>MS1386</t>
  </si>
  <si>
    <t>MS1388</t>
  </si>
  <si>
    <t>15680073</t>
  </si>
  <si>
    <t>Returned to us on 4/28/2011 8/11/2011… Item was broken in use. Remove from List. Sent email to Paul Cross to Code out this item. 10/13/2011… 11/8/2011… Code Out</t>
  </si>
  <si>
    <t>MS1385</t>
  </si>
  <si>
    <t>MS1845</t>
  </si>
  <si>
    <t>0-60INLB / 601BI / TWV150</t>
  </si>
  <si>
    <t>20-100FTLB / TWX100FA / TWV250</t>
  </si>
  <si>
    <t>1451</t>
  </si>
  <si>
    <t>ASTM 8 C/1P</t>
  </si>
  <si>
    <t>MS1387</t>
  </si>
  <si>
    <t>07122385</t>
  </si>
  <si>
    <t>HC-2144 0-6000PSI GAGE</t>
  </si>
  <si>
    <t>GAGE, PRESSURE</t>
  </si>
  <si>
    <t>T26848</t>
  </si>
  <si>
    <t>MS1907</t>
  </si>
  <si>
    <t>B036244</t>
  </si>
  <si>
    <t>Test Set, Cable</t>
  </si>
  <si>
    <t>TD1225A(V)2U</t>
  </si>
  <si>
    <t>TS4165/G</t>
  </si>
  <si>
    <t>BPN930</t>
  </si>
  <si>
    <t>TS Navigation</t>
  </si>
  <si>
    <t>T16847</t>
  </si>
  <si>
    <t>3817</t>
  </si>
  <si>
    <t>MS1954</t>
  </si>
  <si>
    <t>821 / 824</t>
  </si>
  <si>
    <t>MS1957</t>
  </si>
  <si>
    <t>MS1955</t>
  </si>
  <si>
    <t>MS1956</t>
  </si>
  <si>
    <t>209090155 / 0193-0003</t>
  </si>
  <si>
    <t>DO NOT SEND TO TMDE LAB, SHOULD BE CAL'D BY CIVILIAN (P/O LUH) WILL BE TURNED IN AND REPLACED 11/8/2011… Pulled for turn in</t>
  </si>
  <si>
    <t xml:space="preserve">Tool Room / </t>
  </si>
  <si>
    <t>Sheet Metal</t>
  </si>
  <si>
    <t xml:space="preserve"> 10/13/2011… 11/8/2011… 1/5/2012… Awaiting Repair Part 1/19/2012… returned from cal NRTS 2/09/2012… Code Out 3/7/2012… No Longer on IMFR</t>
  </si>
  <si>
    <t>DEL</t>
  </si>
  <si>
    <t>Year</t>
  </si>
  <si>
    <t>LUH / J. Frederick</t>
  </si>
  <si>
    <t>LUH / Z Gray</t>
  </si>
  <si>
    <t>Month / Year</t>
  </si>
  <si>
    <t>Number of month</t>
  </si>
  <si>
    <t>Criteria to match in 'consolidated AE' Column</t>
  </si>
  <si>
    <t># of items due that month</t>
  </si>
  <si>
    <t>505</t>
  </si>
  <si>
    <t>MB2042</t>
  </si>
  <si>
    <t>98512N</t>
  </si>
  <si>
    <t>FG3506</t>
  </si>
  <si>
    <t>MB3304</t>
  </si>
  <si>
    <t>MB2031</t>
  </si>
  <si>
    <t>C19266</t>
  </si>
  <si>
    <t>S48323</t>
  </si>
  <si>
    <t>98470500</t>
  </si>
  <si>
    <t>60831659</t>
  </si>
  <si>
    <t>N17155</t>
  </si>
  <si>
    <t>452</t>
  </si>
  <si>
    <t>FG2546</t>
  </si>
  <si>
    <t>A220CC</t>
  </si>
  <si>
    <t>R93247</t>
  </si>
  <si>
    <t>RADAR SIG SIMULATOR</t>
  </si>
  <si>
    <t>1067A</t>
  </si>
  <si>
    <t>P/O kit LIN FG7044 SN 81107px0610</t>
  </si>
  <si>
    <t>T87468</t>
  </si>
  <si>
    <t>MS2210</t>
  </si>
  <si>
    <t>3/21/2012… CNR</t>
  </si>
  <si>
    <t>939C</t>
  </si>
  <si>
    <t>MS2211</t>
  </si>
  <si>
    <t>Date</t>
  </si>
  <si>
    <t># of this model on hand</t>
  </si>
  <si>
    <t>1 of 1</t>
  </si>
  <si>
    <t>1 of 2</t>
  </si>
  <si>
    <t>2 of 2</t>
  </si>
  <si>
    <t>1 of 4</t>
  </si>
  <si>
    <t>2 of 4</t>
  </si>
  <si>
    <t>3 of 4</t>
  </si>
  <si>
    <t xml:space="preserve">4 of 4 </t>
  </si>
  <si>
    <t xml:space="preserve">2 of 4 </t>
  </si>
  <si>
    <t>1 of 3</t>
  </si>
  <si>
    <t>2 of 3</t>
  </si>
  <si>
    <t>3 of 3</t>
  </si>
  <si>
    <t xml:space="preserve">1 of 1 </t>
  </si>
  <si>
    <t>2 of  3</t>
  </si>
  <si>
    <t xml:space="preserve">2 of 3 </t>
  </si>
  <si>
    <t>7 0f 10</t>
  </si>
  <si>
    <t>8 of 10</t>
  </si>
  <si>
    <t>10 of 10</t>
  </si>
  <si>
    <t>1 of 10</t>
  </si>
  <si>
    <t>2 of 10</t>
  </si>
  <si>
    <t>4 of 10</t>
  </si>
  <si>
    <t>5 of 10</t>
  </si>
  <si>
    <t>6 of 10</t>
  </si>
  <si>
    <t>9 of 10</t>
  </si>
  <si>
    <t>100-600FTLB / 6004MFRMH</t>
  </si>
  <si>
    <t>8INLB</t>
  </si>
  <si>
    <t>10-50inlb  6060A</t>
  </si>
  <si>
    <t>Item due with rearrangement</t>
  </si>
  <si>
    <t>Adjusted Send Date</t>
  </si>
  <si>
    <t>NR</t>
  </si>
  <si>
    <t>52II</t>
  </si>
  <si>
    <t>92880082</t>
  </si>
  <si>
    <t>AXD540</t>
  </si>
  <si>
    <t>MICRO MAN0METER</t>
  </si>
  <si>
    <t>56127035</t>
  </si>
  <si>
    <t>139150</t>
  </si>
  <si>
    <t>14830A</t>
  </si>
  <si>
    <t>GAGE VACUUM. THERMISTER</t>
  </si>
  <si>
    <t>GSE</t>
  </si>
  <si>
    <t>MS2295</t>
  </si>
  <si>
    <t>MS2294</t>
  </si>
  <si>
    <t>DPG1000B</t>
  </si>
  <si>
    <t>Gage Pressure, Digital</t>
  </si>
  <si>
    <t>tool Room</t>
  </si>
  <si>
    <t>MS1192</t>
  </si>
  <si>
    <t>MS2289</t>
  </si>
  <si>
    <t>41074</t>
  </si>
  <si>
    <t>991D</t>
  </si>
  <si>
    <t>Transducer</t>
  </si>
  <si>
    <t>MS2288</t>
  </si>
  <si>
    <t>41066</t>
  </si>
  <si>
    <t>Test Pilot / Caldwell</t>
  </si>
  <si>
    <t>Test Pilot / Abbott</t>
  </si>
  <si>
    <t>0126</t>
  </si>
  <si>
    <t>7917</t>
  </si>
  <si>
    <t>MS2366</t>
  </si>
  <si>
    <t>7596</t>
  </si>
  <si>
    <t>THERMOMETER, Digital Fluke, SEND Leads</t>
  </si>
  <si>
    <t>7/20/2012… As Per D. Gable this item has been turned in and is no longer ours.</t>
  </si>
  <si>
    <t>LUH Med</t>
  </si>
  <si>
    <t>MS1135</t>
  </si>
  <si>
    <t>Set S/N 1244</t>
  </si>
  <si>
    <t>SCALE DIGTL, in AVA 1244</t>
  </si>
  <si>
    <t>Known Due Date</t>
  </si>
  <si>
    <t>Known Interval</t>
  </si>
  <si>
    <t>Known Calibrated  Date</t>
  </si>
  <si>
    <t>Unknown Due Date</t>
  </si>
  <si>
    <t>Known Calibrated Date</t>
  </si>
  <si>
    <t>Known Calibration Due Date</t>
  </si>
  <si>
    <t>Unknown Interval</t>
  </si>
  <si>
    <t>Unknown Calibrated date</t>
  </si>
  <si>
    <t>Out of Tolerance</t>
  </si>
  <si>
    <t>Code Out</t>
  </si>
  <si>
    <t>MS2638</t>
  </si>
  <si>
    <t>0410006416</t>
  </si>
  <si>
    <t>0976</t>
  </si>
  <si>
    <t>ALSET -400</t>
  </si>
  <si>
    <t>TSTR ALSE (LIFE SPT)</t>
  </si>
  <si>
    <t>MS2973</t>
  </si>
  <si>
    <t>Not on TMDE Report. 5/11/2011… not on property book. 1/4/2013… Needs CNR Label</t>
  </si>
  <si>
    <t>Projected</t>
  </si>
  <si>
    <t>B</t>
  </si>
  <si>
    <t>TEST SET RADIO ANPRM-32</t>
  </si>
  <si>
    <t>NGNGW8</t>
  </si>
  <si>
    <t>1</t>
  </si>
  <si>
    <t>6625008033399</t>
  </si>
  <si>
    <t>EA</t>
  </si>
  <si>
    <t>366.00</t>
  </si>
  <si>
    <t>TST ST RDO AN/PRM-32</t>
  </si>
  <si>
    <t xml:space="preserve"> </t>
  </si>
  <si>
    <t>S</t>
  </si>
  <si>
    <t>U</t>
  </si>
  <si>
    <t>6314</t>
  </si>
  <si>
    <t xml:space="preserve">547 </t>
  </si>
  <si>
    <t>We Have 3 on the TMDE List One is Hand Receipted? One PB, and one UNK</t>
  </si>
  <si>
    <t>CTA 50-909</t>
  </si>
  <si>
    <t>R</t>
  </si>
  <si>
    <t>8100</t>
  </si>
  <si>
    <t>SIGHT,BORE,OPTICAL</t>
  </si>
  <si>
    <t>2</t>
  </si>
  <si>
    <t>4933008676607</t>
  </si>
  <si>
    <t>771.00</t>
  </si>
  <si>
    <t>J</t>
  </si>
  <si>
    <t xml:space="preserve">123 </t>
  </si>
  <si>
    <t xml:space="preserve">456 </t>
  </si>
  <si>
    <t>WE have 3  of these</t>
  </si>
  <si>
    <t>SK2000tc-6-8</t>
  </si>
  <si>
    <t>VALVE RELIEF</t>
  </si>
  <si>
    <t>GSE / In Tire Rack</t>
  </si>
  <si>
    <t>MS3260</t>
  </si>
  <si>
    <t>130</t>
  </si>
  <si>
    <t>MS2974</t>
  </si>
  <si>
    <t>Not Adjustable Out of limits 12/14/2012… 1/4/2013 1/25/2013… not on IMFR</t>
  </si>
  <si>
    <t>10/4/2012… Code Out Bad Power supply, no parts avail. Returned from Cal. 10/9/2012… 11/5/2012... Code Out 1/4/2013…  1/25/2013… Not on List</t>
  </si>
  <si>
    <t>0109</t>
  </si>
  <si>
    <t>2300000-30</t>
  </si>
  <si>
    <t>Avionics Part of Radio test set</t>
  </si>
  <si>
    <t>S/Ns 505, 817 are on TMDE List but not property book.</t>
  </si>
  <si>
    <t>S/N 789 is on TMDE List but not on property book.</t>
  </si>
  <si>
    <t>1/30/2013… needs to be added to property book and IMFR List</t>
  </si>
  <si>
    <t>1/30/2013… On Property book and IMFR</t>
  </si>
  <si>
    <t>Tool Room / Bldg 2</t>
  </si>
  <si>
    <t>should be either hand receipted from unit or on property book 1/30/2013… Not on our property book has been turned in</t>
  </si>
  <si>
    <t>12067332</t>
  </si>
  <si>
    <t>12066965</t>
  </si>
  <si>
    <t>10/4/2012… Code Out Returned from CAL 10/9/2012… 11/5/2012… shows Code Out 2/11/2013… No longer on IMFR</t>
  </si>
  <si>
    <t>Tool Room / BD06</t>
  </si>
  <si>
    <t>MS2545</t>
  </si>
  <si>
    <t>7595</t>
  </si>
  <si>
    <t>MS2544</t>
  </si>
  <si>
    <t>Tool Room / C114th AVA Kit</t>
  </si>
  <si>
    <t>MS3391</t>
  </si>
  <si>
    <t>MS3392</t>
  </si>
  <si>
    <t>SG51030384</t>
  </si>
  <si>
    <t>N5183M</t>
  </si>
  <si>
    <t>MY40000379</t>
  </si>
  <si>
    <t>E3616A</t>
  </si>
  <si>
    <t>POWR SUPPLY</t>
  </si>
  <si>
    <t>2/25/2013… Added to list</t>
  </si>
  <si>
    <t>0812601179</t>
  </si>
  <si>
    <t>LUH / J Wells</t>
  </si>
  <si>
    <t>tmk</t>
  </si>
  <si>
    <t>NSN is not in TB 43-180 3/5/2013… interval changed from 1080 to 840  3/11/2013… in from lab, REJECTED-REMARKS"COULD NOT ADJUST INTO TOLERANCE/STICKS"  Arrived with red Rejected Instrument Tag attached. Gave to Kim Pannell, told her it was rejected &amp; to turn it in/order another one.</t>
  </si>
  <si>
    <t>Added to list on 20apr2011  5/11/2011… Couldn’t find on Prop book 5/20/2011… Returned from Lab 3/14/2013…. Remove from Calibration list as per Dawn Gabl</t>
  </si>
  <si>
    <t>23971219</t>
  </si>
  <si>
    <t>PP-201</t>
  </si>
  <si>
    <t>Scale, Pocket</t>
  </si>
  <si>
    <t>MS3556</t>
  </si>
  <si>
    <t>MS3557</t>
  </si>
  <si>
    <t>MS3558</t>
  </si>
  <si>
    <t>1502A or B011601</t>
  </si>
  <si>
    <t>1/25/2013…   Coded out Return from Calibration 2/11/2013… CODE OUT 4/3/2013… no longer on the master list.</t>
  </si>
  <si>
    <t>4/13/2012… Returned from Cal 1/25/2013… Projected 1/30/2013.. Found out that this item is in the process of being turned in. Sent email to lab to have it removed from our list  2/11/2013… Not on IMFR  4/3/2013… No longer on master list</t>
  </si>
  <si>
    <t>8/10/2012… Returned from Lab 1/4/2013… shows up on the IMFR with a new ID number Old number was MS0058 New number on list is MS2974 1/25/2013… IMFR shows at lab 1/25/2013… AP 2/19/2013… Code out upon return from lab 4/3/2013… No longer on master list</t>
  </si>
  <si>
    <t>32808</t>
  </si>
  <si>
    <t>32466</t>
  </si>
  <si>
    <t>6680013281913</t>
  </si>
  <si>
    <t>41105</t>
  </si>
  <si>
    <t>41103</t>
  </si>
  <si>
    <t>15996</t>
  </si>
  <si>
    <t>32809</t>
  </si>
  <si>
    <t>41323</t>
  </si>
  <si>
    <t>34342</t>
  </si>
  <si>
    <t>32807</t>
  </si>
  <si>
    <t>20651</t>
  </si>
  <si>
    <t>34347</t>
  </si>
  <si>
    <t>23435</t>
  </si>
  <si>
    <t>33287</t>
  </si>
  <si>
    <t>42473</t>
  </si>
  <si>
    <t>AH-640185</t>
  </si>
  <si>
    <t>Tool Crimp, Bending Kit</t>
  </si>
  <si>
    <t>SMF0064</t>
  </si>
  <si>
    <t>4/17/2013… Needs to be added to IMFR</t>
  </si>
  <si>
    <t>Gage Pressure</t>
  </si>
  <si>
    <t xml:space="preserve">0-5psi </t>
  </si>
  <si>
    <t>AH-640203</t>
  </si>
  <si>
    <t>AH-640207</t>
  </si>
  <si>
    <t>AH-640205</t>
  </si>
  <si>
    <t>Tool Room / AH-64O</t>
  </si>
  <si>
    <t>MS3672</t>
  </si>
  <si>
    <t>4/19/2013… Rec'd from lab</t>
  </si>
  <si>
    <t>4/19/2013… Rec'd from lab with red tag: "Out of tolerance, no adjustments can be made"</t>
  </si>
  <si>
    <t>4/19/2013… Rec'd from lab. They do not calibrate this item.</t>
  </si>
  <si>
    <t>NSN is not in TB 43-180 1/4/2013…  1/25/2013… Awaiting Shop Cal 2/11/2013… AP 2/19/2013… 4/3/2013...Code Out 4/22/2013… Not on Master List</t>
  </si>
  <si>
    <t>4/3/2013… not on IMFR 4/22/2013… Removed from list as per R. Jones</t>
  </si>
  <si>
    <t>MS3674</t>
  </si>
  <si>
    <t>MS3673</t>
  </si>
  <si>
    <t>LUH</t>
  </si>
  <si>
    <t>12086223</t>
  </si>
  <si>
    <t>30-200 inlb</t>
  </si>
  <si>
    <t>MS3845</t>
  </si>
  <si>
    <t>5/11/2012… CNR</t>
  </si>
  <si>
    <t>50-250 FT-LB / 2503MFRMH</t>
  </si>
  <si>
    <t>40-200 INLB / 6062CX</t>
  </si>
  <si>
    <t>40-200 inlbs</t>
  </si>
  <si>
    <t>40-200 INLBS</t>
  </si>
  <si>
    <t>40-200 INLB  QD1R200</t>
  </si>
  <si>
    <t>LUH 72-8 / Corey Young</t>
  </si>
  <si>
    <t>90009 OR 3002</t>
  </si>
  <si>
    <t>WWJ06860</t>
  </si>
  <si>
    <t>6/6/2013… Code Out 8/5/2013… Not on IMFR</t>
  </si>
  <si>
    <t>Total of this model</t>
  </si>
  <si>
    <t>3</t>
  </si>
  <si>
    <t>4</t>
  </si>
  <si>
    <t>5</t>
  </si>
  <si>
    <t>9</t>
  </si>
  <si>
    <t>10</t>
  </si>
  <si>
    <t>7</t>
  </si>
  <si>
    <t>16</t>
  </si>
  <si>
    <t>1 set</t>
  </si>
  <si>
    <t>MS4237</t>
  </si>
  <si>
    <t>MS4238</t>
  </si>
  <si>
    <t>Tool Room / AVA Kit 1244</t>
  </si>
  <si>
    <t>8</t>
  </si>
  <si>
    <t>4/19/2013… Rec'd from lab with red tag: "Out of tolerance, no adjustments can be made" 9/13/2013… No Longer on IMFR</t>
  </si>
  <si>
    <t>4/19/2013… Rec'd from lab with red tag: "nonlinear/cannot adjust into tolerance" 8/5/2013… 9/13/2013... Not on IMFR</t>
  </si>
  <si>
    <t>4/19/2013… Rec'd from lab with red tag: "out of tolerance, cannot get parts" 8/5/2013… 9/13/2013… no longer on IMFR</t>
  </si>
  <si>
    <t>MS4307</t>
  </si>
  <si>
    <t>MS4306</t>
  </si>
  <si>
    <t>MS4305</t>
  </si>
  <si>
    <t>8/9/2013… Code Out can not be calibrated  due to stuck handle, returned form cal. 9/13/2013… Marked Code Out on IMFR 10/21/2013… No Longer on Master List</t>
  </si>
  <si>
    <t>23750-0184</t>
  </si>
  <si>
    <t>55096</t>
  </si>
  <si>
    <t>0501000036</t>
  </si>
  <si>
    <t>WWJ06807</t>
  </si>
  <si>
    <t>I3740</t>
  </si>
  <si>
    <t>5100715536</t>
  </si>
  <si>
    <t>WWL15320</t>
  </si>
  <si>
    <t>code out</t>
  </si>
  <si>
    <t>Digital Captive Boresight CBHK</t>
  </si>
  <si>
    <t>Tool Room / BC05</t>
  </si>
  <si>
    <t>11864</t>
  </si>
  <si>
    <t>0059-ED2</t>
  </si>
  <si>
    <t>MS4428</t>
  </si>
  <si>
    <t>CA1550</t>
  </si>
  <si>
    <t>N-471</t>
  </si>
  <si>
    <t>1013500010</t>
  </si>
  <si>
    <t>300-1600 inlb</t>
  </si>
  <si>
    <t>Tool Room, ED08</t>
  </si>
  <si>
    <t>TEST SET,RADIO</t>
  </si>
  <si>
    <t>10/6/2011… Rec'd from lab 9/13/2013… could not find scale to send. 10/21/2013… Cannot be found, must take off of list. Emailed LAB to have it removed. 11/7/2013… 12/13/2013… Not on master List</t>
  </si>
  <si>
    <t>W8N01</t>
  </si>
  <si>
    <t>jdw</t>
  </si>
  <si>
    <t>MS4514</t>
  </si>
  <si>
    <t>ID</t>
  </si>
  <si>
    <t>No 7372</t>
  </si>
  <si>
    <t>The torque wrenches listed have all been returned as out of tolerance no adjustments available, Code out.</t>
  </si>
  <si>
    <t>0133A</t>
  </si>
  <si>
    <t>MS4530</t>
  </si>
  <si>
    <t>40-200 in lb</t>
  </si>
  <si>
    <t>LUH /</t>
  </si>
  <si>
    <t>0-100psi</t>
  </si>
  <si>
    <t>2/28/2014… New Item, Hold until the other one comes back from Calibration</t>
  </si>
  <si>
    <t>unk / 834th</t>
  </si>
  <si>
    <t>0-6000PSI GAGE, HC-2144</t>
  </si>
  <si>
    <t>Scheduled Month</t>
  </si>
  <si>
    <t>Scheduled Year</t>
  </si>
  <si>
    <t>Adjusted Month</t>
  </si>
  <si>
    <t>Adjusted Year</t>
  </si>
  <si>
    <t>Tool room / BA02</t>
  </si>
  <si>
    <t>tool room / BA02</t>
  </si>
  <si>
    <t>tool room / BA03</t>
  </si>
  <si>
    <t>New</t>
  </si>
  <si>
    <t>2/27/2014… New Item as per note left by Mr. Hall, 3/12/2014… Serial number matches BPM077, This wrench may not exist Mr. Hall is going to check a non-issued box in supply.</t>
  </si>
  <si>
    <t>MS4624</t>
  </si>
  <si>
    <t>MS4625</t>
  </si>
  <si>
    <t>MS4627</t>
  </si>
  <si>
    <t>MS4628</t>
  </si>
  <si>
    <t>MS4629</t>
  </si>
  <si>
    <t>9/16/2013… cannot be repaired 10/15/2013… 11/7/2013... 12/13/2013… 1/7/2014… Still on List, shows on the delinquent list 2/18/2014… Sent email to have removed from list. 4/4/2014… Not on IMFR</t>
  </si>
  <si>
    <t>MS4529</t>
  </si>
  <si>
    <t>should be either hand receipted from unit or on property book 1/30/2013… Not on our property book has been turned in 4/4/2014… Sent email to remove from IMFR</t>
  </si>
  <si>
    <t>BJ669</t>
  </si>
  <si>
    <t>MS4646</t>
  </si>
  <si>
    <t>MS4647</t>
  </si>
  <si>
    <t>BPN930 / SUP0017?</t>
  </si>
  <si>
    <t>Sling</t>
  </si>
  <si>
    <t>Hoisting Sling</t>
  </si>
  <si>
    <t>MS4648</t>
  </si>
  <si>
    <t>1/4/2013… Must be found to verify CNR 1/30/2013… this is on the property book has been turned in 4/4/2014… sent email to remove from IMFR</t>
  </si>
  <si>
    <t>1/22/2014… REJECTED could not be adjusted.  2/6/2014… Rec'd from lab. 2/28/2014… Sent email to have removed from list 6/4/2014…. Not on IMFR</t>
  </si>
  <si>
    <t>12/16/2013… Rec'd from lab "OUT OF TOLERANCE." Returned, + lowest tq setting. 12/20/2013… sent to AVCRAD to verify. Came back good. 1/7/2014… 4/4/2014… Not on IMFR, emailed Kim Pannell to see if we still have this item. 6/4/2014… as per Richard Jones we no longer have this item,</t>
  </si>
  <si>
    <t>WWL16072</t>
  </si>
  <si>
    <t>WWL15135</t>
  </si>
  <si>
    <t>12/16/2013.. Rec'd from lab "OUT OF TOLERANCE" Send to AVCRAD for verification. Returned below lowest tq setting. 12/20/2013… sent to AVCRAD for verification, came back as good. 1/7/2014…  4/4/2014 Not on IMFR, emailed Kim Pannell to see if we still have this item. 6/4/2014... Removed from list as per Richard Jones</t>
  </si>
  <si>
    <t>52014</t>
  </si>
  <si>
    <t>10/15/2013… 11/7/2013... Awaiting Shop Cal 12/13/2013… AP.. 12/16/2013… Rec'd from lab "OUT OF TOLERANCE" Send to AVCRAD for verification. Returned below lowest tq setting. 12/20/2013… sent to AVCRAD for verification, they came back as good. 1/7/2014… Not on IMFR 6/4/2014... has been turned in as per Richard Jones</t>
  </si>
  <si>
    <t>Not on TMDE Report 6/4/2014… needs to be added to IMFR</t>
  </si>
  <si>
    <t>Never existed</t>
  </si>
  <si>
    <t>2014</t>
  </si>
  <si>
    <t>5/20/2011… Rec'd from lab 5/28/2014… Received from Lab as "fails performance check, no adjustment available. 6/4/2014… Code Out 7/9/2014… No Loner on IMFR</t>
  </si>
  <si>
    <t>GSE In Hangar</t>
  </si>
  <si>
    <t>LUH2  / Wise</t>
  </si>
  <si>
    <t>MS4911</t>
  </si>
  <si>
    <t>Gage, Depth, Micromete</t>
  </si>
  <si>
    <t>Tool Room 059-ED1</t>
  </si>
  <si>
    <t>MS4984</t>
  </si>
  <si>
    <t>MS4985</t>
  </si>
  <si>
    <t>MS4986</t>
  </si>
  <si>
    <t>MS4987</t>
  </si>
  <si>
    <t>27632020</t>
  </si>
  <si>
    <t>27632021</t>
  </si>
  <si>
    <t>27632022</t>
  </si>
  <si>
    <t>27632023</t>
  </si>
  <si>
    <t>AN/GSM-437</t>
  </si>
  <si>
    <t>METR V T RMS</t>
  </si>
  <si>
    <t>MS4928</t>
  </si>
  <si>
    <t>0-.001in / 12-2012-9400</t>
  </si>
  <si>
    <t>Tool Room OA2</t>
  </si>
  <si>
    <t>MS4854</t>
  </si>
  <si>
    <t>MS4855</t>
  </si>
  <si>
    <t>1000499265</t>
  </si>
  <si>
    <t>IFR4000</t>
  </si>
  <si>
    <t>MS5057</t>
  </si>
  <si>
    <t>MS5058</t>
  </si>
  <si>
    <t>Must contain "Projected" "At Lab" or Blank</t>
  </si>
  <si>
    <t>1587</t>
  </si>
  <si>
    <t>METR MULTI</t>
  </si>
  <si>
    <t>MS5116</t>
  </si>
  <si>
    <t>MS5117</t>
  </si>
  <si>
    <t>27290126</t>
  </si>
  <si>
    <t>11/12/2014… Rec'd from lab with CBU Label</t>
  </si>
  <si>
    <t>27230076</t>
  </si>
  <si>
    <t>27290086</t>
  </si>
  <si>
    <t>MS5114</t>
  </si>
  <si>
    <t>1547757</t>
  </si>
  <si>
    <t>MS4431</t>
  </si>
  <si>
    <t>MS5122</t>
  </si>
  <si>
    <t>AB-3202</t>
  </si>
  <si>
    <t>SCREWDR TORQ</t>
  </si>
  <si>
    <t>8/22/2014… Rec'd from lab. CODE OUT 12/17/2014… No on IMFR</t>
  </si>
  <si>
    <t>MS5141</t>
  </si>
  <si>
    <t>Tool Room /EB / 149th</t>
  </si>
  <si>
    <t>GAGE, PRESSURE, P/O 149th FIP Kit</t>
  </si>
  <si>
    <t>GAGE, PRESSURE, P/O 834th FIP Kit</t>
  </si>
  <si>
    <t>Tool Room / EB / 834th</t>
  </si>
  <si>
    <t>MS5111</t>
  </si>
  <si>
    <t>100C10778T11932</t>
  </si>
  <si>
    <t>1200M</t>
  </si>
  <si>
    <t>TS ULTRASON</t>
  </si>
  <si>
    <t>MS5112</t>
  </si>
  <si>
    <t>1000C1720R076764</t>
  </si>
  <si>
    <t>MS5113</t>
  </si>
  <si>
    <t>1000C10778T107794</t>
  </si>
  <si>
    <t>DETECTR FLAW</t>
  </si>
  <si>
    <t>2000D</t>
  </si>
  <si>
    <t>1/15/2015… On IMFR added to Spreadsheet</t>
  </si>
  <si>
    <t>MS5110</t>
  </si>
  <si>
    <t>1000BM1402T102485</t>
  </si>
  <si>
    <t>1000E+</t>
  </si>
  <si>
    <t>TS HARM BOND</t>
  </si>
  <si>
    <t>ctn</t>
  </si>
  <si>
    <t>834th Conex (Bell)</t>
  </si>
  <si>
    <t>LUH S/S</t>
  </si>
  <si>
    <t>hoist</t>
  </si>
  <si>
    <t>LUH MED</t>
  </si>
  <si>
    <t>Is Item NOT at LAB</t>
  </si>
  <si>
    <t>Change&gt;&gt;</t>
  </si>
  <si>
    <t>Fill</t>
  </si>
  <si>
    <t>Down</t>
  </si>
  <si>
    <t xml:space="preserve">in </t>
  </si>
  <si>
    <t>Series</t>
  </si>
  <si>
    <t>To update Month and Year in Green Highlight from top date (beside Change&gt;&gt;) to bottom of list. Select Fill at top of page, then select "series". In pop up window make sure Column, Date and MONTH are selected. Step Value should be "1". Select "OK" number should populate in order. The rest of the table will also update based on the formulas in those cells.This table is used so the Chart can update projections.</t>
  </si>
  <si>
    <t>Delinquent counter</t>
  </si>
  <si>
    <t>At Lab Counter</t>
  </si>
  <si>
    <t>Column1</t>
  </si>
  <si>
    <t>Column2</t>
  </si>
  <si>
    <t>Next Run</t>
  </si>
  <si>
    <t>Current Run</t>
  </si>
  <si>
    <t>Enter TASMG Drill schedule in under "Current Run". Once more than one of them has been entered the "Next Run" Column will automatically populate. The Date in "Next Run" will be used to Auto-populate the Next Run Cell in the Consolidated Spread sheet. Then it is used to highlight items that will need to be sent for calibration before they are Delinquent.</t>
  </si>
  <si>
    <t>Scheduled runs</t>
  </si>
  <si>
    <r>
      <rPr>
        <b/>
        <sz val="11"/>
        <rFont val="Tahoma"/>
        <family val="2"/>
      </rPr>
      <t xml:space="preserve">Off </t>
    </r>
    <r>
      <rPr>
        <sz val="11"/>
        <rFont val="Tahoma"/>
        <family val="2"/>
      </rPr>
      <t>schedule Runs</t>
    </r>
  </si>
  <si>
    <t>Tool Room, Middle</t>
  </si>
  <si>
    <t>Tool Room / 059 B -Drawer 07</t>
  </si>
  <si>
    <t>Smaller of Scheculed or Adjusted Date</t>
  </si>
  <si>
    <t>6/20/2014… Added to list Must be turned in to Euro-Copter for calibration 4/16/2015… Did this get Turned in?</t>
  </si>
  <si>
    <t>A</t>
  </si>
  <si>
    <t>C</t>
  </si>
  <si>
    <t>D</t>
  </si>
  <si>
    <t>E</t>
  </si>
  <si>
    <t>F</t>
  </si>
  <si>
    <t>G</t>
  </si>
  <si>
    <t>K</t>
  </si>
  <si>
    <t>L</t>
  </si>
  <si>
    <t>M</t>
  </si>
  <si>
    <t>N</t>
  </si>
  <si>
    <t>P</t>
  </si>
  <si>
    <t>Q</t>
  </si>
  <si>
    <t xml:space="preserve">CODE </t>
  </si>
  <si>
    <t>INTERVAL/ DAYS</t>
  </si>
  <si>
    <t>INTERVAL CODE LOOKUP:</t>
  </si>
  <si>
    <t>DATA CAN ONLY BE ENTERED INTO THE LIGHT BLUE CELLS ALL OTHERS ARE LOCKED</t>
  </si>
  <si>
    <t>5/18/2015… Nonlinear-CODE OUT 6/4/2015… Code Out</t>
  </si>
  <si>
    <t>120-600FTLB / 6004MFRMH</t>
  </si>
  <si>
    <t>300-1600 INLB</t>
  </si>
  <si>
    <t>Tool Room ED08</t>
  </si>
  <si>
    <t>CODE SYSTEM OR MAJOR END ITEM</t>
  </si>
  <si>
    <t>APS ARMY PRE-POSITIONED STOCK</t>
  </si>
  <si>
    <t>A00 USA AVIATION AND MISSILE COMMAND MISSILE PECULIAR GENERAL</t>
  </si>
  <si>
    <t>A18 HAWK DEPOT</t>
  </si>
  <si>
    <t>A19 TRMF</t>
  </si>
  <si>
    <t>A25 PATRIOT DEPOT</t>
  </si>
  <si>
    <t>A30 JAVELIN DEPOT</t>
  </si>
  <si>
    <t>A39 AIR-TO-AIR STINGER (ATLAS)</t>
  </si>
  <si>
    <t>A44 AVENGER (FORMERLY PMS)</t>
  </si>
  <si>
    <t>A52 TOW</t>
  </si>
  <si>
    <t>A53 TOW DEPOT REBUILD</t>
  </si>
  <si>
    <t>A54 DRAGON</t>
  </si>
  <si>
    <t>A55 DRAGON DEPOT REBUILD</t>
  </si>
  <si>
    <t>A56 LINE OF SIGHT FORWARD HEAVY (LOS-F-H)</t>
  </si>
  <si>
    <t>A57 FAAR</t>
  </si>
  <si>
    <t>A59 CHAPARRAL DEPOT REBUILD</t>
  </si>
  <si>
    <t>A61 MQM33C</t>
  </si>
  <si>
    <t>A65 AN/GSM-340(V) IFTE</t>
  </si>
  <si>
    <t>A66 AN/USM-632(V) IFTE</t>
  </si>
  <si>
    <t>A71 LCSS DEPOT REBUILD</t>
  </si>
  <si>
    <t>A77 STINGER</t>
  </si>
  <si>
    <t>A78 STINGER DEPOT REBUILD</t>
  </si>
  <si>
    <t>A80 PATRIOT</t>
  </si>
  <si>
    <t>A81 PATRIOT (GETS1000( ))</t>
  </si>
  <si>
    <t>A85 TOW/COBRA</t>
  </si>
  <si>
    <t>A86 TOW/COBRA DEPOT REBUILD</t>
  </si>
  <si>
    <t>A91 MATE</t>
  </si>
  <si>
    <t>A92 GROUND LASER LOCATOR DESIGNATOR (GLLD)</t>
  </si>
  <si>
    <t>A94 HELLFIRE</t>
  </si>
  <si>
    <t>A96 MULTIPLE LAUNCH ROCKET SYSTEM</t>
  </si>
  <si>
    <t>A97 ARMY TACTICAL MISSILE SYSTEM (ATACMS)</t>
  </si>
  <si>
    <t>A98 TOW/BRADLEY</t>
  </si>
  <si>
    <t>A99 ARMY UNMANNED AERIAL VEHICLE (AUAV)</t>
  </si>
  <si>
    <t>B00 GENERAL TMDE (NOT SPECIFIC TO AN END ITEM, SYSTEM, COMMODITY, OR</t>
  </si>
  <si>
    <t>MAJOR COMMAND</t>
  </si>
  <si>
    <t>B05 U.S. ARMY TEST &amp; EVALUATION COMMAND (ATEC)</t>
  </si>
  <si>
    <t>B06 ABERDEEN TEST CENTER</t>
  </si>
  <si>
    <t>B07 REDSTONE TEST CENTER</t>
  </si>
  <si>
    <t>B10 U.S. ARMY INSTALLATION MANAGEMENT AGENCY (IMA)</t>
  </si>
  <si>
    <t>B15 U. S. ARMY RESEARCH LABORATORY COMMAND (ARL)</t>
  </si>
  <si>
    <t>B18 U. S. FORESTRY SERVICE</t>
  </si>
  <si>
    <t>B20 FEDERAL EMERGENCY MGT AGENCY (FEMA)</t>
  </si>
  <si>
    <t>B25 KWAJALEIN ISLAND (RANGE COMMAND FUNCTIONS/MAINTENANCE)</t>
  </si>
  <si>
    <t>B31 DOD NATIONAL SECURITY AGENCY</t>
  </si>
  <si>
    <t>B32 DOD INTELLIGENCE AGENCY</t>
  </si>
  <si>
    <t>B35 U.S. ARMY AVIATION &amp; MISSILE RESEARCH, DEVELOPMENT &amp; ENGINEERING</t>
  </si>
  <si>
    <t>CENTER (AMRDEC)</t>
  </si>
  <si>
    <t>B45 ARMY POST OFFICE (APO)</t>
  </si>
  <si>
    <t>B46 ARMY RECREATION SERVICE</t>
  </si>
  <si>
    <t>B50 ARMED FORCES RADIOBIOLOGY RESEARCH INSTITUTE (AFRRI)</t>
  </si>
  <si>
    <t>B62 U. S. ARMY SPECIAL OPERATION FORCES NON-STANDARD SPECIAL PURPOSE</t>
  </si>
  <si>
    <t>TMDE</t>
  </si>
  <si>
    <t>B65 U. S. COAST GUARD</t>
  </si>
  <si>
    <t>B70 WHITE HOUSE COMMUNICATIONS AGENCY</t>
  </si>
  <si>
    <t>B75 FAA</t>
  </si>
  <si>
    <t>B80 DEFENSE LOGISTICS AGENCY</t>
  </si>
  <si>
    <t>B90 USAMA WEST POINT</t>
  </si>
  <si>
    <t>B95 U.S. ARMY COMMUNICATION-ELECTRONIC RESEARCH, DEVELOPMENT &amp;</t>
  </si>
  <si>
    <t>ENGINEERING CENTER (CERDEC)</t>
  </si>
  <si>
    <t>C00 USA COMMUNICATIONS ELECTRONICS COMMAND, GENERAL</t>
  </si>
  <si>
    <t>C05 U.S. ARMY NETWORK ENTERPRISE TECHNOLOGY COMMAND/9th SIGNAL</t>
  </si>
  <si>
    <t>COMMAND (NETCOM/9th SC)</t>
  </si>
  <si>
    <t>C15 TOOLS SETS, KITS &amp; OUTFITS (MECHANICAL-PHYSICAL)</t>
  </si>
  <si>
    <t>C30 AN/USM-410( ) AND AN/MSM105</t>
  </si>
  <si>
    <t>C31 MULTI-SERVICE COMM SYS</t>
  </si>
  <si>
    <t>C44 AN/USD-9( )</t>
  </si>
  <si>
    <t>C65 MOBILE SUBSCRIBER EQUIPMENT (MSE)</t>
  </si>
  <si>
    <t>C95 CECOM GAGE PROGRAM</t>
  </si>
  <si>
    <t>C96 PATEC40 (PORTABLE AUTOMATIC TEST EQUIPMENT CALIBRATOR)</t>
  </si>
  <si>
    <t>D02 USA JOINT MUNITIONS COMMAND (JMC)</t>
  </si>
  <si>
    <t>D05 BLUE GRASS ARMY DEPOT</t>
  </si>
  <si>
    <t>D10 LETTERKENNY ARMY DEPOT</t>
  </si>
  <si>
    <t>D15 TOBYHANNA ARMY DEPOT</t>
  </si>
  <si>
    <t>D20 SAVANNAH ARMY DEPOT</t>
  </si>
  <si>
    <t>D25 RED RIVER ARMY DEPOT</t>
  </si>
  <si>
    <t>D30 ANNISTON ARMY DEPOT</t>
  </si>
  <si>
    <t>D35 TOOELE ARMY DEPOT</t>
  </si>
  <si>
    <t>D55 SIERRA ARMY DEPOT</t>
  </si>
  <si>
    <t>D60 RESERVE STORAGE ACTIVITY (AERAS-B-EOCS EYGEISHOVEN)</t>
  </si>
  <si>
    <t>D65 CORPUS CHRISTI ARMY DEPOT</t>
  </si>
  <si>
    <t>E00 USA TANK-AUTOMOTIVE COMMAND GENERAL</t>
  </si>
  <si>
    <t>E25 U.S. ARMY TANK-AUTOMOTIVE ARMAMENTS RESEARCH, DEVELOPMENT &amp;</t>
  </si>
  <si>
    <t>ENGINEERING CENTER (TARDEC)</t>
  </si>
  <si>
    <t>F00 USA COMMUNICATIONS ELECTRONICS INTELLIGENCE ACTIVITY – GENERAL</t>
  </si>
  <si>
    <t>FPS FEDERAL PRISON SYSTEM</t>
  </si>
  <si>
    <t>G00 USA TROOP SUPPORT COMMAND</t>
  </si>
  <si>
    <t>G10 LARGE TUG</t>
  </si>
  <si>
    <t>G25 MILITARY FREE-FALL SYSTEM</t>
  </si>
  <si>
    <t>H00 20th SUPPORT COMMAND (CBRNE)</t>
  </si>
  <si>
    <t>H05 USA ARMAMENT MUNITIONS AND CHEMICAL COMMAND NUCLEAR WEAPONS</t>
  </si>
  <si>
    <t>H10 USA ARMAMENT MUNITIONS AND CHEMICAL COMMAND BIOLOGICAL</t>
  </si>
  <si>
    <t>RADIOLOGICAL</t>
  </si>
  <si>
    <t>H15 USA ARMAMENT MUNITIONS AND CHEMICAL COMMAND AMMUNITION TEST</t>
  </si>
  <si>
    <t>EQUIPMENT</t>
  </si>
  <si>
    <t>H20 USA ARMAMENT MUNITIONS AND CHEMICAL COMMAND EOD</t>
  </si>
  <si>
    <t>H25 USA ARMAMENT MUNITIONS AND CHEMICAL COMMAND PECULIAR EQUIPMENT</t>
  </si>
  <si>
    <t>H29 U.S. ARMY ARMAMENT RESEARCH, DEVELOPMENT &amp; ENGINEERING CENTER</t>
  </si>
  <si>
    <t>(ARDEC)</t>
  </si>
  <si>
    <t>H30 TECHNICAL ESCORT (GUARDIAN BRIGADE)</t>
  </si>
  <si>
    <t>H50 WATERVLIET ARSENAL</t>
  </si>
  <si>
    <t>H75 U.S. ARMY EDGEWOOD CHEMICAL BIOLOGICAL CENTER (ECBC)</t>
  </si>
  <si>
    <t>H80 U.S. ARMY NATICK SOLDIER CENTER (NSC)</t>
  </si>
  <si>
    <t>ISO INTERNATIONAL ORGANIZATION FOR STANDARDIZATION</t>
  </si>
  <si>
    <t>J00 USA ARMAMENT MUNITIONS AND CHEMICAL COMMAND GENERAL</t>
  </si>
  <si>
    <t>J01 SMALL ARMS AND AMMUNITION GAGES (SAAG)</t>
  </si>
  <si>
    <t>J05 COBRA (WEAPONS SYSTEMS)</t>
  </si>
  <si>
    <t>J10 M-1 (WEAPONS SYSTEMS)</t>
  </si>
  <si>
    <t>J30 U.S. ARMY CHEMICAL MATERIALS AGENCY (CMA)</t>
  </si>
  <si>
    <t>J40 PIVADS</t>
  </si>
  <si>
    <t>J50 MULTIPLE INTEGRATED LASER ENGAGEMENT SYSTEM (MILES)</t>
  </si>
  <si>
    <t>L00 USA AVIATION AND MISSILE COMMAND AVIATION PECULIAR GENERAL</t>
  </si>
  <si>
    <t>L10 AVIATION HEALTH AND USAGE MONITORING SYSTEM (HUMS)</t>
  </si>
  <si>
    <t>L15 AH-S</t>
  </si>
  <si>
    <t>L17 MI-17</t>
  </si>
  <si>
    <t>L40 UH1</t>
  </si>
  <si>
    <t>L47 CH47D</t>
  </si>
  <si>
    <t>L58 OH58D</t>
  </si>
  <si>
    <t>L60 UH60A</t>
  </si>
  <si>
    <t>L64 AH64A</t>
  </si>
  <si>
    <t>L80 SOAR</t>
  </si>
  <si>
    <t>L90 AVIATION SUPPORT (CONTRACTOR)</t>
  </si>
  <si>
    <t>L95 ARMY FLEET SUPPORT (FORT RUCKER, CONTRACTOR OPERATED)</t>
  </si>
  <si>
    <t>N00 USA NETWORK ENTERPRISE TECHNOLOGY COMMAND/9TH SIGNAL COMMAND</t>
  </si>
  <si>
    <t>(NETCOM)</t>
  </si>
  <si>
    <t>NWS NATIONAL WEATHER SERVICE</t>
  </si>
  <si>
    <t>P00 USA SATELLITE COMMUNICATION AGENCY GENERAL</t>
  </si>
  <si>
    <t>P04 AN/TSC-54</t>
  </si>
  <si>
    <t>P20 AN/TSC-85 &amp; AN/TSC-93</t>
  </si>
  <si>
    <t>P30 DOCS (AN/FSC-96 &amp; AN/GSC-51)</t>
  </si>
  <si>
    <t>Q00 USA COMPUTER SYSTEMS COMMAND GENERAL</t>
  </si>
  <si>
    <t>R00 USA CORPS OF ENGINEERS</t>
  </si>
  <si>
    <t>S00 USA MEDICAL DEPARTMENT, GENERAL</t>
  </si>
  <si>
    <t>S05 U.S. ARMY PUBLIC HEALTH COMMAND (USAPHC)</t>
  </si>
  <si>
    <t>S10 SURGEON GENERAL R&amp;D</t>
  </si>
  <si>
    <t>S95 VA MEDICAL FACILITIES</t>
  </si>
  <si>
    <t>T00 USA INTELLIGENCE &amp; SECURITY COMMAND, GENERAL</t>
  </si>
  <si>
    <t>T02 USA INTELLIGENCE &amp; SECURITY COMMAND TEST LABORATORY</t>
  </si>
  <si>
    <t>T10 AN/MSQ 121 (TEMPEST VANS)</t>
  </si>
  <si>
    <t>T20 USA NATIONAL GROUND INTELLIGENCE CENTER</t>
  </si>
  <si>
    <t>USA DEFAULT TMDE CALIBRATION REQUIREMENTS SYSTEM CODE</t>
  </si>
  <si>
    <t>U01 USAPSL STANDARDS</t>
  </si>
  <si>
    <t>U04 SECONDARY REFERENCE STANDARDS DC &amp; LOW FREQUENCY</t>
  </si>
  <si>
    <t>U05 SECONDARY REFERENCE STANDARDS PHYSICAL</t>
  </si>
  <si>
    <t>U06 SECONDARY REFERENCE STANDARDS, MICROWAVE</t>
  </si>
  <si>
    <t>U10 CALIBRATION STANDARDS NON-SET CONFIGURATION</t>
  </si>
  <si>
    <t>U11 TRANSFER STANDARDS AN/GSM 286</t>
  </si>
  <si>
    <t>U12 TRANSFER STANDARDS AN/GSM 287</t>
  </si>
  <si>
    <t>U14 TRANSFER STANDARDS AN/GSM-440</t>
  </si>
  <si>
    <t>U15 TRANSFER STANDARDS AN/GSM-439</t>
  </si>
  <si>
    <t>U20 GENERAL INTERNAL CALIBRATION INSTRUMENTS (CONTRACTOR OPERATED</t>
  </si>
  <si>
    <t>KWAJALEIN ISLAND)</t>
  </si>
  <si>
    <t>U50 GENERAL INTERNAL CALIBRATION INSTRUMENTS (CONTRACTOR OPERATED</t>
  </si>
  <si>
    <t>RADFORD ARMY AMMUNITION PLANT)</t>
  </si>
  <si>
    <t>U80 RADIAC INSTRUMENT– RADIO-GRAPHIC</t>
  </si>
  <si>
    <t>U81 RADIAC INSTRUMENT– MEDICAL</t>
  </si>
  <si>
    <t>U82 RADIAC INSTRUMENT– ACTIVE</t>
  </si>
  <si>
    <t>U83 RADIAC INSTRUMENT – REACT</t>
  </si>
  <si>
    <t>U84 RADIAC INSTRUMENT – TACTICAL</t>
  </si>
  <si>
    <t>U85 RADIAC CALIBRATION STANDARDS/INSTRUMENTS</t>
  </si>
  <si>
    <t>U86 RADIAC INSTRUMENT – DIAGNOSTIC X-RAY</t>
  </si>
  <si>
    <t>U87 RADIAC INSTRUMENT – NON-DIAGNOSTIC X-RAY</t>
  </si>
  <si>
    <t>U90 GENERAL CALIBRATION INSTRUMENTS – ARMED FORCES RADIOBIOLOGY</t>
  </si>
  <si>
    <t>RESEARCH INSTITUTE (AFRRRI)</t>
  </si>
  <si>
    <t>U95 CECOM GAGE LAB TYAD</t>
  </si>
  <si>
    <t>V00 USA RESERVE, for GENERAL (DA FORM 3758 BLOCK 22) USE ONLY</t>
  </si>
  <si>
    <t>W00 USA NATIONAL GUARD, for GENERAL (DA FORM 3758 BLOCK 22) USE ONLY</t>
  </si>
  <si>
    <t>W05 USA NATIONAL GUARD CALIBRATION STANDARDS NON-SET CONFIGURATION</t>
  </si>
  <si>
    <t>W10 USA NATIONAL GUARD AVIATION CLASSIFICATION REPAIR ACTIVITY DEPOT</t>
  </si>
  <si>
    <t>(AVCRAD)</t>
  </si>
  <si>
    <t>W15 USA NATIONAL GUARD M1 TANK ENGINE SPECIAL REPAIR ACTIVITY</t>
  </si>
  <si>
    <t>X00 U. S. NAVY</t>
  </si>
  <si>
    <t>Y00 U. S. AIR FORCE</t>
  </si>
  <si>
    <t>Y10 NATIONAL AERONAUTICS AND SPACE ADMINISTRATION (NASA)</t>
  </si>
  <si>
    <t>Z00 FMS</t>
  </si>
  <si>
    <t>0405A</t>
  </si>
  <si>
    <t>021</t>
  </si>
  <si>
    <t>9/21/2015… came back red tagged</t>
  </si>
  <si>
    <t>MS5695</t>
  </si>
  <si>
    <t>120-600FTLB</t>
  </si>
  <si>
    <t>11</t>
  </si>
  <si>
    <t>87III</t>
  </si>
  <si>
    <t>75</t>
  </si>
  <si>
    <t>SCALE ACFT (Kit has 3 scales)</t>
  </si>
  <si>
    <t>?</t>
  </si>
  <si>
    <t>0-10LB</t>
  </si>
  <si>
    <t>SM674A/U</t>
  </si>
  <si>
    <t># on Hand</t>
  </si>
  <si>
    <t>7/31/2015… Came back red tagged for "display performance check fails"  8/25/2015… Received call from lab that this item needs to be recalibrated due to a bad standard 10/5/2015… CODE OUT 10/6/2015… Returned again as Bad.</t>
  </si>
  <si>
    <t>9/15/2015… CNR ?? The KIT is CNR, some items in the Kit are calibrated.</t>
  </si>
  <si>
    <t>11/12/2015… Rec'd from lab</t>
  </si>
  <si>
    <t>Tool Room / Ground Kit #1 E C</t>
  </si>
  <si>
    <t>Tool Room / Ground Kit #2 E C</t>
  </si>
  <si>
    <t>12/8/2015… CODE OUT; Out of tolerance, no adjustment possible; not economical to repair.</t>
  </si>
  <si>
    <t>12/8/2015… Rec'd from lab.</t>
  </si>
  <si>
    <t>projected</t>
  </si>
  <si>
    <t>0-600psi 1GT172</t>
  </si>
  <si>
    <t>0-5000psi 1GT173</t>
  </si>
  <si>
    <t>LUH J White</t>
  </si>
  <si>
    <t xml:space="preserve">LUH2 S&amp;S </t>
  </si>
  <si>
    <t>LUH S&amp;S</t>
  </si>
  <si>
    <t>BPM381</t>
  </si>
  <si>
    <t>103005334</t>
  </si>
  <si>
    <t>TS NAV</t>
  </si>
  <si>
    <t>TMK</t>
  </si>
  <si>
    <t>32110189WS</t>
  </si>
  <si>
    <t>52-2</t>
  </si>
  <si>
    <t>Thermometer, Digtl Fluke</t>
  </si>
  <si>
    <t>22016</t>
  </si>
  <si>
    <t>2/4/2016… Removed as per M. Dale</t>
  </si>
  <si>
    <t>4/19/2013… Rec'd from lab 2/4/2016… Removed from list as per M.Dale</t>
  </si>
  <si>
    <t>2/8/2016… Rec'd from lab</t>
  </si>
  <si>
    <t>MS5909</t>
  </si>
  <si>
    <t>MS5908</t>
  </si>
  <si>
    <t>Run after Next</t>
  </si>
  <si>
    <t>5/28/2014… Rec'd from Lab 12/15/2015… turned in to supply by Mr. Barrett  will not zero out. 2/8/2016… Rec'd from lab; CODE OUT</t>
  </si>
  <si>
    <t>5/18/2015… red-tagged "non-linear" 6/4/2015… CODE OUT 7/31/2015… Received from Lab 2/8/2016… Rec'd from lab; RED TAGGED CODE OUT</t>
  </si>
  <si>
    <t>KEL-197069</t>
  </si>
  <si>
    <t>Tool Room/ Gray Box</t>
  </si>
  <si>
    <t>3/7/2016… rec'd from lab</t>
  </si>
  <si>
    <t>3/7/2016… rec'd from lab; rejected-"out of tolerance"</t>
  </si>
  <si>
    <t>3/7/2016… rec'd from lab. Red tagged-"calibrations no longer support this item; turn in for IFR4000"</t>
  </si>
  <si>
    <t>2/10/2015… Picked up from TASMG by Carrell since he has a hand receipt for it. 3/9/2015… we are going to purchase one for ourself before this one needs to be recalibrated. 6/4/2015 Not on IMFR 3/16/2016 returned to TASMG</t>
  </si>
  <si>
    <t>R10158</t>
  </si>
  <si>
    <t xml:space="preserve">TSTR, SPRING </t>
  </si>
  <si>
    <t>TSTR SPRING</t>
  </si>
  <si>
    <t>7636</t>
  </si>
  <si>
    <t>29314106</t>
  </si>
  <si>
    <t>AVA DAU</t>
  </si>
  <si>
    <t>AVA CADU</t>
  </si>
  <si>
    <t>Range</t>
  </si>
  <si>
    <t>AN/USM-459</t>
  </si>
  <si>
    <t>0-160 psi</t>
  </si>
  <si>
    <t>0-160psi 1GT171</t>
  </si>
  <si>
    <t>4/12/2016… Rec'd from lab</t>
  </si>
  <si>
    <t>4/12/2016… Rec'd from lab; int changed fron 720 to 840</t>
  </si>
  <si>
    <t>3/17/2015… CODE OUT; failed above 100 Hz after multiple runs w/o spacer @ various orientation. 6/4/2015… not on IMFR</t>
  </si>
  <si>
    <t>MS6021</t>
  </si>
  <si>
    <t>SCALE, Spring</t>
  </si>
  <si>
    <t>Scale, SPRING</t>
  </si>
  <si>
    <t>Tool Room / CAB - Z</t>
  </si>
  <si>
    <t>5/16/2016… Rec'd from lab</t>
  </si>
  <si>
    <t>Tool Room / AF</t>
  </si>
  <si>
    <t xml:space="preserve">11/12/2015… Rec'd from lab </t>
  </si>
  <si>
    <t>Tool Room shelf X yellow box</t>
  </si>
  <si>
    <t>6/17/2016… Rec'd from lab</t>
  </si>
  <si>
    <t>MS6020</t>
  </si>
  <si>
    <t>Tool Room / bld 2</t>
  </si>
  <si>
    <t>7/11/2016… Rec'd from Lab</t>
  </si>
  <si>
    <t>9/21/2015… Rec'd from Lab</t>
  </si>
  <si>
    <t>15346329</t>
  </si>
  <si>
    <t>0-8"</t>
  </si>
  <si>
    <t>CD-8"ASX</t>
  </si>
  <si>
    <t>Micrometer, Digital</t>
  </si>
  <si>
    <t>8/16/2016… Received From Lab</t>
  </si>
  <si>
    <t>7361</t>
  </si>
  <si>
    <t>MS6296</t>
  </si>
  <si>
    <t>221</t>
  </si>
  <si>
    <t>MS5115</t>
  </si>
  <si>
    <t>4/15/2015… Rec'd from Lab w/o box/leads. 4/20/2015… Emailed Hutto to check on box/leads. 3/29/2016… Needs to be coded out. 5/11/2016… DELINQUENT 8/8/2016… 9/1/2016… not on TIMMS report</t>
  </si>
  <si>
    <t>600008878</t>
  </si>
  <si>
    <t>9/13/2016… Returned from Lab, 20 AMP not tested because shunt was not sent.</t>
  </si>
  <si>
    <t>9/13/2016… Returned from lab.</t>
  </si>
  <si>
    <t>3/7/2016… rec'd from lab 9/13/2016… Removed from list for turn in to ft. Bragg as  per P. bell.</t>
  </si>
  <si>
    <t>10/5/2016… Unscheduled pick up by M. Dale.</t>
  </si>
  <si>
    <t>12/1/2011… returned from Lab-CBU status. 10/26/2011… Req'd lab keep in CBU status since it's not in used. IAW TB 750-25 Para 2-7 3/9/2012… should be added to PB</t>
  </si>
  <si>
    <t>TK</t>
  </si>
  <si>
    <t xml:space="preserve">1/4/2013… Must be found to verify CNR 1/30/2013…. Not on property book; Has been turned in </t>
  </si>
  <si>
    <t>1/4/2013… Locate to verify CNR</t>
  </si>
  <si>
    <t>Test Pilot / Thomas</t>
  </si>
  <si>
    <t>10/17/2016… Rec'd from Lab</t>
  </si>
  <si>
    <t>Is AC8 &lt; $J$4</t>
  </si>
  <si>
    <t>Adjusted MMYYYY</t>
  </si>
  <si>
    <t>Scheduled MMyyyy</t>
  </si>
  <si>
    <t>Tool Room / Yellow Cabinet</t>
  </si>
  <si>
    <t>12/12/2016… Received from Lab</t>
  </si>
  <si>
    <t>1/24/2017… Rec'd from Lab</t>
  </si>
  <si>
    <t>CPLC-050</t>
  </si>
  <si>
    <t>COMPRESSION PANCAKE LOAD CELL</t>
  </si>
  <si>
    <t>2/14/2017… Rec'd from Lab</t>
  </si>
  <si>
    <t>MS6680</t>
  </si>
  <si>
    <t>153462</t>
  </si>
  <si>
    <t>3/8/2017… turned in per R. Jones</t>
  </si>
  <si>
    <t xml:space="preserve">3/8/2017…  turned in per R. Jones. </t>
  </si>
  <si>
    <r>
      <t xml:space="preserve">Projected on 4/13/2011. </t>
    </r>
    <r>
      <rPr>
        <sz val="10"/>
        <color indexed="10"/>
        <rFont val="Arial"/>
        <family val="2"/>
      </rPr>
      <t>4/28/2011… could not find to send to cal. 5/5/2011… As per Richard Jones it has been turned in.</t>
    </r>
  </si>
  <si>
    <r>
      <t xml:space="preserve">9/14/2012… </t>
    </r>
    <r>
      <rPr>
        <sz val="10"/>
        <color indexed="10"/>
        <rFont val="Tahoma"/>
        <family val="2"/>
      </rPr>
      <t>Out Of Tolerance,</t>
    </r>
    <r>
      <rPr>
        <sz val="10"/>
        <color indexed="8"/>
        <rFont val="Tahoma"/>
        <family val="2"/>
      </rPr>
      <t xml:space="preserve"> Must be removed from list 10/9/2012… Not on  List</t>
    </r>
  </si>
  <si>
    <r>
      <t>7/20/2012… returned from cal 3/14/2013… remove from calibration list as per Dawn Gable.</t>
    </r>
    <r>
      <rPr>
        <sz val="10"/>
        <rFont val="Tahoma"/>
        <family val="2"/>
      </rPr>
      <t xml:space="preserve"> Have Richard verify this. 4/4/2013… Remove as per Richard</t>
    </r>
  </si>
  <si>
    <r>
      <t>3/14/2013…. Remove from calibration list as per Dawn Gable.</t>
    </r>
    <r>
      <rPr>
        <sz val="10"/>
        <color indexed="8"/>
        <rFont val="Tahoma"/>
        <family val="2"/>
      </rPr>
      <t xml:space="preserve"> Hold until verified by Richard.</t>
    </r>
  </si>
  <si>
    <t>2/09/2012... Code Out 3/7/2012... No Longer on IMFR</t>
  </si>
  <si>
    <t>2/09/2012… Coded Out on IMFR 3/7/2012… No Longer on IMFR</t>
  </si>
  <si>
    <t xml:space="preserve"> Coded Out on 2/09/2012… IMFR 3/7/2012… No Longer on IMFR</t>
  </si>
  <si>
    <t>7/9/2014… Not on Master List</t>
  </si>
  <si>
    <t xml:space="preserve"> 6/4/2015…  CODE OUT</t>
  </si>
  <si>
    <t>6/4/2015… CODE OUT</t>
  </si>
  <si>
    <t>7/31/2015… rec'd from Lab red tagged, corroded Mother board. 8/25/2015… Rec'd call from lab; item needs recal; last cal used bad standard</t>
  </si>
  <si>
    <t>7/20/2012… As per D. Gable this has been turned in and is no longer ours. 8/9/2012… Removed from  IMFR</t>
  </si>
  <si>
    <t>7/3/2012… Code Out</t>
  </si>
  <si>
    <t>10/9/2012… code out</t>
  </si>
  <si>
    <t>3/14/2017… Received from Lab</t>
  </si>
  <si>
    <t>4/11/2017… Rec'd from Lab</t>
  </si>
  <si>
    <t>4/13/2017… This item replaces an old item that was turned in. Current Cal condition is within standard; placed into stock for use. No ID Code assigned.</t>
  </si>
  <si>
    <t>5/9/2017… received from lab</t>
  </si>
  <si>
    <t>LUH2 / Adams</t>
  </si>
  <si>
    <t>5/31/2017… Sent email to be added to TIMMS as CBU</t>
  </si>
  <si>
    <t>DWS</t>
  </si>
  <si>
    <t>6/20/2017…Received from Lab</t>
  </si>
  <si>
    <t xml:space="preserve">CODED OUT GSE (Hyd. Test Cart) must be rmvd for cal. </t>
  </si>
  <si>
    <t>7/5/2017… Received from Lab</t>
  </si>
  <si>
    <t>MS6824</t>
  </si>
  <si>
    <t>6/21/2016…. Added to list, this item must be turned in to Euro-copter for calibration. 7/6/2017… notified J. Hall</t>
  </si>
  <si>
    <t>7/6/2017… sending to DRS at lab</t>
  </si>
  <si>
    <t>1/30/2013… Added to list Belongs to Apache, goes to DRS for Cal. 11/5/2013… Rec'd Ext. from Project Mngrs office, signed by Neale Bruchman Chief, Tech Mngmnt Division for 180 D/6 M cal ext. Int. reflects ext. 7/6/2017… awaiting shipping to DRS, we will not get the same one back.</t>
  </si>
  <si>
    <t>T</t>
  </si>
  <si>
    <t>V</t>
  </si>
  <si>
    <t>W</t>
  </si>
  <si>
    <t>X</t>
  </si>
  <si>
    <t>Y</t>
  </si>
  <si>
    <t>Z</t>
  </si>
  <si>
    <t>7/7/2017… at lab</t>
  </si>
  <si>
    <t>F75053</t>
  </si>
  <si>
    <t>G05005</t>
  </si>
  <si>
    <t>75177N</t>
  </si>
  <si>
    <t>20-100INOZ</t>
  </si>
  <si>
    <t xml:space="preserve">8/15/2017… No Longer on TIMMS </t>
  </si>
  <si>
    <t>8/15/2017… rcvd from lab</t>
  </si>
  <si>
    <t>8/11/2017… at lab</t>
  </si>
  <si>
    <t>h</t>
  </si>
  <si>
    <t xml:space="preserve">8/25/17… Rec'd from lab </t>
  </si>
  <si>
    <t>8/25/2017… Rec'd from Lab</t>
  </si>
  <si>
    <t>8/25/2017…  Rec'd from Lab</t>
  </si>
  <si>
    <t>0317403598</t>
  </si>
  <si>
    <t>21SP-CDI</t>
  </si>
  <si>
    <t>MS6976</t>
  </si>
  <si>
    <t>Handed off to: Date and Signature</t>
  </si>
  <si>
    <t>3/14/2017… Received from Lab 10/24/2017… send early to offset</t>
  </si>
  <si>
    <t>7/5/2017… Received from Lab 10/24/2017… send early to offset</t>
  </si>
  <si>
    <t>11/12/2015… Rec'd from lab 10/24/2017… send early to offset</t>
  </si>
  <si>
    <t>See Note&gt;&gt;&gt;&gt;</t>
  </si>
  <si>
    <t>LUH / Med</t>
  </si>
  <si>
    <t>11/8/2017… Received  from Eurocopter MUST BE TURNED IN TO EUROCOPTER FOR CALIBRATION</t>
  </si>
  <si>
    <t>12/8/2015… Rec'd from lab. 11/9/2017… awaiting cal</t>
  </si>
  <si>
    <t>09040588</t>
  </si>
  <si>
    <t>11/7/2017… received from lab</t>
  </si>
  <si>
    <t xml:space="preserve">11/7/2017… received from lab. </t>
  </si>
  <si>
    <t>11/7/2017… received from lab. 11/13/2017... DA80 shows 1080 interval / 7372 shows 840 day Emailed Hutto to have it corrected to 840 day int. 11/14/2017… Issue corrected</t>
  </si>
  <si>
    <t>This is to be turned in to EUROCOPTER</t>
  </si>
  <si>
    <t>12/19/2017… Received from Lab</t>
  </si>
  <si>
    <t>50-600PSI</t>
  </si>
  <si>
    <t>LUH / T. Caldwell</t>
  </si>
  <si>
    <t>Tool Room / A8NSAA AVA KIT</t>
  </si>
  <si>
    <t>Tool Room / XD01</t>
  </si>
  <si>
    <t>2/2/2018… recieived from lab</t>
  </si>
  <si>
    <t>6/19/2013… LABELED CBU 8/5/2013… IMFR doesn't show CBU Status. Req SGT Ratliff put these in CBU Status as per our request in June. 9/13/2013… CBU status on IMFR 11/14/2017… rcvd email from lab that these cannot be on CBU status. 2/6/2018… these have been turned in and are no longer on the TIMMS report</t>
  </si>
  <si>
    <t>12/19/2017… returned with issues, non-economical to repair 2/7/2018… As per Tidwell this Item has been turned in</t>
  </si>
  <si>
    <t>AWN520  See Note</t>
  </si>
  <si>
    <t>J517W See Note</t>
  </si>
  <si>
    <t>Tool Room, Building 2</t>
  </si>
  <si>
    <t>Tool Room / IA1 Send Kit</t>
  </si>
  <si>
    <t>3/14/2017… From Lab, Temperature probe not calibrated 10/10/2017… 2/6/2018… not on TIMMS 2/7/2018… Emailed Lab</t>
  </si>
  <si>
    <t>8/15/2017… with cal due date of 17 jul 2018) rcvd from lab (355 day) 7372 is correct. 8/22/2017… Emailed LAB 8/27/2017… Received correct DA80 and put on transducer.</t>
  </si>
  <si>
    <t>3/9/2018… received from lab</t>
  </si>
  <si>
    <t>3/14/2018… At Lab</t>
  </si>
  <si>
    <t>Tool Room / AH-H</t>
  </si>
  <si>
    <t>Tool Room / AH-I</t>
  </si>
  <si>
    <t>Tool Room / Supply Cabinet #7</t>
  </si>
  <si>
    <t>MS7259</t>
  </si>
  <si>
    <t>Inflator Assy., Kit</t>
  </si>
  <si>
    <t>4/6/2018… received from lab</t>
  </si>
  <si>
    <t>8/15/2017… rcvd from lab 4/6/2018</t>
  </si>
  <si>
    <t>4/6/2018… at Lab</t>
  </si>
  <si>
    <t>4/6/2018… Rec'd from Lab</t>
  </si>
  <si>
    <t>Tool Room / 7008AHL</t>
  </si>
  <si>
    <r>
      <t xml:space="preserve">9/12/2017… returned from Lab red tagged cannot be calibrated, out of tolerance. CODE OUT 10/10/2017… On TIMMS as "Code Out" </t>
    </r>
    <r>
      <rPr>
        <b/>
        <sz val="10"/>
        <color rgb="FFFF0000"/>
        <rFont val="Tahoma"/>
        <family val="2"/>
      </rPr>
      <t>2/6/2018… No longer on TIMMSS report 2/7/2018… As per Tidwell it has not been turned in.</t>
    </r>
  </si>
  <si>
    <r>
      <t xml:space="preserve">10/16/2017… received from lab </t>
    </r>
    <r>
      <rPr>
        <b/>
        <sz val="11"/>
        <color rgb="FFFF0000"/>
        <rFont val="Tahoma"/>
        <family val="2"/>
      </rPr>
      <t>2/6/2018… No longer on TIMMS report 2/7/2018… as per Tidwell it has not been turned in.</t>
    </r>
  </si>
  <si>
    <t>MS7244</t>
  </si>
  <si>
    <t>1925</t>
  </si>
  <si>
    <t>DF0205</t>
  </si>
  <si>
    <t>BA738676</t>
  </si>
  <si>
    <t>9/30/2014… Rec'd from Lab 2/6/2018… TIMMMS says calibratied on 18oct17 AWP? 2/6/2018… Emailed Lab. 1/17/2018… Lab is going to seei if it was picked up by another unit. 04/25/18... Lab requested info so they could order us another one. I sent them the information.</t>
  </si>
  <si>
    <t>4/25/18… This is part of the MS7259 inflation kit</t>
  </si>
  <si>
    <t>Tool Room / P/o MS7259 inflation kit</t>
  </si>
  <si>
    <t>0111</t>
  </si>
  <si>
    <t>5/1/2018… Added to list</t>
  </si>
  <si>
    <t>05/03/2016… Awaiting  Stands / ACCs</t>
  </si>
  <si>
    <t>5/15/2018… received from Lab</t>
  </si>
  <si>
    <t>5/17/2018… At Lab</t>
  </si>
  <si>
    <t>MS7262</t>
  </si>
  <si>
    <t>43882</t>
  </si>
  <si>
    <t>05/0182018… new item on list</t>
  </si>
  <si>
    <t>12/19/2017… received from lab 5/15/2018… NOT Taken Raid has it.</t>
  </si>
  <si>
    <t>6/1/2018… Rec'd from lab</t>
  </si>
  <si>
    <t>MWR</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</si>
</sst>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4" formatCode="_(&quot;$&quot;* #,##0.00_);_(&quot;$&quot;* \(#,##0.00\);_(&quot;$&quot;* &quot;-&quot;??_);_(@_)"/>
    <numFmt numFmtId="164" formatCode="[$-409]d\-mmm\-yy;@"/>
    <numFmt numFmtId="165" formatCode="[$-409]d\-mmm\-yyyy;@"/>
    <numFmt numFmtId="166" formatCode="m/d/yy;@"/>
    <numFmt numFmtId="167" formatCode="m/d/yyyy;@"/>
    <numFmt numFmtId="168" formatCode="&quot;Delinquent:&quot;\ 0"/>
    <numFmt numFmtId="169" formatCode="&quot;CBU:&quot;\ 0"/>
    <numFmt numFmtId="170" formatCode="&quot;Today is:&quot;\ d\-mmm\-yy"/>
    <numFmt numFmtId="171" formatCode="0000\-00\-000\-0000"/>
    <numFmt numFmtId="172" formatCode="&quot;CNR&quot;\ 0"/>
    <numFmt numFmtId="173" formatCode="&quot;Projected:&quot;\ 0"/>
    <numFmt numFmtId="174" formatCode="&quot;At Lab:&quot;\ 0"/>
    <numFmt numFmtId="175" formatCode="&quot;PB:&quot;\ 0"/>
    <numFmt numFmtId="176" formatCode="&quot;Ready for Pickup:&quot;\ 0"/>
    <numFmt numFmtId="177" formatCode="&quot;Hand Receipted from Unit:&quot;\ 0"/>
    <numFmt numFmtId="178" formatCode="0\ &quot;%&quot;"/>
    <numFmt numFmtId="179" formatCode="&quot;As Of:&quot;\ [$-409]d\-mmm\-yy;@"/>
    <numFmt numFmtId="180" formatCode="&quot;HR:&quot;\ ##"/>
    <numFmt numFmtId="181" formatCode="[$-409]mmm\-yy;@"/>
    <numFmt numFmtId="182" formatCode="mmm\-yyyy"/>
    <numFmt numFmtId="183" formatCode="00"/>
    <numFmt numFmtId="184" formatCode="######"/>
    <numFmt numFmtId="185" formatCode="[$-409]dd\-mmm\-yy;@"/>
    <numFmt numFmtId="186" formatCode="[$-409]mmmm\ d\,\ yyyy;@"/>
  </numFmts>
  <fonts count="50" x14ac:knownFonts="1">
    <font>
      <sz val="10"/>
      <name val="Arial"/>
    </font>
    <font>
      <sz val="10"/>
      <name val="Arial"/>
      <family val="2"/>
    </font>
    <font>
      <sz val="10"/>
      <name val="Arial"/>
      <family val="2"/>
    </font>
    <font>
      <b/>
      <sz val="10"/>
      <name val="Arial"/>
      <family val="2"/>
    </font>
    <font>
      <sz val="8"/>
      <name val="Arial"/>
      <family val="2"/>
    </font>
    <font>
      <b/>
      <i/>
      <sz val="10"/>
      <name val="Arial"/>
      <family val="2"/>
    </font>
    <font>
      <b/>
      <u/>
      <sz val="10"/>
      <name val="Arial"/>
      <family val="2"/>
    </font>
    <font>
      <sz val="9"/>
      <color indexed="81"/>
      <name val="Tahoma"/>
      <family val="2"/>
    </font>
    <font>
      <b/>
      <sz val="9"/>
      <color indexed="81"/>
      <name val="Tahoma"/>
      <family val="2"/>
    </font>
    <font>
      <b/>
      <sz val="11"/>
      <color indexed="81"/>
      <name val="Tahoma"/>
      <family val="2"/>
    </font>
    <font>
      <sz val="11"/>
      <color indexed="81"/>
      <name val="Tahoma"/>
      <family val="2"/>
    </font>
    <font>
      <b/>
      <sz val="12"/>
      <color indexed="81"/>
      <name val="Tahoma"/>
      <family val="2"/>
    </font>
    <font>
      <b/>
      <sz val="14"/>
      <color indexed="10"/>
      <name val="Tahoma"/>
      <family val="2"/>
    </font>
    <font>
      <b/>
      <sz val="12"/>
      <color indexed="10"/>
      <name val="Tahoma"/>
      <family val="2"/>
    </font>
    <font>
      <b/>
      <u/>
      <sz val="11"/>
      <color indexed="81"/>
      <name val="Tahoma"/>
      <family val="2"/>
    </font>
    <font>
      <b/>
      <sz val="10"/>
      <name val="Tahoma"/>
      <family val="2"/>
    </font>
    <font>
      <sz val="10"/>
      <name val="Tahoma"/>
      <family val="2"/>
    </font>
    <font>
      <b/>
      <sz val="12"/>
      <name val="Tahoma"/>
      <family val="2"/>
    </font>
    <font>
      <b/>
      <sz val="11"/>
      <name val="Tahoma"/>
      <family val="2"/>
    </font>
    <font>
      <sz val="11"/>
      <name val="Tahoma"/>
      <family val="2"/>
    </font>
    <font>
      <b/>
      <sz val="10"/>
      <color indexed="8"/>
      <name val="Tahoma"/>
      <family val="2"/>
    </font>
    <font>
      <sz val="10"/>
      <color indexed="56"/>
      <name val="Tahoma"/>
      <family val="2"/>
    </font>
    <font>
      <sz val="10"/>
      <color indexed="8"/>
      <name val="Tahoma"/>
      <family val="2"/>
    </font>
    <font>
      <sz val="12"/>
      <name val="Tahoma"/>
      <family val="2"/>
    </font>
    <font>
      <sz val="8"/>
      <name val="Arial"/>
      <family val="2"/>
    </font>
    <font>
      <b/>
      <sz val="8"/>
      <name val="Arial"/>
      <family val="2"/>
    </font>
    <font>
      <b/>
      <sz val="14"/>
      <name val="Tahoma"/>
      <family val="2"/>
    </font>
    <font>
      <sz val="12"/>
      <name val="Arial"/>
      <family val="2"/>
    </font>
    <font>
      <sz val="8"/>
      <color indexed="81"/>
      <name val="Tahoma"/>
      <family val="2"/>
    </font>
    <font>
      <b/>
      <sz val="8"/>
      <color indexed="81"/>
      <name val="Tahoma"/>
      <family val="2"/>
    </font>
    <font>
      <b/>
      <sz val="11"/>
      <name val="Arial"/>
      <family val="2"/>
    </font>
    <font>
      <b/>
      <sz val="11"/>
      <color theme="1"/>
      <name val="Calibri"/>
      <family val="2"/>
      <scheme val="minor"/>
    </font>
    <font>
      <b/>
      <sz val="10"/>
      <color rgb="FFFF0000"/>
      <name val="Arial"/>
      <family val="2"/>
    </font>
    <font>
      <sz val="10"/>
      <color theme="1"/>
      <name val="Tahoma"/>
      <family val="2"/>
    </font>
    <font>
      <sz val="10"/>
      <color theme="1"/>
      <name val="Arial"/>
      <family val="2"/>
    </font>
    <font>
      <b/>
      <sz val="10"/>
      <color theme="1"/>
      <name val="Tahoma"/>
      <family val="2"/>
    </font>
    <font>
      <sz val="12"/>
      <color theme="1"/>
      <name val="Tahoma"/>
      <family val="2"/>
    </font>
    <font>
      <b/>
      <sz val="10"/>
      <color rgb="FFFF0000"/>
      <name val="Tahoma"/>
      <family val="2"/>
    </font>
    <font>
      <b/>
      <sz val="12"/>
      <color theme="0"/>
      <name val="Tahoma"/>
      <family val="2"/>
    </font>
    <font>
      <b/>
      <sz val="12"/>
      <color theme="1"/>
      <name val="Tahoma"/>
      <family val="2"/>
    </font>
    <font>
      <sz val="10"/>
      <color rgb="FFFF0000"/>
      <name val="Tahoma"/>
      <family val="2"/>
    </font>
    <font>
      <b/>
      <sz val="11"/>
      <color theme="1"/>
      <name val="Tahoma"/>
      <family val="2"/>
    </font>
    <font>
      <sz val="10"/>
      <color rgb="FF000000"/>
      <name val="Arial"/>
      <family val="2"/>
    </font>
    <font>
      <sz val="10"/>
      <name val="Cambria"/>
      <family val="1"/>
    </font>
    <font>
      <sz val="10"/>
      <color indexed="10"/>
      <name val="Arial"/>
      <family val="2"/>
    </font>
    <font>
      <sz val="10"/>
      <color theme="1"/>
      <name val="Cambria"/>
      <family val="1"/>
    </font>
    <font>
      <sz val="10"/>
      <color indexed="10"/>
      <name val="Tahoma"/>
      <family val="2"/>
    </font>
    <font>
      <sz val="11"/>
      <color theme="1"/>
      <name val="Tahoma"/>
      <family val="2"/>
    </font>
    <font>
      <sz val="10"/>
      <name val="Arial"/>
      <family val="2"/>
    </font>
    <font>
      <b/>
      <sz val="11"/>
      <color rgb="FFFF0000"/>
      <name val="Tahoma"/>
      <family val="2"/>
    </font>
  </fonts>
  <fills count="18">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rgb="FF00FF00"/>
        <bgColor indexed="64"/>
      </patternFill>
    </fill>
    <fill>
      <patternFill patternType="solid">
        <fgColor theme="6"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3"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9" tint="0.39997558519241921"/>
        <bgColor indexed="64"/>
      </patternFill>
    </fill>
    <fill>
      <patternFill patternType="solid">
        <fgColor theme="9" tint="0.39997558519241921"/>
        <bgColor theme="4" tint="0.79998168889431442"/>
      </patternFill>
    </fill>
    <fill>
      <patternFill patternType="solid">
        <fgColor theme="0"/>
        <bgColor indexed="64"/>
      </patternFill>
    </fill>
    <fill>
      <patternFill patternType="solid">
        <fgColor theme="4" tint="0.59996337778862885"/>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left>
      <right/>
      <top style="thin">
        <color theme="1" tint="0.499984740745262"/>
      </top>
      <bottom/>
      <diagonal/>
    </border>
    <border>
      <left style="thin">
        <color theme="4"/>
      </left>
      <right/>
      <top/>
      <bottom/>
      <diagonal/>
    </border>
    <border>
      <left style="thin">
        <color theme="4" tint="0.39997558519241921"/>
      </left>
      <right/>
      <top/>
      <bottom/>
      <diagonal/>
    </border>
    <border>
      <left style="thin">
        <color theme="4" tint="0.39997558519241921"/>
      </left>
      <right style="thin">
        <color theme="4" tint="0.39997558519241921"/>
      </right>
      <top/>
      <bottom/>
      <diagonal/>
    </border>
    <border>
      <left style="thin">
        <color theme="0"/>
      </left>
      <right style="thin">
        <color theme="1" tint="0.499984740745262"/>
      </right>
      <top style="thin">
        <color theme="1" tint="0.499984740745262"/>
      </top>
      <bottom/>
      <diagonal/>
    </border>
    <border>
      <left style="thin">
        <color theme="0"/>
      </left>
      <right/>
      <top style="thin">
        <color theme="1" tint="0.499984740745262"/>
      </top>
      <bottom style="thin">
        <color theme="1" tint="0.499984740745262"/>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3" tint="0.79998168889431442"/>
      </right>
      <top style="thin">
        <color theme="4" tint="0.39997558519241921"/>
      </top>
      <bottom style="thin">
        <color theme="4" tint="0.39997558519241921"/>
      </bottom>
      <diagonal/>
    </border>
    <border>
      <left style="thin">
        <color theme="3" tint="0.79998168889431442"/>
      </left>
      <right/>
      <top style="thin">
        <color theme="4" tint="0.39997558519241921"/>
      </top>
      <bottom style="thin">
        <color theme="4" tint="0.39997558519241921"/>
      </bottom>
      <diagonal/>
    </border>
    <border>
      <left/>
      <right style="thin">
        <color theme="3" tint="0.79998168889431442"/>
      </right>
      <top/>
      <bottom style="thin">
        <color theme="4" tint="0.39997558519241921"/>
      </bottom>
      <diagonal/>
    </border>
    <border>
      <left style="thin">
        <color theme="3" tint="0.79998168889431442"/>
      </left>
      <right/>
      <top/>
      <bottom style="thin">
        <color theme="4" tint="0.39997558519241921"/>
      </bottom>
      <diagonal/>
    </border>
    <border>
      <left/>
      <right style="thin">
        <color theme="3" tint="0.79998168889431442"/>
      </right>
      <top/>
      <bottom/>
      <diagonal/>
    </border>
    <border>
      <left style="thin">
        <color theme="3" tint="0.79998168889431442"/>
      </left>
      <right/>
      <top/>
      <bottom/>
      <diagonal/>
    </border>
    <border>
      <left/>
      <right/>
      <top style="thin">
        <color theme="1" tint="0.499984740745262"/>
      </top>
      <bottom/>
      <diagonal/>
    </border>
    <border>
      <left style="thin">
        <color theme="4"/>
      </left>
      <right/>
      <top style="thin">
        <color theme="1" tint="0.499984740745262"/>
      </top>
      <bottom/>
      <diagonal/>
    </border>
    <border>
      <left/>
      <right/>
      <top style="thin">
        <color theme="4"/>
      </top>
      <bottom style="thin">
        <color theme="4"/>
      </bottom>
      <diagonal/>
    </border>
    <border>
      <left style="thin">
        <color theme="0"/>
      </left>
      <right/>
      <top style="thin">
        <color theme="4"/>
      </top>
      <bottom style="thin">
        <color theme="4"/>
      </bottom>
      <diagonal/>
    </border>
    <border>
      <left/>
      <right/>
      <top style="thin">
        <color theme="4"/>
      </top>
      <bottom/>
      <diagonal/>
    </border>
    <border>
      <left/>
      <right/>
      <top style="thin">
        <color theme="4" tint="0.39997558519241921"/>
      </top>
      <bottom/>
      <diagonal/>
    </border>
    <border>
      <left style="thin">
        <color theme="0"/>
      </left>
      <right/>
      <top style="thin">
        <color theme="4"/>
      </top>
      <bottom/>
      <diagonal/>
    </border>
    <border>
      <left style="thin">
        <color theme="4"/>
      </left>
      <right/>
      <top style="thin">
        <color theme="4"/>
      </top>
      <bottom/>
      <diagonal/>
    </border>
  </borders>
  <cellStyleXfs count="4">
    <xf numFmtId="0" fontId="0" fillId="0" borderId="0"/>
    <xf numFmtId="0" fontId="1" fillId="0" borderId="0"/>
    <xf numFmtId="9" fontId="1" fillId="0" borderId="0" applyFont="0" applyFill="0" applyBorder="0" applyAlignment="0" applyProtection="0"/>
    <xf numFmtId="44" fontId="48" fillId="0" borderId="0" applyFont="0" applyFill="0" applyBorder="0" applyAlignment="0" applyProtection="0"/>
  </cellStyleXfs>
  <cellXfs count="471">
    <xf numFmtId="0" fontId="0" fillId="0" borderId="0" xfId="0"/>
    <xf numFmtId="170" fontId="0" fillId="0" borderId="0" xfId="0" applyNumberFormat="1" applyAlignment="1" applyProtection="1">
      <alignment horizontal="center"/>
    </xf>
    <xf numFmtId="0" fontId="3" fillId="0" borderId="0" xfId="0" applyFont="1" applyAlignment="1" applyProtection="1">
      <alignment horizontal="center"/>
    </xf>
    <xf numFmtId="0" fontId="3" fillId="5" borderId="1" xfId="0" applyFont="1" applyFill="1" applyBorder="1" applyAlignment="1" applyProtection="1">
      <alignment horizontal="center"/>
    </xf>
    <xf numFmtId="0" fontId="0" fillId="0" borderId="0" xfId="0" applyAlignment="1" applyProtection="1">
      <alignment horizontal="center"/>
    </xf>
    <xf numFmtId="0" fontId="0" fillId="0" borderId="0" xfId="0" applyProtection="1"/>
    <xf numFmtId="178" fontId="3" fillId="5" borderId="1" xfId="0" applyNumberFormat="1" applyFont="1" applyFill="1" applyBorder="1" applyAlignment="1" applyProtection="1">
      <alignment horizontal="center" wrapText="1"/>
    </xf>
    <xf numFmtId="0" fontId="3" fillId="0" borderId="0" xfId="0" applyFont="1" applyAlignment="1" applyProtection="1">
      <alignment horizontal="center" wrapText="1"/>
    </xf>
    <xf numFmtId="0" fontId="0" fillId="0" borderId="0" xfId="0" applyAlignment="1" applyProtection="1">
      <alignment wrapText="1"/>
    </xf>
    <xf numFmtId="0" fontId="3" fillId="0" borderId="0" xfId="0" applyFont="1" applyAlignment="1" applyProtection="1">
      <alignment wrapText="1"/>
    </xf>
    <xf numFmtId="15" fontId="3" fillId="0" borderId="0" xfId="0" applyNumberFormat="1" applyFont="1" applyAlignment="1" applyProtection="1">
      <alignment wrapText="1"/>
    </xf>
    <xf numFmtId="49" fontId="3" fillId="0" borderId="0" xfId="0" applyNumberFormat="1" applyFont="1" applyAlignment="1" applyProtection="1">
      <alignment horizontal="center" wrapText="1"/>
    </xf>
    <xf numFmtId="0" fontId="3" fillId="0" borderId="0" xfId="0" applyFont="1" applyFill="1" applyAlignment="1" applyProtection="1">
      <alignment horizontal="center"/>
    </xf>
    <xf numFmtId="0" fontId="3" fillId="0"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1" xfId="0" applyFont="1" applyFill="1" applyBorder="1" applyAlignment="1" applyProtection="1">
      <alignment horizontal="center"/>
    </xf>
    <xf numFmtId="9" fontId="3" fillId="0" borderId="0" xfId="0" applyNumberFormat="1" applyFont="1" applyFill="1" applyBorder="1" applyAlignment="1" applyProtection="1">
      <alignment horizontal="center" wrapText="1"/>
    </xf>
    <xf numFmtId="0" fontId="2" fillId="0" borderId="0" xfId="0" applyFont="1" applyProtection="1"/>
    <xf numFmtId="0" fontId="1" fillId="0" borderId="0" xfId="0" applyFont="1" applyProtection="1"/>
    <xf numFmtId="1" fontId="0" fillId="0" borderId="0" xfId="0" applyNumberFormat="1" applyAlignment="1" applyProtection="1">
      <alignment horizontal="center"/>
    </xf>
    <xf numFmtId="1" fontId="0" fillId="0" borderId="0" xfId="0" applyNumberFormat="1" applyProtection="1"/>
    <xf numFmtId="0" fontId="0" fillId="0" borderId="0" xfId="0" applyFill="1" applyProtection="1"/>
    <xf numFmtId="179" fontId="3" fillId="0" borderId="0" xfId="0" applyNumberFormat="1" applyFont="1" applyAlignment="1" applyProtection="1">
      <alignment horizontal="center" wrapText="1"/>
    </xf>
    <xf numFmtId="49" fontId="3" fillId="3" borderId="0" xfId="0" applyNumberFormat="1" applyFont="1" applyFill="1" applyBorder="1" applyAlignment="1" applyProtection="1">
      <alignment horizontal="center"/>
    </xf>
    <xf numFmtId="0" fontId="16" fillId="0" borderId="0" xfId="0" applyFont="1" applyAlignment="1" applyProtection="1">
      <alignment horizontal="center" wrapText="1"/>
    </xf>
    <xf numFmtId="177" fontId="16" fillId="0" borderId="0" xfId="0" applyNumberFormat="1" applyFont="1" applyAlignment="1" applyProtection="1">
      <alignment horizontal="center"/>
    </xf>
    <xf numFmtId="0" fontId="15" fillId="0" borderId="0" xfId="0" applyFont="1" applyAlignment="1" applyProtection="1">
      <alignment horizontal="center" wrapText="1"/>
    </xf>
    <xf numFmtId="0" fontId="16" fillId="0" borderId="0" xfId="0" applyFont="1" applyAlignment="1" applyProtection="1">
      <alignment horizontal="center"/>
    </xf>
    <xf numFmtId="0" fontId="16" fillId="0" borderId="0" xfId="0" applyFont="1" applyProtection="1"/>
    <xf numFmtId="0" fontId="16" fillId="0" borderId="0" xfId="0" applyFont="1" applyAlignment="1" applyProtection="1"/>
    <xf numFmtId="0" fontId="16" fillId="0" borderId="0" xfId="0" applyFont="1" applyAlignment="1" applyProtection="1">
      <alignment wrapText="1"/>
    </xf>
    <xf numFmtId="0" fontId="16" fillId="0" borderId="0" xfId="0" applyNumberFormat="1" applyFont="1" applyAlignment="1" applyProtection="1">
      <alignment horizontal="center"/>
    </xf>
    <xf numFmtId="0" fontId="16" fillId="0" borderId="0" xfId="0" applyFont="1" applyFill="1" applyAlignment="1" applyProtection="1">
      <alignment horizontal="center" wrapText="1"/>
    </xf>
    <xf numFmtId="14" fontId="16" fillId="0" borderId="0" xfId="0" applyNumberFormat="1" applyFont="1" applyAlignment="1" applyProtection="1">
      <alignment horizontal="center"/>
    </xf>
    <xf numFmtId="176" fontId="16" fillId="0" borderId="0" xfId="0" applyNumberFormat="1" applyFont="1" applyBorder="1" applyAlignment="1" applyProtection="1">
      <alignment wrapText="1"/>
    </xf>
    <xf numFmtId="49" fontId="16" fillId="0" borderId="0" xfId="0" applyNumberFormat="1" applyFont="1" applyBorder="1" applyAlignment="1" applyProtection="1">
      <alignment wrapText="1"/>
    </xf>
    <xf numFmtId="1" fontId="16" fillId="0" borderId="0" xfId="0" applyNumberFormat="1" applyFont="1" applyProtection="1"/>
    <xf numFmtId="14" fontId="15" fillId="0" borderId="0" xfId="0" applyNumberFormat="1" applyFont="1" applyFill="1" applyBorder="1" applyAlignment="1" applyProtection="1">
      <alignment horizontal="center" vertical="center"/>
    </xf>
    <xf numFmtId="0" fontId="15" fillId="6" borderId="0" xfId="0" applyFont="1" applyFill="1" applyBorder="1" applyAlignment="1" applyProtection="1">
      <alignment horizontal="center" wrapText="1"/>
    </xf>
    <xf numFmtId="0" fontId="16" fillId="0" borderId="0" xfId="0" applyFont="1" applyBorder="1" applyAlignment="1" applyProtection="1"/>
    <xf numFmtId="0" fontId="16" fillId="0" borderId="0" xfId="0" applyFont="1" applyFill="1" applyProtection="1"/>
    <xf numFmtId="0" fontId="16" fillId="0" borderId="0" xfId="0" applyFont="1" applyAlignment="1" applyProtection="1">
      <alignment horizontal="center" vertical="center"/>
    </xf>
    <xf numFmtId="0" fontId="16" fillId="0" borderId="0" xfId="0" applyNumberFormat="1" applyFont="1" applyFill="1" applyAlignment="1" applyProtection="1">
      <alignment horizontal="center"/>
    </xf>
    <xf numFmtId="0" fontId="16" fillId="0" borderId="0" xfId="0" applyFont="1" applyAlignment="1" applyProtection="1">
      <alignment horizontal="center" vertical="center" wrapText="1"/>
    </xf>
    <xf numFmtId="0" fontId="16" fillId="0" borderId="0" xfId="0" applyFont="1" applyProtection="1">
      <protection locked="0"/>
    </xf>
    <xf numFmtId="49" fontId="16" fillId="0" borderId="0" xfId="0" applyNumberFormat="1" applyFont="1" applyProtection="1">
      <protection locked="0"/>
    </xf>
    <xf numFmtId="49" fontId="16" fillId="0" borderId="0" xfId="0" applyNumberFormat="1" applyFont="1" applyAlignment="1" applyProtection="1">
      <alignment horizontal="left"/>
      <protection locked="0"/>
    </xf>
    <xf numFmtId="49" fontId="16" fillId="0" borderId="0" xfId="0" applyNumberFormat="1" applyFont="1" applyAlignment="1" applyProtection="1">
      <alignment horizontal="center" vertical="top"/>
      <protection locked="0"/>
    </xf>
    <xf numFmtId="49" fontId="16" fillId="0" borderId="0" xfId="0" applyNumberFormat="1" applyFont="1" applyAlignment="1" applyProtection="1">
      <alignment wrapText="1"/>
      <protection locked="0"/>
    </xf>
    <xf numFmtId="1" fontId="16" fillId="0" borderId="0" xfId="0" applyNumberFormat="1" applyFont="1" applyProtection="1">
      <protection locked="0"/>
    </xf>
    <xf numFmtId="0" fontId="16" fillId="0" borderId="0" xfId="0" applyFont="1" applyAlignment="1" applyProtection="1">
      <alignment horizontal="center"/>
      <protection locked="0"/>
    </xf>
    <xf numFmtId="14" fontId="16" fillId="0" borderId="0" xfId="0" applyNumberFormat="1" applyFont="1" applyAlignment="1" applyProtection="1">
      <alignment horizontal="center"/>
      <protection locked="0"/>
    </xf>
    <xf numFmtId="0" fontId="16" fillId="0" borderId="0" xfId="0" applyFont="1" applyAlignment="1" applyProtection="1">
      <alignment horizontal="center" shrinkToFit="1"/>
      <protection locked="0"/>
    </xf>
    <xf numFmtId="0" fontId="16" fillId="0" borderId="0" xfId="0" applyFont="1" applyAlignment="1" applyProtection="1">
      <alignment horizontal="center" wrapText="1"/>
      <protection locked="0"/>
    </xf>
    <xf numFmtId="0" fontId="16" fillId="0" borderId="0" xfId="0" applyNumberFormat="1" applyFont="1" applyAlignment="1" applyProtection="1">
      <alignment horizontal="center"/>
      <protection locked="0"/>
    </xf>
    <xf numFmtId="0" fontId="16" fillId="0" borderId="0" xfId="0" applyFont="1" applyBorder="1" applyAlignment="1" applyProtection="1">
      <alignment wrapText="1"/>
    </xf>
    <xf numFmtId="49" fontId="16" fillId="0" borderId="0" xfId="0" applyNumberFormat="1" applyFont="1" applyAlignment="1" applyProtection="1">
      <alignment horizontal="center" vertical="top" wrapText="1"/>
      <protection locked="0"/>
    </xf>
    <xf numFmtId="0" fontId="31" fillId="0" borderId="0" xfId="0" applyFont="1" applyAlignment="1">
      <alignment horizontal="center"/>
    </xf>
    <xf numFmtId="185" fontId="31" fillId="0" borderId="0" xfId="0" applyNumberFormat="1" applyFont="1" applyAlignment="1">
      <alignment horizontal="center"/>
    </xf>
    <xf numFmtId="185" fontId="0" fillId="0" borderId="0" xfId="0" applyNumberFormat="1"/>
    <xf numFmtId="185" fontId="32" fillId="0" borderId="0" xfId="0" applyNumberFormat="1" applyFont="1" applyAlignment="1">
      <alignment horizontal="right"/>
    </xf>
    <xf numFmtId="14" fontId="32" fillId="0" borderId="0" xfId="0" applyNumberFormat="1" applyFont="1" applyAlignment="1">
      <alignment horizontal="left"/>
    </xf>
    <xf numFmtId="0" fontId="16" fillId="0" borderId="0" xfId="0" applyFont="1" applyFill="1" applyAlignment="1" applyProtection="1">
      <alignment horizontal="center" vertical="center" wrapText="1"/>
    </xf>
    <xf numFmtId="164" fontId="23" fillId="0" borderId="0" xfId="0" applyNumberFormat="1" applyFont="1" applyFill="1" applyAlignment="1" applyProtection="1">
      <alignment horizontal="center" vertical="center" wrapText="1"/>
    </xf>
    <xf numFmtId="175" fontId="15" fillId="0" borderId="0" xfId="0" applyNumberFormat="1" applyFont="1" applyFill="1" applyAlignment="1" applyProtection="1">
      <alignment horizontal="center" wrapText="1"/>
    </xf>
    <xf numFmtId="0" fontId="15" fillId="0" borderId="0" xfId="0" applyFont="1" applyAlignment="1" applyProtection="1">
      <alignment horizontal="left" wrapText="1" shrinkToFit="1"/>
    </xf>
    <xf numFmtId="0" fontId="16" fillId="0" borderId="0" xfId="0" applyFont="1" applyFill="1" applyAlignment="1" applyProtection="1">
      <alignment wrapText="1"/>
    </xf>
    <xf numFmtId="14" fontId="16" fillId="0" borderId="0" xfId="0" applyNumberFormat="1" applyFont="1" applyAlignment="1" applyProtection="1">
      <alignment wrapText="1"/>
      <protection locked="0"/>
    </xf>
    <xf numFmtId="49" fontId="25" fillId="4" borderId="2" xfId="0" applyNumberFormat="1" applyFont="1" applyFill="1" applyBorder="1" applyAlignment="1">
      <alignment wrapText="1"/>
    </xf>
    <xf numFmtId="49" fontId="24" fillId="0" borderId="2" xfId="0" applyNumberFormat="1" applyFont="1" applyBorder="1" applyAlignment="1">
      <alignment wrapText="1"/>
    </xf>
    <xf numFmtId="49" fontId="24" fillId="0" borderId="0" xfId="0" applyNumberFormat="1" applyFont="1" applyAlignment="1"/>
    <xf numFmtId="49" fontId="24" fillId="7" borderId="2" xfId="0" applyNumberFormat="1" applyFont="1" applyFill="1" applyBorder="1" applyAlignment="1">
      <alignment wrapText="1"/>
    </xf>
    <xf numFmtId="0" fontId="3" fillId="0" borderId="0" xfId="0" applyFont="1"/>
    <xf numFmtId="49" fontId="24" fillId="7" borderId="2" xfId="0" applyNumberFormat="1" applyFont="1" applyFill="1" applyBorder="1" applyAlignment="1">
      <alignment wrapText="1"/>
    </xf>
    <xf numFmtId="0" fontId="1" fillId="0" borderId="0" xfId="0" applyFont="1"/>
    <xf numFmtId="0" fontId="16" fillId="0" borderId="0" xfId="0" applyFont="1" applyFill="1" applyProtection="1">
      <protection locked="0"/>
    </xf>
    <xf numFmtId="164" fontId="0" fillId="0" borderId="0" xfId="0" applyNumberFormat="1"/>
    <xf numFmtId="164" fontId="1" fillId="0" borderId="0" xfId="0" applyNumberFormat="1" applyFont="1"/>
    <xf numFmtId="0" fontId="1" fillId="8" borderId="0" xfId="0" applyFont="1" applyFill="1"/>
    <xf numFmtId="0" fontId="0" fillId="8" borderId="0" xfId="0" applyFill="1"/>
    <xf numFmtId="0" fontId="0" fillId="0" borderId="0" xfId="0" applyFill="1" applyAlignment="1"/>
    <xf numFmtId="0" fontId="16" fillId="0" borderId="0" xfId="0" applyFont="1" applyFill="1"/>
    <xf numFmtId="0" fontId="21" fillId="0" borderId="0" xfId="0" applyFont="1" applyFill="1" applyProtection="1">
      <protection locked="0"/>
    </xf>
    <xf numFmtId="14" fontId="26" fillId="9" borderId="0" xfId="0" applyNumberFormat="1" applyFont="1" applyFill="1" applyAlignment="1" applyProtection="1">
      <alignment horizontal="center"/>
    </xf>
    <xf numFmtId="49" fontId="26" fillId="0" borderId="0" xfId="0" applyNumberFormat="1" applyFont="1" applyAlignment="1" applyProtection="1">
      <alignment horizontal="right"/>
    </xf>
    <xf numFmtId="181" fontId="27" fillId="0" borderId="0" xfId="0" applyNumberFormat="1" applyFont="1" applyAlignment="1"/>
    <xf numFmtId="181" fontId="23" fillId="0" borderId="0" xfId="0" applyNumberFormat="1" applyFont="1" applyAlignment="1" applyProtection="1">
      <alignment horizontal="center" shrinkToFit="1"/>
      <protection locked="0"/>
    </xf>
    <xf numFmtId="166" fontId="17" fillId="0" borderId="0" xfId="0" applyNumberFormat="1" applyFont="1" applyBorder="1" applyAlignment="1" applyProtection="1">
      <alignment horizontal="center" textRotation="90" wrapText="1" shrinkToFit="1"/>
    </xf>
    <xf numFmtId="166" fontId="0" fillId="0" borderId="0" xfId="0" applyNumberFormat="1" applyAlignment="1"/>
    <xf numFmtId="166" fontId="16" fillId="0" borderId="0" xfId="0" applyNumberFormat="1" applyFont="1" applyAlignment="1" applyProtection="1">
      <alignment horizontal="center" shrinkToFit="1"/>
      <protection locked="0"/>
    </xf>
    <xf numFmtId="0" fontId="23" fillId="0" borderId="0" xfId="0" applyFont="1" applyAlignment="1" applyProtection="1">
      <alignment vertical="top"/>
    </xf>
    <xf numFmtId="0" fontId="23" fillId="0" borderId="0" xfId="0" applyFont="1" applyFill="1" applyAlignment="1" applyProtection="1">
      <alignment vertical="top"/>
    </xf>
    <xf numFmtId="0" fontId="23" fillId="0" borderId="0" xfId="0" applyFont="1" applyAlignment="1" applyProtection="1">
      <alignment vertical="top"/>
      <protection locked="0"/>
    </xf>
    <xf numFmtId="0" fontId="23" fillId="0" borderId="0" xfId="0" applyFont="1" applyProtection="1"/>
    <xf numFmtId="0" fontId="23" fillId="0" borderId="0" xfId="0" applyFont="1" applyFill="1" applyProtection="1"/>
    <xf numFmtId="0" fontId="23" fillId="0" borderId="0" xfId="0" applyFont="1" applyProtection="1">
      <protection locked="0"/>
    </xf>
    <xf numFmtId="0" fontId="23" fillId="0" borderId="0" xfId="0" applyFont="1" applyAlignment="1" applyProtection="1">
      <alignment horizontal="center"/>
    </xf>
    <xf numFmtId="0" fontId="23" fillId="0" borderId="0" xfId="0" applyFont="1" applyAlignment="1" applyProtection="1">
      <alignment horizontal="center" vertical="center"/>
    </xf>
    <xf numFmtId="0" fontId="23" fillId="0" borderId="0" xfId="0" applyFont="1" applyAlignment="1" applyProtection="1">
      <alignment horizontal="center"/>
      <protection locked="0"/>
    </xf>
    <xf numFmtId="181" fontId="23" fillId="0" borderId="0" xfId="0" applyNumberFormat="1" applyFont="1" applyBorder="1" applyAlignment="1" applyProtection="1">
      <alignment horizontal="center" textRotation="90" wrapText="1" shrinkToFit="1"/>
    </xf>
    <xf numFmtId="0" fontId="23" fillId="0" borderId="0" xfId="0" applyFont="1" applyAlignment="1" applyProtection="1">
      <alignment horizontal="center" wrapText="1"/>
    </xf>
    <xf numFmtId="14" fontId="23" fillId="0" borderId="0" xfId="0" applyNumberFormat="1" applyFont="1" applyFill="1" applyBorder="1" applyAlignment="1" applyProtection="1">
      <alignment horizontal="center" vertical="center"/>
    </xf>
    <xf numFmtId="0" fontId="23" fillId="0" borderId="0" xfId="0" applyNumberFormat="1" applyFont="1" applyBorder="1" applyAlignment="1" applyProtection="1">
      <alignment horizontal="center" textRotation="90" wrapText="1" shrinkToFit="1"/>
    </xf>
    <xf numFmtId="0" fontId="27" fillId="0" borderId="0" xfId="0" applyNumberFormat="1" applyFont="1" applyAlignment="1"/>
    <xf numFmtId="0" fontId="23" fillId="0" borderId="0" xfId="0" applyNumberFormat="1" applyFont="1" applyAlignment="1" applyProtection="1">
      <alignment horizontal="center" shrinkToFit="1"/>
      <protection locked="0"/>
    </xf>
    <xf numFmtId="164" fontId="1" fillId="10" borderId="0" xfId="0" applyNumberFormat="1" applyFont="1" applyFill="1" applyAlignment="1">
      <alignment horizontal="center"/>
    </xf>
    <xf numFmtId="185" fontId="0" fillId="0" borderId="0" xfId="0" applyNumberFormat="1" applyAlignment="1" applyProtection="1">
      <alignment horizontal="center"/>
      <protection locked="0"/>
    </xf>
    <xf numFmtId="0" fontId="19" fillId="0" borderId="0" xfId="0" applyFont="1" applyAlignment="1" applyProtection="1">
      <alignment horizontal="center" vertical="center"/>
    </xf>
    <xf numFmtId="0" fontId="23" fillId="0" borderId="0" xfId="0" applyFont="1" applyAlignment="1" applyProtection="1">
      <alignment horizontal="center" vertical="top"/>
    </xf>
    <xf numFmtId="0" fontId="23" fillId="0" borderId="0" xfId="0" applyFont="1" applyFill="1" applyAlignment="1" applyProtection="1">
      <alignment horizontal="center" vertical="top"/>
    </xf>
    <xf numFmtId="0" fontId="23" fillId="0" borderId="0" xfId="0" applyFont="1" applyAlignment="1" applyProtection="1">
      <alignment horizontal="center" vertical="top"/>
      <protection locked="0"/>
    </xf>
    <xf numFmtId="0" fontId="1" fillId="0" borderId="0" xfId="0" applyFont="1" applyAlignment="1" applyProtection="1">
      <alignment horizontal="center" vertical="center" wrapText="1"/>
    </xf>
    <xf numFmtId="0" fontId="3" fillId="0" borderId="0" xfId="0" applyFont="1" applyAlignment="1" applyProtection="1">
      <alignment horizontal="right"/>
    </xf>
    <xf numFmtId="0" fontId="3" fillId="0" borderId="0" xfId="0" applyFont="1" applyProtection="1"/>
    <xf numFmtId="0" fontId="1" fillId="0" borderId="0" xfId="0" applyFont="1" applyAlignment="1" applyProtection="1">
      <alignment horizontal="center"/>
    </xf>
    <xf numFmtId="15" fontId="3" fillId="8" borderId="0" xfId="0" applyNumberFormat="1" applyFont="1" applyFill="1" applyAlignment="1" applyProtection="1">
      <alignment horizontal="center" vertical="center" wrapText="1"/>
    </xf>
    <xf numFmtId="0" fontId="3" fillId="8" borderId="0" xfId="0" applyFont="1" applyFill="1" applyProtection="1"/>
    <xf numFmtId="15" fontId="3" fillId="0" borderId="0" xfId="0" applyNumberFormat="1" applyFont="1" applyAlignment="1" applyProtection="1">
      <alignment horizontal="center" vertical="center" wrapText="1"/>
    </xf>
    <xf numFmtId="15" fontId="3" fillId="8" borderId="0" xfId="0" applyNumberFormat="1" applyFont="1" applyFill="1" applyProtection="1"/>
    <xf numFmtId="0" fontId="0" fillId="8" borderId="0" xfId="0" applyFill="1" applyAlignment="1" applyProtection="1">
      <alignment horizontal="center"/>
    </xf>
    <xf numFmtId="0" fontId="3" fillId="0" borderId="3" xfId="0" applyFont="1" applyBorder="1" applyAlignment="1" applyProtection="1">
      <alignment horizontal="center" vertical="center" wrapText="1"/>
    </xf>
    <xf numFmtId="0" fontId="0" fillId="0" borderId="3" xfId="0" applyBorder="1" applyAlignment="1" applyProtection="1">
      <alignment horizontal="center"/>
    </xf>
    <xf numFmtId="49" fontId="3" fillId="11" borderId="0" xfId="0" applyNumberFormat="1" applyFont="1" applyFill="1" applyAlignment="1" applyProtection="1">
      <alignment horizontal="center"/>
      <protection locked="0"/>
    </xf>
    <xf numFmtId="15" fontId="0" fillId="11" borderId="0" xfId="0" applyNumberFormat="1" applyFill="1" applyProtection="1">
      <protection locked="0"/>
    </xf>
    <xf numFmtId="1" fontId="0" fillId="11" borderId="0" xfId="0" applyNumberFormat="1" applyFill="1" applyAlignment="1" applyProtection="1">
      <alignment horizontal="center"/>
      <protection locked="0"/>
    </xf>
    <xf numFmtId="15" fontId="1" fillId="11" borderId="0" xfId="0" applyNumberFormat="1" applyFont="1" applyFill="1" applyProtection="1">
      <protection locked="0"/>
    </xf>
    <xf numFmtId="17" fontId="34" fillId="11" borderId="0" xfId="0" applyNumberFormat="1" applyFont="1" applyFill="1" applyAlignment="1" applyProtection="1">
      <alignment horizontal="center"/>
      <protection locked="0"/>
    </xf>
    <xf numFmtId="1" fontId="34" fillId="8" borderId="0" xfId="0" applyNumberFormat="1" applyFont="1" applyFill="1" applyAlignment="1" applyProtection="1">
      <alignment horizontal="center"/>
    </xf>
    <xf numFmtId="17" fontId="34" fillId="8" borderId="0" xfId="0" applyNumberFormat="1" applyFont="1" applyFill="1" applyAlignment="1" applyProtection="1">
      <alignment horizontal="center"/>
    </xf>
    <xf numFmtId="0" fontId="34" fillId="8" borderId="0" xfId="0" quotePrefix="1" applyNumberFormat="1" applyFont="1" applyFill="1" applyAlignment="1" applyProtection="1">
      <alignment horizontal="center"/>
    </xf>
    <xf numFmtId="0" fontId="34" fillId="8" borderId="0" xfId="0" applyNumberFormat="1" applyFont="1" applyFill="1" applyAlignment="1" applyProtection="1">
      <alignment horizontal="center"/>
    </xf>
    <xf numFmtId="1" fontId="34" fillId="8" borderId="0" xfId="0" applyNumberFormat="1" applyFont="1" applyFill="1" applyBorder="1" applyAlignment="1" applyProtection="1">
      <alignment horizontal="center"/>
    </xf>
    <xf numFmtId="17" fontId="34" fillId="8" borderId="0" xfId="0" applyNumberFormat="1" applyFont="1" applyFill="1" applyBorder="1" applyAlignment="1" applyProtection="1">
      <alignment horizontal="center"/>
    </xf>
    <xf numFmtId="0" fontId="30" fillId="0" borderId="0" xfId="0" applyFont="1" applyAlignment="1" applyProtection="1">
      <alignment vertical="center"/>
    </xf>
    <xf numFmtId="2" fontId="0" fillId="0" borderId="0" xfId="0" applyNumberFormat="1" applyProtection="1"/>
    <xf numFmtId="178" fontId="3" fillId="5" borderId="1" xfId="2" applyNumberFormat="1" applyFont="1" applyFill="1" applyBorder="1" applyAlignment="1" applyProtection="1">
      <alignment horizontal="center" wrapText="1"/>
    </xf>
    <xf numFmtId="0" fontId="1" fillId="0" borderId="0" xfId="1"/>
    <xf numFmtId="0" fontId="33" fillId="12" borderId="7" xfId="0" applyNumberFormat="1" applyFont="1" applyFill="1" applyBorder="1" applyAlignment="1">
      <alignment horizontal="center" vertical="top" wrapText="1"/>
    </xf>
    <xf numFmtId="49" fontId="33" fillId="0" borderId="7" xfId="0" applyNumberFormat="1" applyFont="1" applyBorder="1" applyAlignment="1">
      <alignment horizontal="center" vertical="top" wrapText="1"/>
    </xf>
    <xf numFmtId="49" fontId="33" fillId="12" borderId="7" xfId="0" applyNumberFormat="1" applyFont="1" applyFill="1" applyBorder="1" applyAlignment="1">
      <alignment horizontal="center" vertical="top" wrapText="1"/>
    </xf>
    <xf numFmtId="0" fontId="33" fillId="0" borderId="7" xfId="0" applyNumberFormat="1" applyFont="1" applyBorder="1" applyAlignment="1">
      <alignment horizontal="center" vertical="top" wrapText="1"/>
    </xf>
    <xf numFmtId="0" fontId="33" fillId="0" borderId="7" xfId="0" applyFont="1" applyBorder="1" applyAlignment="1">
      <alignment horizontal="center" vertical="top" wrapText="1"/>
    </xf>
    <xf numFmtId="0" fontId="33" fillId="12" borderId="7" xfId="0" applyFont="1" applyFill="1" applyBorder="1" applyAlignment="1">
      <alignment horizontal="center" vertical="top" wrapText="1"/>
    </xf>
    <xf numFmtId="49" fontId="35" fillId="13" borderId="0" xfId="0" applyNumberFormat="1" applyFont="1" applyFill="1" applyBorder="1" applyAlignment="1">
      <alignment horizontal="center" vertical="center" wrapText="1"/>
    </xf>
    <xf numFmtId="49" fontId="35" fillId="13" borderId="8" xfId="0" applyNumberFormat="1" applyFont="1" applyFill="1" applyBorder="1" applyAlignment="1">
      <alignment horizontal="center" vertical="center" wrapText="1"/>
    </xf>
    <xf numFmtId="0" fontId="35" fillId="13" borderId="8" xfId="0" applyFont="1" applyFill="1" applyBorder="1" applyAlignment="1">
      <alignment horizontal="center" vertical="center" wrapText="1"/>
    </xf>
    <xf numFmtId="1" fontId="35" fillId="13" borderId="8" xfId="0" applyNumberFormat="1" applyFont="1" applyFill="1" applyBorder="1" applyAlignment="1">
      <alignment horizontal="center" vertical="center" wrapText="1"/>
    </xf>
    <xf numFmtId="14" fontId="35" fillId="13" borderId="8" xfId="0" applyNumberFormat="1" applyFont="1" applyFill="1" applyBorder="1" applyAlignment="1">
      <alignment horizontal="center" vertical="center" wrapText="1"/>
    </xf>
    <xf numFmtId="166" fontId="35" fillId="13" borderId="8" xfId="0" applyNumberFormat="1" applyFont="1" applyFill="1" applyBorder="1" applyAlignment="1">
      <alignment horizontal="center" vertical="center" wrapText="1" shrinkToFit="1"/>
    </xf>
    <xf numFmtId="0" fontId="35" fillId="13" borderId="8" xfId="0" applyFont="1" applyFill="1" applyBorder="1" applyAlignment="1">
      <alignment horizontal="center" vertical="center" wrapText="1" shrinkToFit="1"/>
    </xf>
    <xf numFmtId="0" fontId="38" fillId="13" borderId="8" xfId="0" applyFont="1" applyFill="1" applyBorder="1" applyAlignment="1">
      <alignment horizontal="center" vertical="center" wrapText="1"/>
    </xf>
    <xf numFmtId="181" fontId="39" fillId="13" borderId="8" xfId="0" applyNumberFormat="1" applyFont="1" applyFill="1" applyBorder="1" applyAlignment="1">
      <alignment horizontal="center" vertical="center" wrapText="1" shrinkToFit="1"/>
    </xf>
    <xf numFmtId="0" fontId="39" fillId="13" borderId="8" xfId="0" applyNumberFormat="1" applyFont="1" applyFill="1" applyBorder="1" applyAlignment="1">
      <alignment horizontal="center" vertical="center" wrapText="1" shrinkToFit="1"/>
    </xf>
    <xf numFmtId="0" fontId="38" fillId="13" borderId="8" xfId="0" applyFont="1" applyFill="1" applyBorder="1" applyAlignment="1">
      <alignment horizontal="center" vertical="top" wrapText="1"/>
    </xf>
    <xf numFmtId="0" fontId="38" fillId="13" borderId="9" xfId="0" applyFont="1" applyFill="1" applyBorder="1" applyAlignment="1">
      <alignment horizontal="center" vertical="top" wrapText="1"/>
    </xf>
    <xf numFmtId="0" fontId="38" fillId="13" borderId="10" xfId="0" applyFont="1" applyFill="1" applyBorder="1" applyAlignment="1">
      <alignment horizontal="center" vertical="top" wrapText="1"/>
    </xf>
    <xf numFmtId="0" fontId="16" fillId="0" borderId="0" xfId="0" applyFont="1" applyFill="1" applyAlignment="1" applyProtection="1">
      <alignment horizontal="left"/>
      <protection locked="0"/>
    </xf>
    <xf numFmtId="0" fontId="16" fillId="0" borderId="0" xfId="0" applyNumberFormat="1" applyFont="1" applyAlignment="1" applyProtection="1">
      <alignment horizontal="center" wrapText="1"/>
    </xf>
    <xf numFmtId="0" fontId="16" fillId="0" borderId="0" xfId="0" applyNumberFormat="1" applyFont="1" applyFill="1" applyAlignment="1" applyProtection="1">
      <alignment horizontal="center" wrapText="1"/>
    </xf>
    <xf numFmtId="0" fontId="16" fillId="0" borderId="0" xfId="0" applyNumberFormat="1" applyFont="1" applyAlignment="1" applyProtection="1">
      <alignment horizontal="center" wrapText="1"/>
      <protection locked="0"/>
    </xf>
    <xf numFmtId="1" fontId="34" fillId="8" borderId="0" xfId="0" applyNumberFormat="1" applyFont="1" applyFill="1" applyAlignment="1" applyProtection="1">
      <alignment horizontal="center" vertical="center"/>
    </xf>
    <xf numFmtId="17" fontId="34" fillId="8" borderId="0" xfId="0" applyNumberFormat="1" applyFont="1" applyFill="1" applyAlignment="1" applyProtection="1">
      <alignment horizontal="center" vertical="center"/>
    </xf>
    <xf numFmtId="0" fontId="34" fillId="8" borderId="0" xfId="0" applyNumberFormat="1" applyFont="1" applyFill="1" applyAlignment="1" applyProtection="1">
      <alignment horizontal="center" vertical="center"/>
    </xf>
    <xf numFmtId="0" fontId="41" fillId="13" borderId="8" xfId="0" applyFont="1" applyFill="1" applyBorder="1" applyAlignment="1">
      <alignment horizontal="center" vertical="center" wrapText="1"/>
    </xf>
    <xf numFmtId="0" fontId="19" fillId="0" borderId="0" xfId="0" applyFont="1" applyFill="1" applyAlignment="1" applyProtection="1">
      <alignment horizontal="center"/>
      <protection locked="0"/>
    </xf>
    <xf numFmtId="0" fontId="0" fillId="8" borderId="0" xfId="0" applyFont="1" applyFill="1" applyAlignment="1" applyProtection="1">
      <alignment horizontal="center"/>
    </xf>
    <xf numFmtId="0" fontId="0" fillId="8" borderId="0" xfId="0" applyFont="1" applyFill="1" applyBorder="1" applyAlignment="1" applyProtection="1">
      <alignment horizontal="center"/>
    </xf>
    <xf numFmtId="0" fontId="0" fillId="8" borderId="0" xfId="0" applyFont="1" applyFill="1" applyAlignment="1" applyProtection="1">
      <alignment horizontal="center" vertical="center"/>
    </xf>
    <xf numFmtId="186" fontId="27" fillId="0" borderId="0" xfId="0" applyNumberFormat="1" applyFont="1" applyAlignment="1"/>
    <xf numFmtId="1" fontId="1" fillId="0" borderId="0" xfId="1" applyNumberFormat="1"/>
    <xf numFmtId="49" fontId="33" fillId="0" borderId="25" xfId="0" applyNumberFormat="1" applyFont="1" applyBorder="1" applyAlignment="1">
      <alignment horizontal="center" vertical="top" wrapText="1"/>
    </xf>
    <xf numFmtId="0" fontId="33" fillId="0" borderId="25" xfId="0" applyNumberFormat="1" applyFont="1" applyBorder="1" applyAlignment="1">
      <alignment horizontal="center" vertical="top" wrapText="1"/>
    </xf>
    <xf numFmtId="0" fontId="33" fillId="12" borderId="25" xfId="0" applyNumberFormat="1" applyFont="1" applyFill="1" applyBorder="1" applyAlignment="1">
      <alignment horizontal="center" vertical="top" wrapText="1"/>
    </xf>
    <xf numFmtId="49" fontId="33" fillId="12" borderId="25" xfId="0" applyNumberFormat="1" applyFont="1" applyFill="1" applyBorder="1" applyAlignment="1">
      <alignment horizontal="center" vertical="top" wrapText="1"/>
    </xf>
    <xf numFmtId="0" fontId="33" fillId="0" borderId="25" xfId="0" applyFont="1" applyBorder="1" applyAlignment="1">
      <alignment horizontal="center" vertical="top" wrapText="1"/>
    </xf>
    <xf numFmtId="0" fontId="33" fillId="12" borderId="25" xfId="0" applyFont="1" applyFill="1" applyBorder="1" applyAlignment="1">
      <alignment horizontal="center" vertical="top" wrapText="1"/>
    </xf>
    <xf numFmtId="0" fontId="15" fillId="0" borderId="0" xfId="0" applyFont="1" applyFill="1" applyProtection="1">
      <protection locked="0"/>
    </xf>
    <xf numFmtId="0" fontId="35" fillId="12" borderId="7" xfId="0" applyNumberFormat="1" applyFont="1" applyFill="1" applyBorder="1" applyAlignment="1">
      <alignment horizontal="center" vertical="top" wrapText="1"/>
    </xf>
    <xf numFmtId="0" fontId="34" fillId="12" borderId="25" xfId="0" applyFont="1" applyFill="1" applyBorder="1" applyAlignment="1"/>
    <xf numFmtId="0" fontId="34" fillId="12" borderId="7" xfId="0" applyFont="1" applyFill="1" applyBorder="1" applyAlignment="1"/>
    <xf numFmtId="0" fontId="35" fillId="12" borderId="25" xfId="0" applyNumberFormat="1" applyFont="1" applyFill="1" applyBorder="1" applyAlignment="1">
      <alignment horizontal="center" vertical="top" wrapText="1"/>
    </xf>
    <xf numFmtId="169" fontId="15" fillId="14" borderId="0" xfId="0" applyNumberFormat="1" applyFont="1" applyFill="1" applyAlignment="1" applyProtection="1">
      <alignment horizontal="center"/>
    </xf>
    <xf numFmtId="175" fontId="15" fillId="14" borderId="0" xfId="0" applyNumberFormat="1" applyFont="1" applyFill="1" applyAlignment="1" applyProtection="1">
      <alignment horizontal="center"/>
    </xf>
    <xf numFmtId="180" fontId="15" fillId="14" borderId="0" xfId="0" applyNumberFormat="1" applyFont="1" applyFill="1" applyAlignment="1" applyProtection="1">
      <alignment horizontal="center" wrapText="1"/>
    </xf>
    <xf numFmtId="164" fontId="15" fillId="14" borderId="0" xfId="0" applyNumberFormat="1" applyFont="1" applyFill="1" applyAlignment="1" applyProtection="1">
      <alignment horizontal="center" wrapText="1"/>
    </xf>
    <xf numFmtId="14" fontId="26" fillId="14" borderId="0" xfId="0" applyNumberFormat="1" applyFont="1" applyFill="1" applyAlignment="1" applyProtection="1">
      <alignment horizontal="center"/>
    </xf>
    <xf numFmtId="172" fontId="15" fillId="14" borderId="0" xfId="0" applyNumberFormat="1" applyFont="1" applyFill="1" applyAlignment="1" applyProtection="1">
      <alignment horizontal="center"/>
    </xf>
    <xf numFmtId="173" fontId="15" fillId="14" borderId="0" xfId="0" applyNumberFormat="1" applyFont="1" applyFill="1" applyAlignment="1" applyProtection="1">
      <alignment horizontal="center"/>
    </xf>
    <xf numFmtId="174" fontId="15" fillId="14" borderId="0" xfId="0" applyNumberFormat="1" applyFont="1" applyFill="1" applyAlignment="1" applyProtection="1">
      <alignment horizontal="center"/>
    </xf>
    <xf numFmtId="176" fontId="15" fillId="14" borderId="0" xfId="0" applyNumberFormat="1" applyFont="1" applyFill="1" applyAlignment="1" applyProtection="1">
      <alignment horizontal="center"/>
    </xf>
    <xf numFmtId="0" fontId="15" fillId="14" borderId="1" xfId="0" applyNumberFormat="1" applyFont="1" applyFill="1" applyBorder="1" applyAlignment="1" applyProtection="1">
      <alignment horizontal="center" vertical="center" wrapText="1"/>
    </xf>
    <xf numFmtId="183" fontId="36" fillId="15" borderId="7" xfId="0" applyNumberFormat="1" applyFont="1" applyFill="1" applyBorder="1" applyAlignment="1">
      <alignment horizontal="center" vertical="top" wrapText="1"/>
    </xf>
    <xf numFmtId="1" fontId="36" fillId="15" borderId="7" xfId="0" applyNumberFormat="1" applyFont="1" applyFill="1" applyBorder="1" applyAlignment="1">
      <alignment horizontal="center" vertical="top" wrapText="1"/>
    </xf>
    <xf numFmtId="184" fontId="36" fillId="15" borderId="7" xfId="0" applyNumberFormat="1" applyFont="1" applyFill="1" applyBorder="1" applyAlignment="1">
      <alignment vertical="top"/>
    </xf>
    <xf numFmtId="181" fontId="36" fillId="15" borderId="7" xfId="0" applyNumberFormat="1" applyFont="1" applyFill="1" applyBorder="1" applyAlignment="1">
      <alignment horizontal="center" vertical="top" wrapText="1"/>
    </xf>
    <xf numFmtId="14" fontId="36" fillId="15" borderId="7" xfId="0" applyNumberFormat="1" applyFont="1" applyFill="1" applyBorder="1" applyAlignment="1">
      <alignment horizontal="center" vertical="top" wrapText="1"/>
    </xf>
    <xf numFmtId="165" fontId="36" fillId="15" borderId="7" xfId="0" applyNumberFormat="1" applyFont="1" applyFill="1" applyBorder="1" applyAlignment="1">
      <alignment horizontal="center" vertical="top"/>
    </xf>
    <xf numFmtId="183" fontId="36" fillId="14" borderId="7" xfId="0" applyNumberFormat="1" applyFont="1" applyFill="1" applyBorder="1" applyAlignment="1">
      <alignment horizontal="center" vertical="top" wrapText="1"/>
    </xf>
    <xf numFmtId="1" fontId="36" fillId="14" borderId="7" xfId="0" applyNumberFormat="1" applyFont="1" applyFill="1" applyBorder="1" applyAlignment="1">
      <alignment horizontal="center" vertical="top" wrapText="1"/>
    </xf>
    <xf numFmtId="0" fontId="36" fillId="15" borderId="7" xfId="0" applyNumberFormat="1" applyFont="1" applyFill="1" applyBorder="1" applyAlignment="1">
      <alignment horizontal="center" vertical="top"/>
    </xf>
    <xf numFmtId="1" fontId="36" fillId="15" borderId="11" xfId="0" applyNumberFormat="1" applyFont="1" applyFill="1" applyBorder="1" applyAlignment="1">
      <alignment horizontal="center" vertical="top" wrapText="1"/>
    </xf>
    <xf numFmtId="1" fontId="39" fillId="15" borderId="7" xfId="0" applyNumberFormat="1" applyFont="1" applyFill="1" applyBorder="1" applyAlignment="1">
      <alignment horizontal="center" vertical="top" wrapText="1"/>
    </xf>
    <xf numFmtId="14" fontId="35" fillId="14" borderId="7" xfId="0" applyNumberFormat="1" applyFont="1" applyFill="1" applyBorder="1" applyAlignment="1">
      <alignment horizontal="center" vertical="top" wrapText="1"/>
    </xf>
    <xf numFmtId="166" fontId="35" fillId="14" borderId="7" xfId="0" applyNumberFormat="1" applyFont="1" applyFill="1" applyBorder="1" applyAlignment="1">
      <alignment horizontal="center" vertical="top" wrapText="1"/>
    </xf>
    <xf numFmtId="183" fontId="39" fillId="15" borderId="7" xfId="0" applyNumberFormat="1" applyFont="1" applyFill="1" applyBorder="1" applyAlignment="1">
      <alignment horizontal="center" vertical="top" wrapText="1"/>
    </xf>
    <xf numFmtId="0" fontId="35" fillId="14" borderId="7" xfId="0" applyNumberFormat="1" applyFont="1" applyFill="1" applyBorder="1" applyAlignment="1">
      <alignment horizontal="center" vertical="top" wrapText="1"/>
    </xf>
    <xf numFmtId="0" fontId="35" fillId="14" borderId="7" xfId="0" applyNumberFormat="1" applyFont="1" applyFill="1" applyBorder="1" applyAlignment="1">
      <alignment horizontal="center" vertical="top"/>
    </xf>
    <xf numFmtId="49" fontId="35" fillId="0" borderId="24" xfId="0" applyNumberFormat="1" applyFont="1" applyFill="1" applyBorder="1" applyAlignment="1">
      <alignment horizontal="center" vertical="top"/>
    </xf>
    <xf numFmtId="0" fontId="16" fillId="0" borderId="25" xfId="0" applyNumberFormat="1" applyFont="1" applyFill="1" applyBorder="1" applyAlignment="1" applyProtection="1">
      <alignment horizontal="center"/>
      <protection locked="0"/>
    </xf>
    <xf numFmtId="0" fontId="16" fillId="0" borderId="7" xfId="0" applyNumberFormat="1" applyFont="1" applyFill="1" applyBorder="1" applyAlignment="1" applyProtection="1">
      <alignment horizontal="center"/>
      <protection locked="0"/>
    </xf>
    <xf numFmtId="0" fontId="1" fillId="0" borderId="0" xfId="0" applyFont="1" applyFill="1" applyAlignment="1">
      <alignment horizontal="left"/>
    </xf>
    <xf numFmtId="49" fontId="33" fillId="0" borderId="24" xfId="0" applyNumberFormat="1" applyFont="1" applyBorder="1" applyAlignment="1">
      <alignment horizontal="left"/>
    </xf>
    <xf numFmtId="49" fontId="33" fillId="0" borderId="24" xfId="0" applyNumberFormat="1" applyFont="1" applyFill="1" applyBorder="1" applyAlignment="1">
      <alignment horizontal="left"/>
    </xf>
    <xf numFmtId="49" fontId="33" fillId="0" borderId="7" xfId="0" applyNumberFormat="1" applyFont="1" applyFill="1" applyBorder="1" applyAlignment="1">
      <alignment horizontal="left"/>
    </xf>
    <xf numFmtId="1" fontId="33" fillId="0" borderId="7" xfId="0" applyNumberFormat="1" applyFont="1" applyFill="1" applyBorder="1" applyAlignment="1">
      <alignment horizontal="left"/>
    </xf>
    <xf numFmtId="0" fontId="33" fillId="0" borderId="7" xfId="0" applyFont="1" applyFill="1" applyBorder="1" applyAlignment="1">
      <alignment horizontal="left"/>
    </xf>
    <xf numFmtId="49" fontId="1" fillId="0" borderId="3" xfId="0" applyNumberFormat="1" applyFont="1" applyFill="1" applyBorder="1" applyAlignment="1" applyProtection="1">
      <alignment horizontal="left"/>
    </xf>
    <xf numFmtId="0" fontId="1" fillId="0" borderId="3" xfId="0" applyFont="1" applyFill="1" applyBorder="1" applyAlignment="1" applyProtection="1">
      <alignment horizontal="left"/>
    </xf>
    <xf numFmtId="1" fontId="1" fillId="0" borderId="3" xfId="0" applyNumberFormat="1" applyFont="1" applyFill="1" applyBorder="1" applyAlignment="1" applyProtection="1">
      <alignment horizontal="left"/>
    </xf>
    <xf numFmtId="0" fontId="1" fillId="0" borderId="0" xfId="0" applyFont="1" applyFill="1" applyAlignment="1" applyProtection="1">
      <alignment horizontal="left"/>
    </xf>
    <xf numFmtId="49" fontId="43" fillId="0" borderId="0" xfId="0" applyNumberFormat="1" applyFont="1" applyFill="1" applyBorder="1" applyAlignment="1" applyProtection="1">
      <alignment horizontal="left"/>
      <protection locked="0"/>
    </xf>
    <xf numFmtId="0" fontId="43" fillId="0" borderId="0" xfId="0" applyFont="1" applyFill="1" applyBorder="1" applyAlignment="1" applyProtection="1">
      <alignment horizontal="left"/>
      <protection locked="0"/>
    </xf>
    <xf numFmtId="1" fontId="43" fillId="0" borderId="0" xfId="0" applyNumberFormat="1" applyFont="1" applyFill="1" applyBorder="1" applyAlignment="1" applyProtection="1">
      <alignment horizontal="left"/>
      <protection locked="0"/>
    </xf>
    <xf numFmtId="14"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horizontal="left"/>
      <protection locked="0"/>
    </xf>
    <xf numFmtId="0" fontId="1" fillId="0" borderId="0" xfId="0" applyFont="1" applyFill="1" applyBorder="1" applyAlignment="1" applyProtection="1">
      <alignment horizontal="left"/>
      <protection locked="0"/>
    </xf>
    <xf numFmtId="0" fontId="1" fillId="0" borderId="0" xfId="0" applyFont="1" applyFill="1" applyAlignment="1" applyProtection="1">
      <alignment horizontal="left"/>
      <protection locked="0"/>
    </xf>
    <xf numFmtId="49" fontId="34" fillId="0" borderId="0" xfId="0" applyNumberFormat="1" applyFont="1" applyFill="1" applyBorder="1" applyAlignment="1">
      <alignment horizontal="left"/>
    </xf>
    <xf numFmtId="0" fontId="34" fillId="0" borderId="0" xfId="0" applyFont="1" applyFill="1" applyBorder="1" applyAlignment="1">
      <alignment horizontal="left"/>
    </xf>
    <xf numFmtId="1" fontId="34" fillId="0" borderId="0" xfId="0" applyNumberFormat="1" applyFont="1" applyFill="1" applyBorder="1" applyAlignment="1">
      <alignment horizontal="left"/>
    </xf>
    <xf numFmtId="14" fontId="34" fillId="0" borderId="0" xfId="0" applyNumberFormat="1" applyFont="1" applyFill="1" applyBorder="1" applyAlignment="1">
      <alignment horizontal="left"/>
    </xf>
    <xf numFmtId="49" fontId="34" fillId="0" borderId="0" xfId="0" applyNumberFormat="1" applyFont="1" applyFill="1" applyBorder="1" applyAlignment="1" applyProtection="1">
      <alignment horizontal="left"/>
      <protection locked="0"/>
    </xf>
    <xf numFmtId="1" fontId="34" fillId="0" borderId="0" xfId="0" applyNumberFormat="1" applyFont="1" applyFill="1" applyBorder="1" applyAlignment="1" applyProtection="1">
      <alignment horizontal="left"/>
      <protection locked="0"/>
    </xf>
    <xf numFmtId="0" fontId="34" fillId="0" borderId="0" xfId="0" applyNumberFormat="1" applyFont="1" applyFill="1" applyBorder="1" applyAlignment="1">
      <alignment horizontal="left"/>
    </xf>
    <xf numFmtId="49" fontId="45" fillId="0" borderId="13" xfId="0" applyNumberFormat="1" applyFont="1" applyFill="1" applyBorder="1" applyAlignment="1">
      <alignment horizontal="left"/>
    </xf>
    <xf numFmtId="49" fontId="45" fillId="0" borderId="14" xfId="0" applyNumberFormat="1" applyFont="1" applyFill="1" applyBorder="1" applyAlignment="1">
      <alignment horizontal="left"/>
    </xf>
    <xf numFmtId="0" fontId="45" fillId="0" borderId="14" xfId="0" applyFont="1" applyFill="1" applyBorder="1" applyAlignment="1">
      <alignment horizontal="left"/>
    </xf>
    <xf numFmtId="1" fontId="45" fillId="0" borderId="14" xfId="0" applyNumberFormat="1" applyFont="1" applyFill="1" applyBorder="1" applyAlignment="1">
      <alignment horizontal="left"/>
    </xf>
    <xf numFmtId="14" fontId="34" fillId="0" borderId="14" xfId="0" applyNumberFormat="1" applyFont="1" applyFill="1" applyBorder="1" applyAlignment="1">
      <alignment horizontal="left"/>
    </xf>
    <xf numFmtId="49" fontId="34" fillId="0" borderId="15" xfId="0" applyNumberFormat="1" applyFont="1" applyFill="1" applyBorder="1" applyAlignment="1">
      <alignment horizontal="left"/>
    </xf>
    <xf numFmtId="49" fontId="45" fillId="0" borderId="16" xfId="0" applyNumberFormat="1" applyFont="1" applyFill="1" applyBorder="1" applyAlignment="1">
      <alignment horizontal="left"/>
    </xf>
    <xf numFmtId="49" fontId="45" fillId="0" borderId="17" xfId="0" applyNumberFormat="1" applyFont="1" applyFill="1" applyBorder="1" applyAlignment="1">
      <alignment horizontal="left"/>
    </xf>
    <xf numFmtId="49" fontId="45" fillId="0" borderId="17" xfId="0" quotePrefix="1" applyNumberFormat="1" applyFont="1" applyFill="1" applyBorder="1" applyAlignment="1">
      <alignment horizontal="left"/>
    </xf>
    <xf numFmtId="0" fontId="45" fillId="0" borderId="17" xfId="0" applyFont="1" applyFill="1" applyBorder="1" applyAlignment="1">
      <alignment horizontal="left"/>
    </xf>
    <xf numFmtId="1" fontId="45" fillId="0" borderId="17" xfId="0" applyNumberFormat="1" applyFont="1" applyFill="1" applyBorder="1" applyAlignment="1">
      <alignment horizontal="left"/>
    </xf>
    <xf numFmtId="14" fontId="34" fillId="0" borderId="17" xfId="0" applyNumberFormat="1" applyFont="1" applyFill="1" applyBorder="1" applyAlignment="1">
      <alignment horizontal="left"/>
    </xf>
    <xf numFmtId="49" fontId="33" fillId="0" borderId="13" xfId="0" applyNumberFormat="1" applyFont="1" applyFill="1" applyBorder="1" applyAlignment="1">
      <alignment horizontal="left"/>
    </xf>
    <xf numFmtId="49" fontId="33" fillId="0" borderId="14" xfId="0" applyNumberFormat="1" applyFont="1" applyFill="1" applyBorder="1" applyAlignment="1">
      <alignment horizontal="left"/>
    </xf>
    <xf numFmtId="0" fontId="33" fillId="0" borderId="14" xfId="0" applyFont="1" applyFill="1" applyBorder="1" applyAlignment="1">
      <alignment horizontal="left"/>
    </xf>
    <xf numFmtId="14" fontId="33" fillId="0" borderId="14" xfId="0" applyNumberFormat="1" applyFont="1" applyFill="1" applyBorder="1" applyAlignment="1">
      <alignment horizontal="left"/>
    </xf>
    <xf numFmtId="0" fontId="33" fillId="0" borderId="14" xfId="0" applyNumberFormat="1" applyFont="1" applyFill="1" applyBorder="1" applyAlignment="1">
      <alignment horizontal="left"/>
    </xf>
    <xf numFmtId="164" fontId="33" fillId="0" borderId="14" xfId="0" applyNumberFormat="1" applyFont="1" applyFill="1" applyBorder="1" applyAlignment="1">
      <alignment horizontal="left"/>
    </xf>
    <xf numFmtId="1" fontId="33" fillId="0" borderId="14" xfId="0" applyNumberFormat="1" applyFont="1" applyFill="1" applyBorder="1" applyAlignment="1">
      <alignment horizontal="left"/>
    </xf>
    <xf numFmtId="14" fontId="40" fillId="0" borderId="14" xfId="0" applyNumberFormat="1" applyFont="1" applyFill="1" applyBorder="1" applyAlignment="1">
      <alignment horizontal="left"/>
    </xf>
    <xf numFmtId="182" fontId="33" fillId="0" borderId="14" xfId="0" applyNumberFormat="1" applyFont="1" applyFill="1" applyBorder="1" applyAlignment="1">
      <alignment horizontal="left"/>
    </xf>
    <xf numFmtId="181" fontId="33" fillId="0" borderId="14" xfId="0" applyNumberFormat="1" applyFont="1" applyFill="1" applyBorder="1" applyAlignment="1">
      <alignment horizontal="left"/>
    </xf>
    <xf numFmtId="14" fontId="33" fillId="0" borderId="13" xfId="0" applyNumberFormat="1" applyFont="1" applyFill="1" applyBorder="1" applyAlignment="1">
      <alignment horizontal="left"/>
    </xf>
    <xf numFmtId="171" fontId="33" fillId="0" borderId="14" xfId="0" applyNumberFormat="1" applyFont="1" applyFill="1" applyBorder="1" applyAlignment="1">
      <alignment horizontal="left"/>
    </xf>
    <xf numFmtId="49" fontId="33" fillId="0" borderId="14" xfId="0" quotePrefix="1" applyNumberFormat="1" applyFont="1" applyFill="1" applyBorder="1" applyAlignment="1">
      <alignment horizontal="left"/>
    </xf>
    <xf numFmtId="14" fontId="33" fillId="0" borderId="18" xfId="0" applyNumberFormat="1" applyFont="1" applyFill="1" applyBorder="1" applyAlignment="1">
      <alignment horizontal="left"/>
    </xf>
    <xf numFmtId="0" fontId="33" fillId="0" borderId="19" xfId="0" applyNumberFormat="1" applyFont="1" applyFill="1" applyBorder="1" applyAlignment="1">
      <alignment horizontal="left"/>
    </xf>
    <xf numFmtId="49" fontId="33" fillId="0" borderId="16" xfId="0" applyNumberFormat="1" applyFont="1" applyFill="1" applyBorder="1" applyAlignment="1">
      <alignment horizontal="left"/>
    </xf>
    <xf numFmtId="49" fontId="33" fillId="0" borderId="17" xfId="0" applyNumberFormat="1" applyFont="1" applyFill="1" applyBorder="1" applyAlignment="1">
      <alignment horizontal="left"/>
    </xf>
    <xf numFmtId="1" fontId="33" fillId="0" borderId="17" xfId="0" applyNumberFormat="1" applyFont="1" applyFill="1" applyBorder="1" applyAlignment="1">
      <alignment horizontal="left"/>
    </xf>
    <xf numFmtId="171" fontId="33" fillId="0" borderId="17" xfId="0" applyNumberFormat="1" applyFont="1" applyFill="1" applyBorder="1" applyAlignment="1">
      <alignment horizontal="left"/>
    </xf>
    <xf numFmtId="0" fontId="33" fillId="0" borderId="17" xfId="0" applyFont="1" applyFill="1" applyBorder="1" applyAlignment="1">
      <alignment horizontal="left"/>
    </xf>
    <xf numFmtId="14" fontId="33" fillId="0" borderId="17" xfId="0" applyNumberFormat="1" applyFont="1" applyFill="1" applyBorder="1" applyAlignment="1">
      <alignment horizontal="left"/>
    </xf>
    <xf numFmtId="14" fontId="33" fillId="0" borderId="20" xfId="0" applyNumberFormat="1" applyFont="1" applyFill="1" applyBorder="1" applyAlignment="1">
      <alignment horizontal="left"/>
    </xf>
    <xf numFmtId="0" fontId="33" fillId="0" borderId="21" xfId="0" applyNumberFormat="1" applyFont="1" applyFill="1" applyBorder="1" applyAlignment="1">
      <alignment horizontal="left"/>
    </xf>
    <xf numFmtId="164" fontId="33" fillId="0" borderId="17" xfId="0" applyNumberFormat="1" applyFont="1" applyFill="1" applyBorder="1" applyAlignment="1">
      <alignment horizontal="left"/>
    </xf>
    <xf numFmtId="182" fontId="33" fillId="0" borderId="17" xfId="0" applyNumberFormat="1" applyFont="1" applyFill="1" applyBorder="1" applyAlignment="1">
      <alignment horizontal="left"/>
    </xf>
    <xf numFmtId="181" fontId="33" fillId="0" borderId="17" xfId="0" applyNumberFormat="1" applyFont="1" applyFill="1" applyBorder="1" applyAlignment="1">
      <alignment horizontal="left"/>
    </xf>
    <xf numFmtId="0" fontId="33" fillId="0" borderId="17" xfId="0" applyNumberFormat="1" applyFont="1" applyFill="1" applyBorder="1" applyAlignment="1">
      <alignment horizontal="left"/>
    </xf>
    <xf numFmtId="49" fontId="33" fillId="0" borderId="9" xfId="0" applyNumberFormat="1" applyFont="1" applyFill="1" applyBorder="1" applyAlignment="1">
      <alignment horizontal="left"/>
    </xf>
    <xf numFmtId="49" fontId="33" fillId="0" borderId="0" xfId="0" applyNumberFormat="1" applyFont="1" applyFill="1" applyBorder="1" applyAlignment="1">
      <alignment horizontal="left"/>
    </xf>
    <xf numFmtId="0" fontId="33" fillId="0" borderId="0" xfId="0" applyFont="1" applyFill="1" applyBorder="1" applyAlignment="1">
      <alignment horizontal="left"/>
    </xf>
    <xf numFmtId="14" fontId="33" fillId="0" borderId="0" xfId="0" applyNumberFormat="1" applyFont="1" applyFill="1" applyBorder="1" applyAlignment="1">
      <alignment horizontal="left"/>
    </xf>
    <xf numFmtId="164" fontId="33" fillId="0" borderId="0" xfId="0" applyNumberFormat="1" applyFont="1" applyFill="1" applyBorder="1" applyAlignment="1">
      <alignment horizontal="left"/>
    </xf>
    <xf numFmtId="182" fontId="33" fillId="0" borderId="0" xfId="0" applyNumberFormat="1" applyFont="1" applyFill="1" applyBorder="1" applyAlignment="1">
      <alignment horizontal="left"/>
    </xf>
    <xf numFmtId="1" fontId="33" fillId="0" borderId="0" xfId="0" applyNumberFormat="1" applyFont="1" applyFill="1" applyBorder="1" applyAlignment="1">
      <alignment horizontal="left"/>
    </xf>
    <xf numFmtId="14" fontId="33" fillId="0" borderId="22" xfId="0" applyNumberFormat="1" applyFont="1" applyFill="1" applyBorder="1" applyAlignment="1">
      <alignment horizontal="left"/>
    </xf>
    <xf numFmtId="0" fontId="33" fillId="0" borderId="23" xfId="0" applyNumberFormat="1" applyFont="1" applyFill="1" applyBorder="1" applyAlignment="1">
      <alignment horizontal="left"/>
    </xf>
    <xf numFmtId="182" fontId="33" fillId="0" borderId="0" xfId="0" applyNumberFormat="1" applyFont="1" applyFill="1" applyBorder="1" applyAlignment="1" applyProtection="1">
      <alignment horizontal="left"/>
      <protection locked="0"/>
    </xf>
    <xf numFmtId="49" fontId="33" fillId="0" borderId="7" xfId="0" applyNumberFormat="1" applyFont="1" applyBorder="1" applyAlignment="1">
      <alignment horizontal="left"/>
    </xf>
    <xf numFmtId="1" fontId="33" fillId="0" borderId="7" xfId="0" applyNumberFormat="1" applyFont="1" applyBorder="1" applyAlignment="1">
      <alignment horizontal="left"/>
    </xf>
    <xf numFmtId="14" fontId="33" fillId="0" borderId="7" xfId="0" applyNumberFormat="1" applyFont="1" applyBorder="1" applyAlignment="1">
      <alignment horizontal="left"/>
    </xf>
    <xf numFmtId="0" fontId="33" fillId="0" borderId="7" xfId="0" applyFont="1" applyBorder="1" applyAlignment="1">
      <alignment horizontal="left"/>
    </xf>
    <xf numFmtId="14" fontId="33" fillId="0" borderId="7" xfId="0" applyNumberFormat="1" applyFont="1" applyFill="1" applyBorder="1" applyAlignment="1">
      <alignment horizontal="left"/>
    </xf>
    <xf numFmtId="166" fontId="33" fillId="0" borderId="7" xfId="0" applyNumberFormat="1" applyFont="1" applyFill="1" applyBorder="1" applyAlignment="1">
      <alignment horizontal="left"/>
    </xf>
    <xf numFmtId="0" fontId="33" fillId="0" borderId="7" xfId="0" applyNumberFormat="1" applyFont="1" applyFill="1" applyBorder="1" applyAlignment="1">
      <alignment horizontal="left"/>
    </xf>
    <xf numFmtId="164" fontId="33" fillId="0" borderId="7" xfId="0" applyNumberFormat="1" applyFont="1" applyBorder="1" applyAlignment="1">
      <alignment horizontal="left"/>
    </xf>
    <xf numFmtId="0" fontId="33" fillId="0" borderId="7" xfId="0" applyNumberFormat="1" applyFont="1" applyBorder="1" applyAlignment="1">
      <alignment horizontal="left"/>
    </xf>
    <xf numFmtId="0" fontId="33" fillId="16" borderId="7" xfId="0" applyNumberFormat="1" applyFont="1" applyFill="1" applyBorder="1" applyAlignment="1">
      <alignment horizontal="left"/>
    </xf>
    <xf numFmtId="164" fontId="33" fillId="16" borderId="7" xfId="0" applyNumberFormat="1" applyFont="1" applyFill="1" applyBorder="1" applyAlignment="1">
      <alignment horizontal="left"/>
    </xf>
    <xf numFmtId="14" fontId="33" fillId="0" borderId="7" xfId="0" applyNumberFormat="1" applyFont="1" applyFill="1" applyBorder="1" applyAlignment="1">
      <alignment horizontal="left" shrinkToFit="1"/>
    </xf>
    <xf numFmtId="14" fontId="43" fillId="0" borderId="0" xfId="0" applyNumberFormat="1" applyFont="1" applyFill="1" applyBorder="1" applyAlignment="1" applyProtection="1">
      <alignment horizontal="left"/>
      <protection locked="0"/>
    </xf>
    <xf numFmtId="183" fontId="33" fillId="0" borderId="14" xfId="0" applyNumberFormat="1" applyFont="1" applyFill="1" applyBorder="1" applyAlignment="1">
      <alignment horizontal="left"/>
    </xf>
    <xf numFmtId="183" fontId="33" fillId="0" borderId="17" xfId="0" applyNumberFormat="1" applyFont="1" applyFill="1" applyBorder="1" applyAlignment="1">
      <alignment horizontal="left"/>
    </xf>
    <xf numFmtId="14" fontId="33" fillId="0" borderId="7" xfId="0" applyNumberFormat="1" applyFont="1" applyFill="1" applyBorder="1" applyAlignment="1">
      <alignment vertical="top" wrapText="1" shrinkToFit="1"/>
    </xf>
    <xf numFmtId="14" fontId="35" fillId="0" borderId="7" xfId="0" applyNumberFormat="1" applyFont="1" applyFill="1" applyBorder="1" applyAlignment="1">
      <alignment horizontal="center" vertical="top" wrapText="1"/>
    </xf>
    <xf numFmtId="0" fontId="19" fillId="0" borderId="0" xfId="0" applyFont="1" applyAlignment="1" applyProtection="1">
      <alignment horizontal="center" textRotation="90" wrapText="1"/>
    </xf>
    <xf numFmtId="0" fontId="0" fillId="0" borderId="0" xfId="0" applyAlignment="1"/>
    <xf numFmtId="49" fontId="33" fillId="17" borderId="7" xfId="0" applyNumberFormat="1" applyFont="1" applyFill="1" applyBorder="1" applyAlignment="1">
      <alignment horizontal="center" vertical="top" wrapText="1"/>
    </xf>
    <xf numFmtId="49" fontId="33" fillId="17" borderId="25" xfId="0" applyNumberFormat="1" applyFont="1" applyFill="1" applyBorder="1" applyAlignment="1">
      <alignment horizontal="center" vertical="top" wrapText="1"/>
    </xf>
    <xf numFmtId="0" fontId="33" fillId="17" borderId="7" xfId="0" applyNumberFormat="1" applyFont="1" applyFill="1" applyBorder="1" applyAlignment="1">
      <alignment horizontal="center" vertical="top" wrapText="1"/>
    </xf>
    <xf numFmtId="0" fontId="33" fillId="17" borderId="25" xfId="0" applyNumberFormat="1" applyFont="1" applyFill="1" applyBorder="1" applyAlignment="1">
      <alignment horizontal="center" vertical="top" wrapText="1"/>
    </xf>
    <xf numFmtId="14" fontId="35" fillId="14" borderId="12" xfId="0" applyNumberFormat="1" applyFont="1" applyFill="1" applyBorder="1" applyAlignment="1">
      <alignment horizontal="center" vertical="top" wrapText="1"/>
    </xf>
    <xf numFmtId="166" fontId="35" fillId="14" borderId="12" xfId="0" applyNumberFormat="1" applyFont="1" applyFill="1" applyBorder="1" applyAlignment="1">
      <alignment horizontal="center" vertical="top" wrapText="1"/>
    </xf>
    <xf numFmtId="0" fontId="35" fillId="14" borderId="12" xfId="0" applyNumberFormat="1" applyFont="1" applyFill="1" applyBorder="1" applyAlignment="1">
      <alignment horizontal="center" vertical="top" wrapText="1"/>
    </xf>
    <xf numFmtId="49" fontId="35" fillId="0" borderId="7" xfId="0" applyNumberFormat="1" applyFont="1" applyFill="1" applyBorder="1" applyAlignment="1">
      <alignment horizontal="center" vertical="top" wrapText="1"/>
    </xf>
    <xf numFmtId="0" fontId="35" fillId="0" borderId="7" xfId="0" applyFont="1" applyFill="1" applyBorder="1" applyAlignment="1">
      <alignment horizontal="center" vertical="top"/>
    </xf>
    <xf numFmtId="0" fontId="35" fillId="0" borderId="7" xfId="0" applyFont="1" applyFill="1" applyBorder="1" applyAlignment="1">
      <alignment horizontal="center" vertical="top" wrapText="1"/>
    </xf>
    <xf numFmtId="1" fontId="35" fillId="0" borderId="7" xfId="0" applyNumberFormat="1" applyFont="1" applyFill="1" applyBorder="1" applyAlignment="1">
      <alignment horizontal="center" vertical="top" wrapText="1"/>
    </xf>
    <xf numFmtId="1" fontId="41" fillId="0" borderId="7" xfId="0" applyNumberFormat="1" applyFont="1" applyFill="1" applyBorder="1" applyAlignment="1">
      <alignment horizontal="center" vertical="top" wrapText="1"/>
    </xf>
    <xf numFmtId="49" fontId="33" fillId="0" borderId="7" xfId="0" applyNumberFormat="1" applyFont="1" applyFill="1" applyBorder="1" applyAlignment="1">
      <alignment horizontal="center" vertical="top" wrapText="1"/>
    </xf>
    <xf numFmtId="49" fontId="35" fillId="0" borderId="7" xfId="0" applyNumberFormat="1" applyFont="1" applyFill="1" applyBorder="1" applyAlignment="1">
      <alignment horizontal="center" vertical="top"/>
    </xf>
    <xf numFmtId="1" fontId="35" fillId="0" borderId="7" xfId="0" applyNumberFormat="1" applyFont="1" applyFill="1" applyBorder="1" applyAlignment="1">
      <alignment horizontal="center" vertical="top"/>
    </xf>
    <xf numFmtId="164" fontId="35" fillId="0" borderId="7" xfId="0" applyNumberFormat="1" applyFont="1" applyFill="1" applyBorder="1" applyAlignment="1">
      <alignment horizontal="center" vertical="top" wrapText="1"/>
    </xf>
    <xf numFmtId="14" fontId="33" fillId="0" borderId="7" xfId="0" applyNumberFormat="1" applyFont="1" applyFill="1" applyBorder="1" applyAlignment="1">
      <alignment vertical="top" wrapText="1"/>
    </xf>
    <xf numFmtId="1" fontId="41" fillId="0" borderId="24" xfId="0" applyNumberFormat="1" applyFont="1" applyFill="1" applyBorder="1" applyAlignment="1">
      <alignment horizontal="center" vertical="top" wrapText="1"/>
    </xf>
    <xf numFmtId="0" fontId="33" fillId="0" borderId="7" xfId="0" applyNumberFormat="1" applyFont="1" applyFill="1" applyBorder="1" applyAlignment="1">
      <alignment horizontal="center" vertical="top" wrapText="1"/>
    </xf>
    <xf numFmtId="14" fontId="35" fillId="0" borderId="7" xfId="0" applyNumberFormat="1" applyFont="1" applyFill="1" applyBorder="1" applyAlignment="1">
      <alignment vertical="top" wrapText="1"/>
    </xf>
    <xf numFmtId="0" fontId="34" fillId="0" borderId="7" xfId="0" applyFont="1" applyFill="1" applyBorder="1" applyAlignment="1">
      <alignment horizontal="left" vertical="top" wrapText="1"/>
    </xf>
    <xf numFmtId="0" fontId="34" fillId="0" borderId="7" xfId="0" applyFont="1" applyFill="1" applyBorder="1" applyAlignment="1">
      <alignment vertical="top" wrapText="1"/>
    </xf>
    <xf numFmtId="0" fontId="33" fillId="0" borderId="7" xfId="0" applyFont="1" applyFill="1" applyBorder="1" applyAlignment="1">
      <alignment horizontal="left" vertical="top" wrapText="1"/>
    </xf>
    <xf numFmtId="14" fontId="22" fillId="0" borderId="7" xfId="0" applyNumberFormat="1" applyFont="1" applyFill="1" applyBorder="1" applyAlignment="1">
      <alignment vertical="top" wrapText="1"/>
    </xf>
    <xf numFmtId="14" fontId="33" fillId="0" borderId="7" xfId="0" applyNumberFormat="1" applyFont="1" applyFill="1" applyBorder="1" applyAlignment="1">
      <alignment horizontal="left" vertical="top" wrapText="1"/>
    </xf>
    <xf numFmtId="14" fontId="37" fillId="0" borderId="7" xfId="0" applyNumberFormat="1" applyFont="1" applyFill="1" applyBorder="1" applyAlignment="1">
      <alignment vertical="top" wrapText="1"/>
    </xf>
    <xf numFmtId="0" fontId="33" fillId="0" borderId="7" xfId="0" applyFont="1" applyFill="1" applyBorder="1" applyAlignment="1">
      <alignment horizontal="center" vertical="top" wrapText="1"/>
    </xf>
    <xf numFmtId="167" fontId="35" fillId="0" borderId="7" xfId="0" applyNumberFormat="1" applyFont="1" applyFill="1" applyBorder="1" applyAlignment="1">
      <alignment horizontal="center" vertical="top" wrapText="1"/>
    </xf>
    <xf numFmtId="49" fontId="35" fillId="0" borderId="30" xfId="0" applyNumberFormat="1" applyFont="1" applyFill="1" applyBorder="1" applyAlignment="1">
      <alignment horizontal="center" vertical="top" wrapText="1"/>
    </xf>
    <xf numFmtId="14" fontId="35" fillId="0" borderId="30" xfId="0" applyNumberFormat="1" applyFont="1" applyFill="1" applyBorder="1" applyAlignment="1">
      <alignment horizontal="center" vertical="top" wrapText="1"/>
    </xf>
    <xf numFmtId="1" fontId="41" fillId="0" borderId="30" xfId="0" applyNumberFormat="1" applyFont="1" applyFill="1" applyBorder="1" applyAlignment="1">
      <alignment horizontal="center" vertical="top" wrapText="1"/>
    </xf>
    <xf numFmtId="49" fontId="35" fillId="0" borderId="27" xfId="0" applyNumberFormat="1" applyFont="1" applyFill="1" applyBorder="1" applyAlignment="1">
      <alignment horizontal="center" vertical="top" wrapText="1"/>
    </xf>
    <xf numFmtId="14" fontId="35" fillId="0" borderId="27" xfId="0" applyNumberFormat="1" applyFont="1" applyFill="1" applyBorder="1" applyAlignment="1">
      <alignment horizontal="center" vertical="top" wrapText="1"/>
    </xf>
    <xf numFmtId="1" fontId="41" fillId="0" borderId="27" xfId="0" applyNumberFormat="1" applyFont="1" applyFill="1" applyBorder="1" applyAlignment="1">
      <alignment horizontal="center" vertical="top" wrapText="1"/>
    </xf>
    <xf numFmtId="0" fontId="15" fillId="0" borderId="0" xfId="0" applyFont="1" applyFill="1" applyBorder="1" applyAlignment="1" applyProtection="1">
      <alignment horizontal="center" wrapText="1"/>
    </xf>
    <xf numFmtId="0" fontId="15" fillId="0" borderId="0" xfId="0" applyNumberFormat="1" applyFont="1" applyFill="1" applyBorder="1" applyAlignment="1" applyProtection="1">
      <alignment horizontal="center" vertical="center" wrapText="1"/>
    </xf>
    <xf numFmtId="0" fontId="23" fillId="14" borderId="7" xfId="0" applyFont="1" applyFill="1" applyBorder="1" applyProtection="1">
      <protection locked="0"/>
    </xf>
    <xf numFmtId="0" fontId="0" fillId="0" borderId="0" xfId="0" applyAlignment="1">
      <alignment wrapText="1"/>
    </xf>
    <xf numFmtId="14" fontId="35" fillId="14" borderId="24" xfId="0" applyNumberFormat="1" applyFont="1" applyFill="1" applyBorder="1" applyAlignment="1">
      <alignment horizontal="center" vertical="top" wrapText="1"/>
    </xf>
    <xf numFmtId="49" fontId="1" fillId="0" borderId="3" xfId="0" applyNumberFormat="1" applyFont="1" applyBorder="1" applyAlignment="1" applyProtection="1">
      <alignment horizontal="center"/>
    </xf>
    <xf numFmtId="0" fontId="0" fillId="0" borderId="3" xfId="0" applyNumberFormat="1" applyBorder="1" applyAlignment="1" applyProtection="1">
      <alignment horizontal="center"/>
    </xf>
    <xf numFmtId="168" fontId="15" fillId="14" borderId="4" xfId="0" applyNumberFormat="1" applyFont="1" applyFill="1" applyBorder="1" applyAlignment="1" applyProtection="1">
      <alignment horizontal="center" vertical="center"/>
    </xf>
    <xf numFmtId="0" fontId="16" fillId="0" borderId="0" xfId="0" applyFont="1" applyAlignment="1" applyProtection="1">
      <alignment vertical="center"/>
    </xf>
    <xf numFmtId="0" fontId="16" fillId="0" borderId="0" xfId="0" applyFont="1" applyAlignment="1" applyProtection="1">
      <alignment vertical="center" wrapText="1"/>
    </xf>
    <xf numFmtId="0" fontId="18" fillId="0" borderId="0" xfId="0" applyNumberFormat="1" applyFont="1" applyBorder="1" applyAlignment="1" applyProtection="1">
      <alignment horizontal="left" vertical="center"/>
    </xf>
    <xf numFmtId="0" fontId="19" fillId="0" borderId="0" xfId="0" applyFont="1" applyAlignment="1" applyProtection="1">
      <alignment horizontal="center" vertical="center" wrapText="1"/>
    </xf>
    <xf numFmtId="166" fontId="0" fillId="0" borderId="0" xfId="0" applyNumberFormat="1" applyAlignment="1">
      <alignment vertical="center"/>
    </xf>
    <xf numFmtId="0" fontId="15" fillId="0" borderId="0" xfId="0" applyFont="1" applyBorder="1" applyAlignment="1" applyProtection="1">
      <alignment horizontal="center" vertical="center" wrapText="1"/>
    </xf>
    <xf numFmtId="164" fontId="15" fillId="0" borderId="0" xfId="0" applyNumberFormat="1" applyFont="1" applyAlignment="1" applyProtection="1">
      <alignment horizontal="center" vertical="center" wrapText="1"/>
    </xf>
    <xf numFmtId="0" fontId="16" fillId="0" borderId="0" xfId="0" applyNumberFormat="1" applyFont="1" applyAlignment="1" applyProtection="1">
      <alignment horizontal="center" vertical="center" wrapText="1"/>
    </xf>
    <xf numFmtId="0" fontId="16" fillId="0" borderId="0" xfId="0" applyNumberFormat="1" applyFont="1" applyAlignment="1" applyProtection="1">
      <alignment horizontal="center" vertical="center"/>
    </xf>
    <xf numFmtId="0" fontId="23" fillId="0" borderId="0" xfId="0" applyFont="1" applyAlignment="1" applyProtection="1">
      <alignment vertical="center"/>
    </xf>
    <xf numFmtId="181" fontId="27" fillId="0" borderId="0" xfId="0" applyNumberFormat="1" applyFont="1" applyAlignment="1">
      <alignment vertical="center"/>
    </xf>
    <xf numFmtId="0" fontId="27" fillId="0" borderId="0" xfId="0" applyNumberFormat="1" applyFont="1" applyAlignment="1">
      <alignment vertical="center"/>
    </xf>
    <xf numFmtId="0" fontId="23" fillId="0" borderId="0" xfId="0" applyFont="1" applyBorder="1" applyAlignment="1" applyProtection="1">
      <alignment horizontal="center" vertical="center" wrapText="1"/>
    </xf>
    <xf numFmtId="166" fontId="35" fillId="0" borderId="7" xfId="0" applyNumberFormat="1" applyFont="1" applyFill="1" applyBorder="1" applyAlignment="1">
      <alignment horizontal="center" vertical="top" wrapText="1"/>
    </xf>
    <xf numFmtId="0" fontId="16" fillId="0" borderId="7" xfId="0" applyFont="1" applyFill="1" applyBorder="1" applyProtection="1">
      <protection locked="0"/>
    </xf>
    <xf numFmtId="1" fontId="41" fillId="0" borderId="0" xfId="0" applyNumberFormat="1" applyFont="1" applyFill="1" applyBorder="1" applyAlignment="1">
      <alignment horizontal="center" vertical="top" wrapText="1"/>
    </xf>
    <xf numFmtId="49" fontId="20" fillId="0" borderId="7" xfId="0" applyNumberFormat="1" applyFont="1" applyFill="1" applyBorder="1" applyAlignment="1">
      <alignment horizontal="center" vertical="top" wrapText="1"/>
    </xf>
    <xf numFmtId="1" fontId="35" fillId="0" borderId="27" xfId="0" applyNumberFormat="1" applyFont="1" applyFill="1" applyBorder="1" applyAlignment="1">
      <alignment horizontal="center" vertical="top" wrapText="1"/>
    </xf>
    <xf numFmtId="0" fontId="19" fillId="0" borderId="7" xfId="0" applyFont="1" applyFill="1" applyBorder="1" applyAlignment="1" applyProtection="1">
      <alignment horizontal="center"/>
      <protection locked="0"/>
    </xf>
    <xf numFmtId="0" fontId="16" fillId="0" borderId="25" xfId="0" applyNumberFormat="1" applyFont="1" applyBorder="1" applyAlignment="1" applyProtection="1">
      <alignment horizontal="center"/>
      <protection locked="0"/>
    </xf>
    <xf numFmtId="0" fontId="16" fillId="0" borderId="7" xfId="0" applyNumberFormat="1" applyFont="1" applyBorder="1" applyAlignment="1" applyProtection="1">
      <alignment horizontal="center"/>
      <protection locked="0"/>
    </xf>
    <xf numFmtId="49" fontId="16" fillId="0" borderId="0" xfId="0" applyNumberFormat="1" applyFont="1" applyFill="1" applyProtection="1">
      <protection locked="0"/>
    </xf>
    <xf numFmtId="49" fontId="35" fillId="8" borderId="7" xfId="0" applyNumberFormat="1" applyFont="1" applyFill="1" applyBorder="1" applyAlignment="1">
      <alignment horizontal="center" vertical="top" wrapText="1"/>
    </xf>
    <xf numFmtId="0" fontId="18" fillId="0" borderId="0" xfId="0" applyFont="1" applyBorder="1" applyAlignment="1" applyProtection="1">
      <alignment horizontal="center" textRotation="90" wrapText="1"/>
    </xf>
    <xf numFmtId="0" fontId="19" fillId="0" borderId="0" xfId="0" applyFont="1" applyAlignment="1" applyProtection="1">
      <alignment horizontal="center" textRotation="90" wrapText="1"/>
    </xf>
    <xf numFmtId="1" fontId="41" fillId="0" borderId="28" xfId="0" applyNumberFormat="1" applyFont="1" applyFill="1" applyBorder="1" applyAlignment="1">
      <alignment horizontal="center" vertical="top" wrapText="1"/>
    </xf>
    <xf numFmtId="14" fontId="36" fillId="14" borderId="7" xfId="0" applyNumberFormat="1" applyFont="1" applyFill="1" applyBorder="1" applyAlignment="1" applyProtection="1">
      <alignment horizontal="center" vertical="top" wrapText="1"/>
      <protection locked="0"/>
    </xf>
    <xf numFmtId="164" fontId="35" fillId="0" borderId="0" xfId="0" applyNumberFormat="1" applyFont="1" applyFill="1" applyBorder="1" applyAlignment="1">
      <alignment horizontal="center" vertical="top" wrapText="1"/>
    </xf>
    <xf numFmtId="1" fontId="41" fillId="0" borderId="26" xfId="0" applyNumberFormat="1" applyFont="1" applyFill="1" applyBorder="1" applyAlignment="1">
      <alignment horizontal="center" vertical="top" wrapText="1"/>
    </xf>
    <xf numFmtId="0" fontId="16" fillId="0" borderId="7" xfId="0" applyFont="1" applyFill="1" applyBorder="1" applyAlignment="1" applyProtection="1">
      <alignment horizontal="center" wrapText="1"/>
      <protection locked="0"/>
    </xf>
    <xf numFmtId="0" fontId="16" fillId="0" borderId="7" xfId="0" applyNumberFormat="1" applyFont="1" applyFill="1" applyBorder="1" applyAlignment="1" applyProtection="1">
      <alignment horizontal="center" wrapText="1"/>
      <protection locked="0"/>
    </xf>
    <xf numFmtId="0" fontId="23" fillId="0" borderId="7" xfId="0" applyFont="1" applyBorder="1" applyProtection="1">
      <protection locked="0"/>
    </xf>
    <xf numFmtId="181" fontId="23" fillId="0" borderId="7" xfId="0" applyNumberFormat="1" applyFont="1" applyBorder="1" applyAlignment="1" applyProtection="1">
      <alignment horizontal="center" shrinkToFit="1"/>
      <protection locked="0"/>
    </xf>
    <xf numFmtId="183" fontId="36" fillId="15" borderId="0" xfId="0" applyNumberFormat="1" applyFont="1" applyFill="1" applyBorder="1" applyAlignment="1">
      <alignment horizontal="center" vertical="top" wrapText="1"/>
    </xf>
    <xf numFmtId="0" fontId="23" fillId="0" borderId="7" xfId="0" applyFont="1" applyBorder="1" applyAlignment="1" applyProtection="1">
      <alignment vertical="top"/>
      <protection locked="0"/>
    </xf>
    <xf numFmtId="184" fontId="36" fillId="15" borderId="0" xfId="0" applyNumberFormat="1" applyFont="1" applyFill="1" applyBorder="1" applyAlignment="1">
      <alignment vertical="top"/>
    </xf>
    <xf numFmtId="181" fontId="36" fillId="15" borderId="0" xfId="0" applyNumberFormat="1" applyFont="1" applyFill="1" applyBorder="1" applyAlignment="1">
      <alignment horizontal="center" vertical="top" wrapText="1"/>
    </xf>
    <xf numFmtId="0" fontId="23" fillId="0" borderId="7" xfId="0" applyFont="1" applyBorder="1" applyAlignment="1" applyProtection="1">
      <alignment horizontal="center" vertical="top"/>
      <protection locked="0"/>
    </xf>
    <xf numFmtId="165" fontId="36" fillId="15" borderId="0" xfId="0" applyNumberFormat="1" applyFont="1" applyFill="1" applyBorder="1" applyAlignment="1">
      <alignment horizontal="center" vertical="top"/>
    </xf>
    <xf numFmtId="0" fontId="36" fillId="15" borderId="0" xfId="0" applyNumberFormat="1" applyFont="1" applyFill="1" applyBorder="1" applyAlignment="1">
      <alignment horizontal="center" vertical="top"/>
    </xf>
    <xf numFmtId="0" fontId="23" fillId="0" borderId="7" xfId="0" applyFont="1" applyBorder="1" applyAlignment="1" applyProtection="1">
      <alignment horizontal="center"/>
      <protection locked="0"/>
    </xf>
    <xf numFmtId="1" fontId="36" fillId="15" borderId="0" xfId="0" applyNumberFormat="1" applyFont="1" applyFill="1" applyBorder="1" applyAlignment="1">
      <alignment horizontal="center" vertical="top" wrapText="1"/>
    </xf>
    <xf numFmtId="0" fontId="23" fillId="0" borderId="11" xfId="0" applyFont="1" applyBorder="1" applyAlignment="1" applyProtection="1">
      <alignment horizontal="center"/>
      <protection locked="0"/>
    </xf>
    <xf numFmtId="1" fontId="41" fillId="7" borderId="7" xfId="0" applyNumberFormat="1" applyFont="1" applyFill="1" applyBorder="1" applyAlignment="1">
      <alignment horizontal="center" vertical="top" wrapText="1"/>
    </xf>
    <xf numFmtId="14" fontId="33" fillId="7" borderId="7" xfId="0" applyNumberFormat="1" applyFont="1" applyFill="1" applyBorder="1" applyAlignment="1">
      <alignment vertical="top" wrapText="1" shrinkToFit="1"/>
    </xf>
    <xf numFmtId="49" fontId="20" fillId="0" borderId="7" xfId="0" applyNumberFormat="1" applyFont="1" applyFill="1" applyBorder="1" applyAlignment="1">
      <alignment horizontal="center" vertical="top"/>
    </xf>
    <xf numFmtId="49" fontId="35" fillId="10" borderId="7" xfId="0" applyNumberFormat="1" applyFont="1" applyFill="1" applyBorder="1" applyAlignment="1">
      <alignment horizontal="center" vertical="top"/>
    </xf>
    <xf numFmtId="49" fontId="35" fillId="0" borderId="24" xfId="0" applyNumberFormat="1" applyFont="1" applyFill="1" applyBorder="1" applyAlignment="1" applyProtection="1">
      <alignment horizontal="center" vertical="top"/>
      <protection locked="0"/>
    </xf>
    <xf numFmtId="1" fontId="35" fillId="0" borderId="7" xfId="0" applyNumberFormat="1" applyFont="1" applyFill="1" applyBorder="1" applyAlignment="1" applyProtection="1">
      <alignment horizontal="center" vertical="top"/>
      <protection locked="0"/>
    </xf>
    <xf numFmtId="1" fontId="39" fillId="0" borderId="7" xfId="0" applyNumberFormat="1" applyFont="1" applyFill="1" applyBorder="1" applyAlignment="1">
      <alignment horizontal="center" vertical="top" wrapText="1"/>
    </xf>
    <xf numFmtId="14" fontId="16" fillId="0" borderId="7" xfId="0" applyNumberFormat="1" applyFont="1" applyFill="1" applyBorder="1" applyAlignment="1">
      <alignment vertical="top" wrapText="1"/>
    </xf>
    <xf numFmtId="1" fontId="35" fillId="0" borderId="30" xfId="0" applyNumberFormat="1" applyFont="1" applyFill="1" applyBorder="1" applyAlignment="1">
      <alignment horizontal="center" vertical="top" wrapText="1"/>
    </xf>
    <xf numFmtId="14" fontId="33" fillId="0" borderId="0" xfId="0" applyNumberFormat="1" applyFont="1" applyFill="1" applyBorder="1" applyAlignment="1">
      <alignment vertical="top" wrapText="1"/>
    </xf>
    <xf numFmtId="49" fontId="35" fillId="8" borderId="7" xfId="0" applyNumberFormat="1" applyFont="1" applyFill="1" applyBorder="1" applyAlignment="1">
      <alignment horizontal="center" vertical="top"/>
    </xf>
    <xf numFmtId="0" fontId="35" fillId="8" borderId="7" xfId="0" applyFont="1" applyFill="1" applyBorder="1" applyAlignment="1">
      <alignment horizontal="center" vertical="top" wrapText="1"/>
    </xf>
    <xf numFmtId="1" fontId="35" fillId="8" borderId="7" xfId="0" applyNumberFormat="1" applyFont="1" applyFill="1" applyBorder="1" applyAlignment="1">
      <alignment horizontal="center" vertical="top" wrapText="1"/>
    </xf>
    <xf numFmtId="14" fontId="35" fillId="8" borderId="7" xfId="0" applyNumberFormat="1" applyFont="1" applyFill="1" applyBorder="1" applyAlignment="1">
      <alignment horizontal="center" vertical="top" wrapText="1"/>
    </xf>
    <xf numFmtId="49" fontId="35" fillId="7" borderId="24" xfId="0" applyNumberFormat="1" applyFont="1" applyFill="1" applyBorder="1" applyAlignment="1">
      <alignment horizontal="center" vertical="top"/>
    </xf>
    <xf numFmtId="14" fontId="35" fillId="7" borderId="24" xfId="0" applyNumberFormat="1" applyFont="1" applyFill="1" applyBorder="1" applyAlignment="1">
      <alignment horizontal="center" vertical="top"/>
    </xf>
    <xf numFmtId="49" fontId="35" fillId="0" borderId="27" xfId="0" applyNumberFormat="1" applyFont="1" applyFill="1" applyBorder="1" applyAlignment="1">
      <alignment horizontal="center" vertical="top"/>
    </xf>
    <xf numFmtId="0" fontId="35" fillId="0" borderId="24" xfId="0" applyFont="1" applyFill="1" applyBorder="1" applyAlignment="1">
      <alignment horizontal="center" vertical="top"/>
    </xf>
    <xf numFmtId="0" fontId="33" fillId="0" borderId="0" xfId="0" applyNumberFormat="1" applyFont="1" applyFill="1" applyBorder="1" applyAlignment="1">
      <alignment horizontal="center" vertical="top" wrapText="1"/>
    </xf>
    <xf numFmtId="0" fontId="33" fillId="12" borderId="0" xfId="0" applyNumberFormat="1" applyFont="1" applyFill="1" applyBorder="1" applyAlignment="1">
      <alignment horizontal="center" vertical="top" wrapText="1"/>
    </xf>
    <xf numFmtId="183" fontId="36" fillId="14" borderId="0" xfId="0" applyNumberFormat="1" applyFont="1" applyFill="1" applyBorder="1" applyAlignment="1">
      <alignment horizontal="center" vertical="top" wrapText="1"/>
    </xf>
    <xf numFmtId="1" fontId="36" fillId="14" borderId="0" xfId="0" applyNumberFormat="1" applyFont="1" applyFill="1" applyBorder="1" applyAlignment="1">
      <alignment horizontal="center" vertical="top" wrapText="1"/>
    </xf>
    <xf numFmtId="14" fontId="35" fillId="0" borderId="24" xfId="0" applyNumberFormat="1" applyFont="1" applyFill="1" applyBorder="1" applyAlignment="1">
      <alignment horizontal="center" vertical="top"/>
    </xf>
    <xf numFmtId="14" fontId="35" fillId="7" borderId="7" xfId="0" applyNumberFormat="1" applyFont="1" applyFill="1" applyBorder="1" applyAlignment="1">
      <alignment horizontal="center" vertical="top" wrapText="1"/>
    </xf>
    <xf numFmtId="0" fontId="35" fillId="14" borderId="24" xfId="0" applyNumberFormat="1" applyFont="1" applyFill="1" applyBorder="1" applyAlignment="1">
      <alignment horizontal="center" vertical="top" wrapText="1"/>
    </xf>
    <xf numFmtId="1" fontId="47" fillId="0" borderId="7" xfId="0" applyNumberFormat="1" applyFont="1" applyFill="1" applyBorder="1" applyAlignment="1">
      <alignment horizontal="left" vertical="top" wrapText="1"/>
    </xf>
    <xf numFmtId="1" fontId="41" fillId="14" borderId="7" xfId="0" applyNumberFormat="1" applyFont="1" applyFill="1" applyBorder="1" applyAlignment="1">
      <alignment horizontal="center" vertical="top" wrapText="1"/>
    </xf>
    <xf numFmtId="49" fontId="35" fillId="0" borderId="28" xfId="0" applyNumberFormat="1" applyFont="1" applyFill="1" applyBorder="1" applyAlignment="1">
      <alignment horizontal="center" vertical="top"/>
    </xf>
    <xf numFmtId="49" fontId="35" fillId="0" borderId="24" xfId="0" applyNumberFormat="1" applyFont="1" applyFill="1" applyBorder="1" applyAlignment="1">
      <alignment horizontal="center" vertical="top" wrapText="1"/>
    </xf>
    <xf numFmtId="0" fontId="35" fillId="0" borderId="7" xfId="0" applyNumberFormat="1" applyFont="1" applyFill="1" applyBorder="1" applyAlignment="1">
      <alignment horizontal="center" vertical="top" wrapText="1"/>
    </xf>
    <xf numFmtId="0" fontId="35" fillId="0" borderId="24" xfId="0" applyFont="1" applyFill="1" applyBorder="1" applyAlignment="1">
      <alignment horizontal="center" vertical="top" wrapText="1"/>
    </xf>
    <xf numFmtId="14" fontId="35" fillId="0" borderId="25" xfId="0" applyNumberFormat="1" applyFont="1" applyFill="1" applyBorder="1" applyAlignment="1">
      <alignment horizontal="center" vertical="top" wrapText="1"/>
    </xf>
    <xf numFmtId="183" fontId="36" fillId="14" borderId="24" xfId="0" applyNumberFormat="1" applyFont="1" applyFill="1" applyBorder="1" applyAlignment="1">
      <alignment horizontal="center" vertical="top" wrapText="1"/>
    </xf>
    <xf numFmtId="183" fontId="36" fillId="15" borderId="24" xfId="0" applyNumberFormat="1" applyFont="1" applyFill="1" applyBorder="1" applyAlignment="1">
      <alignment horizontal="center" vertical="top" wrapText="1"/>
    </xf>
    <xf numFmtId="49" fontId="35" fillId="0" borderId="26" xfId="0" applyNumberFormat="1" applyFont="1" applyFill="1" applyBorder="1" applyAlignment="1">
      <alignment horizontal="center" vertical="top"/>
    </xf>
    <xf numFmtId="0" fontId="35" fillId="0" borderId="30" xfId="0" applyFont="1" applyFill="1" applyBorder="1" applyAlignment="1">
      <alignment horizontal="center" vertical="top" wrapText="1"/>
    </xf>
    <xf numFmtId="0" fontId="35" fillId="14" borderId="12" xfId="0" applyNumberFormat="1" applyFont="1" applyFill="1" applyBorder="1" applyAlignment="1">
      <alignment horizontal="center" vertical="top"/>
    </xf>
    <xf numFmtId="14" fontId="35" fillId="0" borderId="24" xfId="0" applyNumberFormat="1" applyFont="1" applyFill="1" applyBorder="1" applyAlignment="1">
      <alignment horizontal="center" vertical="top" wrapText="1"/>
    </xf>
    <xf numFmtId="0" fontId="5" fillId="0" borderId="0" xfId="0" applyFont="1" applyAlignment="1" applyProtection="1">
      <alignment wrapText="1"/>
    </xf>
    <xf numFmtId="0" fontId="6" fillId="0" borderId="0" xfId="0" applyFont="1" applyAlignment="1" applyProtection="1">
      <alignment wrapText="1"/>
    </xf>
    <xf numFmtId="9" fontId="3" fillId="5" borderId="5" xfId="2" applyNumberFormat="1" applyFont="1" applyFill="1" applyBorder="1" applyAlignment="1" applyProtection="1">
      <alignment horizontal="center" wrapText="1"/>
    </xf>
    <xf numFmtId="9" fontId="1" fillId="5" borderId="6" xfId="2" applyNumberFormat="1" applyFont="1" applyFill="1" applyBorder="1" applyAlignment="1" applyProtection="1">
      <alignment horizontal="center" wrapText="1"/>
    </xf>
    <xf numFmtId="0" fontId="3" fillId="0" borderId="0" xfId="0" applyFont="1" applyAlignment="1" applyProtection="1">
      <alignment horizontal="center" wrapText="1"/>
    </xf>
    <xf numFmtId="0" fontId="0" fillId="0" borderId="0" xfId="0" applyAlignment="1" applyProtection="1">
      <alignment horizontal="center" wrapText="1"/>
    </xf>
    <xf numFmtId="178" fontId="3" fillId="5" borderId="5" xfId="0" applyNumberFormat="1" applyFont="1" applyFill="1" applyBorder="1" applyAlignment="1" applyProtection="1">
      <alignment horizontal="center" wrapText="1"/>
    </xf>
    <xf numFmtId="178" fontId="3" fillId="5" borderId="6" xfId="0" applyNumberFormat="1" applyFont="1" applyFill="1" applyBorder="1" applyAlignment="1" applyProtection="1">
      <alignment horizontal="center" wrapText="1"/>
    </xf>
    <xf numFmtId="0" fontId="0" fillId="0" borderId="0" xfId="0" applyAlignment="1" applyProtection="1">
      <alignment wrapText="1"/>
    </xf>
    <xf numFmtId="0" fontId="3" fillId="0" borderId="0" xfId="0" applyFont="1" applyBorder="1" applyAlignment="1" applyProtection="1">
      <alignment horizontal="center" wrapText="1"/>
    </xf>
    <xf numFmtId="0" fontId="18" fillId="0" borderId="0" xfId="0" applyFont="1" applyBorder="1" applyAlignment="1" applyProtection="1">
      <alignment horizontal="center" textRotation="90" wrapText="1"/>
    </xf>
    <xf numFmtId="0" fontId="19" fillId="0" borderId="0" xfId="0" applyFont="1" applyAlignment="1" applyProtection="1">
      <alignment horizontal="center" textRotation="90" wrapText="1"/>
    </xf>
    <xf numFmtId="0" fontId="17" fillId="0" borderId="0" xfId="0" applyFont="1" applyBorder="1" applyAlignment="1" applyProtection="1">
      <alignment horizontal="center" textRotation="90" wrapText="1" shrinkToFit="1"/>
    </xf>
    <xf numFmtId="0" fontId="0" fillId="0" borderId="0" xfId="0" applyAlignment="1"/>
    <xf numFmtId="0" fontId="1" fillId="0" borderId="0" xfId="0" applyFont="1" applyAlignment="1">
      <alignment vertical="top" wrapText="1"/>
    </xf>
    <xf numFmtId="0" fontId="0" fillId="0" borderId="0" xfId="0" applyAlignment="1">
      <alignment vertical="top" wrapText="1"/>
    </xf>
    <xf numFmtId="0" fontId="1" fillId="0" borderId="0" xfId="0" applyFont="1" applyAlignment="1" applyProtection="1">
      <alignment horizontal="left" vertical="top" wrapText="1"/>
    </xf>
    <xf numFmtId="0" fontId="0" fillId="0" borderId="0" xfId="0" applyAlignment="1" applyProtection="1">
      <alignment horizontal="left" vertical="top" wrapText="1"/>
    </xf>
    <xf numFmtId="0" fontId="0" fillId="0" borderId="0" xfId="0" applyAlignment="1" applyProtection="1"/>
    <xf numFmtId="178" fontId="3" fillId="5" borderId="5" xfId="2" applyNumberFormat="1" applyFont="1" applyFill="1" applyBorder="1" applyAlignment="1" applyProtection="1">
      <alignment horizontal="center" wrapText="1"/>
    </xf>
    <xf numFmtId="178" fontId="1" fillId="5" borderId="6" xfId="2" applyNumberFormat="1" applyFont="1" applyFill="1" applyBorder="1" applyAlignment="1" applyProtection="1">
      <alignment horizontal="center" wrapText="1"/>
    </xf>
    <xf numFmtId="49" fontId="25" fillId="4" borderId="2" xfId="0" applyNumberFormat="1" applyFont="1" applyFill="1" applyBorder="1" applyAlignment="1">
      <alignment wrapText="1"/>
    </xf>
    <xf numFmtId="49" fontId="24" fillId="8" borderId="2" xfId="0" applyNumberFormat="1" applyFont="1" applyFill="1" applyBorder="1" applyAlignment="1">
      <alignment wrapText="1"/>
    </xf>
    <xf numFmtId="49" fontId="24" fillId="0" borderId="2" xfId="0" applyNumberFormat="1" applyFont="1" applyBorder="1" applyAlignment="1">
      <alignment wrapText="1"/>
    </xf>
    <xf numFmtId="49" fontId="24" fillId="0" borderId="0" xfId="0" applyNumberFormat="1" applyFont="1" applyAlignment="1"/>
    <xf numFmtId="0" fontId="0" fillId="0" borderId="0" xfId="0"/>
    <xf numFmtId="0" fontId="35" fillId="0" borderId="30" xfId="0" applyFont="1" applyFill="1" applyBorder="1" applyAlignment="1">
      <alignment horizontal="center" vertical="top"/>
    </xf>
    <xf numFmtId="0" fontId="35" fillId="0" borderId="27" xfId="0" applyFont="1" applyFill="1" applyBorder="1" applyAlignment="1">
      <alignment horizontal="center" vertical="top"/>
    </xf>
    <xf numFmtId="0" fontId="35" fillId="0" borderId="27" xfId="0" applyFont="1" applyFill="1" applyBorder="1" applyAlignment="1">
      <alignment horizontal="center" vertical="top" wrapText="1"/>
    </xf>
    <xf numFmtId="0" fontId="35" fillId="0" borderId="12" xfId="0" applyFont="1" applyFill="1" applyBorder="1" applyAlignment="1">
      <alignment horizontal="center" vertical="top" wrapText="1"/>
    </xf>
    <xf numFmtId="14" fontId="33" fillId="0" borderId="28" xfId="0" applyNumberFormat="1" applyFont="1" applyFill="1" applyBorder="1" applyAlignment="1">
      <alignment vertical="top" wrapText="1" shrinkToFit="1"/>
    </xf>
    <xf numFmtId="14" fontId="33" fillId="0" borderId="26" xfId="0" applyNumberFormat="1" applyFont="1" applyFill="1" applyBorder="1" applyAlignment="1">
      <alignment vertical="top" wrapText="1" shrinkToFit="1"/>
    </xf>
    <xf numFmtId="49" fontId="33" fillId="0" borderId="30" xfId="0" applyNumberFormat="1" applyFont="1" applyFill="1" applyBorder="1" applyAlignment="1">
      <alignment horizontal="center" vertical="top" wrapText="1"/>
    </xf>
    <xf numFmtId="49" fontId="33" fillId="0" borderId="27" xfId="0" applyNumberFormat="1" applyFont="1" applyFill="1" applyBorder="1" applyAlignment="1">
      <alignment horizontal="center" vertical="top" wrapText="1"/>
    </xf>
    <xf numFmtId="49" fontId="33" fillId="0" borderId="0" xfId="0" applyNumberFormat="1" applyFont="1" applyFill="1" applyBorder="1" applyAlignment="1">
      <alignment horizontal="center" vertical="top" wrapText="1"/>
    </xf>
    <xf numFmtId="49" fontId="33" fillId="12" borderId="0" xfId="0" applyNumberFormat="1" applyFont="1" applyFill="1" applyBorder="1" applyAlignment="1">
      <alignment horizontal="center" vertical="top" wrapText="1"/>
    </xf>
    <xf numFmtId="49" fontId="33" fillId="12" borderId="29" xfId="0" applyNumberFormat="1" applyFont="1" applyFill="1" applyBorder="1" applyAlignment="1">
      <alignment horizontal="center" vertical="top" wrapText="1"/>
    </xf>
    <xf numFmtId="49" fontId="33" fillId="12" borderId="24" xfId="0" applyNumberFormat="1" applyFont="1" applyFill="1" applyBorder="1" applyAlignment="1">
      <alignment horizontal="center" vertical="top" wrapText="1"/>
    </xf>
    <xf numFmtId="1" fontId="35" fillId="0" borderId="24" xfId="0" applyNumberFormat="1" applyFont="1" applyFill="1" applyBorder="1" applyAlignment="1">
      <alignment horizontal="center" vertical="top"/>
    </xf>
    <xf numFmtId="1" fontId="35" fillId="0" borderId="27" xfId="0" applyNumberFormat="1" applyFont="1" applyFill="1" applyBorder="1" applyAlignment="1">
      <alignment horizontal="center" vertical="top"/>
    </xf>
    <xf numFmtId="44" fontId="35" fillId="0" borderId="0" xfId="3" applyFont="1" applyFill="1" applyBorder="1" applyAlignment="1">
      <alignment horizontal="center" vertical="top" wrapText="1"/>
    </xf>
    <xf numFmtId="14" fontId="37" fillId="0" borderId="0" xfId="0" applyNumberFormat="1" applyFont="1" applyFill="1" applyBorder="1" applyAlignment="1">
      <alignment vertical="top" wrapText="1"/>
    </xf>
    <xf numFmtId="14" fontId="33" fillId="0" borderId="0" xfId="0" applyNumberFormat="1" applyFont="1" applyFill="1" applyBorder="1" applyAlignment="1">
      <alignment vertical="top" wrapText="1" shrinkToFit="1"/>
    </xf>
    <xf numFmtId="14" fontId="33" fillId="0" borderId="24" xfId="0" applyNumberFormat="1" applyFont="1" applyFill="1" applyBorder="1" applyAlignment="1">
      <alignment vertical="top" wrapText="1"/>
    </xf>
    <xf numFmtId="49" fontId="33" fillId="17" borderId="31" xfId="0" applyNumberFormat="1" applyFont="1" applyFill="1" applyBorder="1" applyAlignment="1">
      <alignment horizontal="center" vertical="top" wrapText="1"/>
    </xf>
    <xf numFmtId="49" fontId="33" fillId="17" borderId="30" xfId="0" applyNumberFormat="1" applyFont="1" applyFill="1" applyBorder="1" applyAlignment="1">
      <alignment horizontal="center" vertical="top" wrapText="1"/>
    </xf>
  </cellXfs>
  <cellStyles count="4">
    <cellStyle name="Currency" xfId="3" builtinId="4"/>
    <cellStyle name="Normal" xfId="0" builtinId="0"/>
    <cellStyle name="Normal 2" xfId="1"/>
    <cellStyle name="Percent" xfId="2" builtinId="5"/>
  </cellStyles>
  <dxfs count="181">
    <dxf>
      <font>
        <b/>
        <i val="0"/>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3" tint="0.39994506668294322"/>
        </patternFill>
      </fill>
    </dxf>
    <dxf>
      <font>
        <b/>
        <i val="0"/>
      </font>
      <fill>
        <patternFill>
          <bgColor rgb="FFFFC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theme="3" tint="0.39994506668294322"/>
        </patternFill>
      </fill>
    </dxf>
    <dxf>
      <font>
        <b/>
        <i val="0"/>
      </font>
      <fill>
        <patternFill>
          <bgColor rgb="FFFF0000"/>
        </patternFill>
      </fill>
    </dxf>
    <dxf>
      <font>
        <b/>
        <i val="0"/>
      </font>
      <fill>
        <patternFill>
          <bgColor rgb="FFFFC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0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92D050"/>
        </patternFill>
      </fill>
    </dxf>
    <dxf>
      <font>
        <b/>
        <i val="0"/>
      </font>
      <fill>
        <patternFill>
          <bgColor rgb="FFFF0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FFFF00"/>
        </patternFill>
      </fill>
    </dxf>
    <dxf>
      <font>
        <b/>
        <i val="0"/>
      </font>
      <fill>
        <patternFill>
          <bgColor theme="3" tint="0.59996337778862885"/>
        </patternFill>
      </fill>
    </dxf>
    <dxf>
      <font>
        <b/>
        <i val="0"/>
      </font>
      <fill>
        <patternFill>
          <bgColor rgb="FFFFC000"/>
        </patternFill>
      </fill>
    </dxf>
    <dxf>
      <font>
        <b/>
        <i val="0"/>
      </font>
      <fill>
        <patternFill>
          <bgColor rgb="FF92D050"/>
        </patternFill>
      </fill>
    </dxf>
    <dxf>
      <font>
        <b/>
        <i val="0"/>
      </font>
      <fill>
        <patternFill>
          <bgColor rgb="FFFF0000"/>
        </patternFill>
      </fill>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strike val="0"/>
        <outline val="0"/>
        <shadow val="0"/>
        <u val="none"/>
        <vertAlign val="baseline"/>
        <sz val="10"/>
        <color theme="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theme="1"/>
        <name val="Arial"/>
        <scheme val="none"/>
      </font>
      <numFmt numFmtId="22" formatCode="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theme="1"/>
        <name val="Arial"/>
        <scheme val="none"/>
      </font>
      <numFmt numFmtId="1" formatCode="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theme="1"/>
        <name val="Arial"/>
        <scheme val="none"/>
      </font>
      <numFmt numFmtId="22" formatCode="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theme="1"/>
        <name val="Arial"/>
        <scheme val="none"/>
      </font>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Tahoma"/>
        <scheme val="none"/>
      </font>
      <numFmt numFmtId="19" formatCode="m/d/yyyy"/>
      <fill>
        <patternFill patternType="solid">
          <fgColor indexed="64"/>
          <bgColor theme="9" tint="0.39997558519241921"/>
        </patternFill>
      </fill>
      <alignment horizontal="center" vertical="top" textRotation="0" wrapText="1" indent="0" justifyLastLine="0" shrinkToFit="0" readingOrder="0"/>
      <border diagonalUp="0" diagonalDown="0">
        <left style="thin">
          <color theme="0"/>
        </left>
        <right/>
        <top style="thin">
          <color theme="1" tint="0.499984740745262"/>
        </top>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strike val="0"/>
        <condense val="0"/>
        <extend val="0"/>
        <outline val="0"/>
        <shadow val="0"/>
        <u val="none"/>
        <vertAlign val="baseline"/>
        <sz val="10"/>
        <color theme="1"/>
        <name val="Tahoma"/>
        <scheme val="none"/>
      </font>
      <numFmt numFmtId="0" formatCode="General"/>
      <fill>
        <patternFill patternType="none">
          <fgColor indexed="64"/>
          <bgColor auto="1"/>
        </patternFill>
      </fill>
      <alignment horizontal="center" vertical="top" textRotation="0" wrapText="1" indent="0" justifyLastLine="0" shrinkToFit="0" readingOrder="0"/>
      <border diagonalUp="0" diagonalDown="0">
        <left/>
        <right/>
        <top style="thin">
          <color theme="1" tint="0.499984740745262"/>
        </top>
        <bottom/>
      </border>
    </dxf>
    <dxf>
      <font>
        <b/>
        <i val="0"/>
        <strike val="0"/>
        <condense val="0"/>
        <extend val="0"/>
        <outline val="0"/>
        <shadow val="0"/>
        <u val="none"/>
        <vertAlign val="baseline"/>
        <sz val="10"/>
        <color theme="1"/>
        <name val="Tahoma"/>
        <scheme val="none"/>
      </font>
      <numFmt numFmtId="166" formatCode="m/d/yy;@"/>
      <fill>
        <patternFill patternType="none">
          <fgColor indexed="64"/>
          <bgColor auto="1"/>
        </patternFill>
      </fill>
      <alignment horizontal="center" vertical="top" textRotation="0" wrapText="1" indent="0" justifyLastLine="0" shrinkToFit="0" readingOrder="0"/>
      <border diagonalUp="0" diagonalDown="0" outline="0">
        <left/>
        <right/>
        <top style="thin">
          <color theme="1" tint="0.499984740745262"/>
        </top>
        <bottom/>
      </border>
    </dxf>
    <dxf>
      <font>
        <b/>
        <i val="0"/>
        <strike val="0"/>
        <condense val="0"/>
        <extend val="0"/>
        <outline val="0"/>
        <shadow val="0"/>
        <u val="none"/>
        <vertAlign val="baseline"/>
        <sz val="10"/>
        <color theme="1"/>
        <name val="Tahoma"/>
        <scheme val="none"/>
      </font>
      <numFmt numFmtId="19" formatCode="m/d/yyyy"/>
      <fill>
        <patternFill patternType="none">
          <fgColor indexed="64"/>
          <bgColor auto="1"/>
        </patternFill>
      </fill>
      <alignment horizontal="center" vertical="top" textRotation="0" wrapText="1" indent="0" justifyLastLine="0" shrinkToFit="0" readingOrder="0"/>
      <border diagonalUp="0" diagonalDown="0" outline="0">
        <left/>
        <right/>
        <top style="thin">
          <color theme="1" tint="0.499984740745262"/>
        </top>
        <bottom/>
      </border>
    </dxf>
    <dxf>
      <font>
        <b/>
        <i val="0"/>
        <strike val="0"/>
        <condense val="0"/>
        <extend val="0"/>
        <outline val="0"/>
        <shadow val="0"/>
        <u val="none"/>
        <vertAlign val="baseline"/>
        <sz val="10"/>
        <color theme="1"/>
        <name val="Tahoma"/>
        <scheme val="none"/>
      </font>
      <numFmt numFmtId="1" formatCode="0"/>
      <fill>
        <patternFill patternType="none">
          <bgColor auto="1"/>
        </patternFill>
      </fill>
      <alignment horizontal="center" vertical="top" textRotation="0" wrapText="0" indent="0" justifyLastLine="0" shrinkToFit="0" readingOrder="0"/>
      <border diagonalUp="0" diagonalDown="0" outline="0">
        <left/>
        <right/>
        <top style="thin">
          <color theme="1" tint="0.499984740745262"/>
        </top>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strike val="0"/>
        <condense val="0"/>
        <extend val="0"/>
        <outline val="0"/>
        <shadow val="0"/>
        <u val="none"/>
        <vertAlign val="baseline"/>
        <sz val="10"/>
        <color theme="1"/>
        <name val="Tahoma"/>
        <scheme val="none"/>
      </font>
      <numFmt numFmtId="30" formatCode="@"/>
      <fill>
        <patternFill patternType="none">
          <fgColor indexed="64"/>
          <bgColor auto="1"/>
        </patternFill>
      </fill>
      <alignment horizontal="center" vertical="top" textRotation="0" wrapText="0" indent="0" justifyLastLine="0" shrinkToFit="0" readingOrder="0"/>
      <border diagonalUp="0" diagonalDown="0" outline="0">
        <left/>
        <right/>
        <top style="thin">
          <color theme="1" tint="0.499984740745262"/>
        </top>
        <bottom/>
      </border>
    </dxf>
    <dxf>
      <border outline="0">
        <left style="thin">
          <color theme="4" tint="0.39997558519241921"/>
        </left>
        <top style="thin">
          <color theme="4" tint="0.39997558519241921"/>
        </top>
      </border>
    </dxf>
    <dxf>
      <font>
        <b/>
        <i val="0"/>
        <strike val="0"/>
        <condense val="0"/>
        <extend val="0"/>
        <outline val="0"/>
        <shadow val="0"/>
        <u val="none"/>
        <vertAlign val="baseline"/>
        <sz val="12"/>
        <color theme="0"/>
        <name val="Tahoma"/>
        <scheme val="none"/>
      </font>
      <fill>
        <patternFill patternType="solid">
          <fgColor theme="4"/>
          <bgColor theme="4"/>
        </patternFill>
      </fill>
      <alignment horizontal="center" vertical="top" textRotation="0" wrapText="1" indent="0" justifyLastLine="0" shrinkToFit="0" readingOrder="0"/>
    </dxf>
    <dxf>
      <font>
        <color rgb="FF9C0006"/>
      </font>
      <fill>
        <patternFill>
          <bgColor rgb="FFFFC7CE"/>
        </patternFill>
      </fill>
    </dxf>
    <dxf>
      <fill>
        <patternFill>
          <bgColor rgb="FFFFFF00"/>
        </patternFill>
      </fill>
    </dxf>
    <dxf>
      <fill>
        <patternFill>
          <bgColor theme="3" tint="0.39994506668294322"/>
        </patternFill>
      </fill>
    </dxf>
    <dxf>
      <font>
        <b/>
        <i val="0"/>
      </font>
      <fill>
        <patternFill>
          <bgColor rgb="FFFFC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FF0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theme="3" tint="0.39994506668294322"/>
        </patternFill>
      </fill>
    </dxf>
    <dxf>
      <font>
        <b/>
        <i val="0"/>
      </font>
      <fill>
        <patternFill>
          <bgColor rgb="FFFFC000"/>
        </patternFill>
      </fill>
    </dxf>
    <dxf>
      <fill>
        <patternFill>
          <bgColor rgb="FFFFFF00"/>
        </patternFill>
      </fill>
    </dxf>
    <dxf>
      <fill>
        <patternFill>
          <bgColor theme="3" tint="0.39994506668294322"/>
        </patternFill>
      </fill>
    </dxf>
    <dxf>
      <font>
        <color rgb="FF9C0006"/>
      </font>
      <fill>
        <patternFill>
          <bgColor rgb="FFFFC7CE"/>
        </patternFill>
      </fill>
    </dxf>
    <dxf>
      <font>
        <b/>
        <i val="0"/>
      </font>
      <fill>
        <patternFill>
          <bgColor rgb="FFFFC000"/>
        </patternFill>
      </fill>
    </dxf>
    <dxf>
      <font>
        <b/>
        <i val="0"/>
      </font>
      <fill>
        <patternFill>
          <bgColor theme="3" tint="0.59996337778862885"/>
        </patternFill>
      </fill>
    </dxf>
    <dxf>
      <font>
        <b/>
        <i val="0"/>
      </font>
      <fill>
        <patternFill>
          <bgColor rgb="FFFF0000"/>
        </patternFill>
      </fill>
    </dxf>
    <dxf>
      <font>
        <b/>
        <i val="0"/>
      </font>
      <fill>
        <patternFill>
          <bgColor rgb="FFFFC000"/>
        </patternFill>
      </fill>
    </dxf>
    <dxf>
      <font>
        <b/>
        <i val="0"/>
      </font>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theme="4" tint="0.59996337778862885"/>
        </patternFill>
      </fill>
    </dxf>
    <dxf>
      <font>
        <b/>
        <i val="0"/>
      </font>
      <fill>
        <patternFill>
          <bgColor theme="3" tint="0.39994506668294322"/>
        </patternFill>
      </fill>
    </dxf>
  </dxfs>
  <tableStyles count="1" defaultTableStyle="Table Style 1" defaultPivotStyle="PivotStyleLight16">
    <tableStyle name="Table Style 1" pivot="0" count="3">
      <tableStyleElement type="headerRow" dxfId="180"/>
      <tableStyleElement type="secondRowStripe" dxfId="179"/>
      <tableStyleElement type="secondColumnStripe" dxfId="178"/>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worksheet" Target="worksheets/sheet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Calibration  Projection by Month</a:t>
            </a:r>
          </a:p>
        </c:rich>
      </c:tx>
      <c:layout/>
      <c:overlay val="0"/>
    </c:title>
    <c:autoTitleDeleted val="0"/>
    <c:plotArea>
      <c:layout>
        <c:manualLayout>
          <c:layoutTarget val="inner"/>
          <c:xMode val="edge"/>
          <c:yMode val="edge"/>
          <c:x val="9.1019575196272268E-2"/>
          <c:y val="9.5106246591594029E-2"/>
          <c:w val="0.76714153038562483"/>
          <c:h val="0.8272310506641215"/>
        </c:manualLayout>
      </c:layout>
      <c:lineChart>
        <c:grouping val="standard"/>
        <c:varyColors val="0"/>
        <c:ser>
          <c:idx val="0"/>
          <c:order val="0"/>
          <c:tx>
            <c:v>By Cal Due Date</c:v>
          </c:tx>
          <c:marker>
            <c:spPr>
              <a:blipFill>
                <a:blip xmlns:r="http://schemas.openxmlformats.org/officeDocument/2006/relationships" r:embed="rId1"/>
                <a:tile tx="0" ty="0" sx="100000" sy="100000" flip="none" algn="tl"/>
              </a:blipFill>
            </c:spPr>
          </c:marker>
          <c:dLbls>
            <c:dLbl>
              <c:idx val="3"/>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4"/>
              <c:spPr/>
              <c:txPr>
                <a:bodyPr/>
                <a:lstStyle/>
                <a:p>
                  <a:pPr>
                    <a:defRPr sz="1000" b="0" i="0" u="none" strike="noStrike" baseline="0">
                      <a:solidFill>
                        <a:srgbClr val="000000"/>
                      </a:solidFill>
                      <a:latin typeface="Calibri"/>
                      <a:ea typeface="Calibri"/>
                      <a:cs typeface="Calibri"/>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dLbl>
              <c:idx val="5"/>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6"/>
              <c:spPr/>
              <c:txPr>
                <a:bodyPr/>
                <a:lstStyle/>
                <a:p>
                  <a:pPr>
                    <a:defRPr sz="1000" b="0" i="0" u="none" strike="noStrike" baseline="0">
                      <a:solidFill>
                        <a:srgbClr val="000000"/>
                      </a:solidFill>
                      <a:latin typeface="Calibri"/>
                      <a:ea typeface="Calibri"/>
                      <a:cs typeface="Calibri"/>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dLbl>
              <c:idx val="7"/>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9"/>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2"/>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3"/>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4"/>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5"/>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6"/>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7"/>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18"/>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22"/>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3"/>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4"/>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Calculator!$J$3:$J$81</c:f>
              <c:numCache>
                <c:formatCode>mmm\-yy</c:formatCode>
                <c:ptCount val="79"/>
                <c:pt idx="0">
                  <c:v>42856</c:v>
                </c:pt>
                <c:pt idx="1">
                  <c:v>42887</c:v>
                </c:pt>
                <c:pt idx="2">
                  <c:v>42917</c:v>
                </c:pt>
                <c:pt idx="3">
                  <c:v>42948</c:v>
                </c:pt>
                <c:pt idx="4">
                  <c:v>42979</c:v>
                </c:pt>
                <c:pt idx="5">
                  <c:v>43009</c:v>
                </c:pt>
                <c:pt idx="6">
                  <c:v>43040</c:v>
                </c:pt>
                <c:pt idx="7">
                  <c:v>43070</c:v>
                </c:pt>
                <c:pt idx="8">
                  <c:v>43101</c:v>
                </c:pt>
                <c:pt idx="9">
                  <c:v>43132</c:v>
                </c:pt>
                <c:pt idx="10">
                  <c:v>43160</c:v>
                </c:pt>
                <c:pt idx="11">
                  <c:v>43191</c:v>
                </c:pt>
                <c:pt idx="12">
                  <c:v>43221</c:v>
                </c:pt>
                <c:pt idx="13">
                  <c:v>43252</c:v>
                </c:pt>
                <c:pt idx="14">
                  <c:v>43282</c:v>
                </c:pt>
                <c:pt idx="15">
                  <c:v>43313</c:v>
                </c:pt>
                <c:pt idx="16">
                  <c:v>43344</c:v>
                </c:pt>
                <c:pt idx="17">
                  <c:v>43374</c:v>
                </c:pt>
                <c:pt idx="18">
                  <c:v>43405</c:v>
                </c:pt>
                <c:pt idx="19">
                  <c:v>43435</c:v>
                </c:pt>
                <c:pt idx="20">
                  <c:v>43466</c:v>
                </c:pt>
                <c:pt idx="21">
                  <c:v>43497</c:v>
                </c:pt>
                <c:pt idx="22">
                  <c:v>43525</c:v>
                </c:pt>
                <c:pt idx="23">
                  <c:v>43556</c:v>
                </c:pt>
                <c:pt idx="24">
                  <c:v>43586</c:v>
                </c:pt>
                <c:pt idx="25">
                  <c:v>43617</c:v>
                </c:pt>
                <c:pt idx="26">
                  <c:v>43647</c:v>
                </c:pt>
                <c:pt idx="27">
                  <c:v>43678</c:v>
                </c:pt>
                <c:pt idx="28">
                  <c:v>43709</c:v>
                </c:pt>
                <c:pt idx="29">
                  <c:v>43739</c:v>
                </c:pt>
                <c:pt idx="30">
                  <c:v>43770</c:v>
                </c:pt>
                <c:pt idx="31">
                  <c:v>43800</c:v>
                </c:pt>
                <c:pt idx="32">
                  <c:v>43831</c:v>
                </c:pt>
                <c:pt idx="33">
                  <c:v>43862</c:v>
                </c:pt>
                <c:pt idx="34">
                  <c:v>43891</c:v>
                </c:pt>
                <c:pt idx="35">
                  <c:v>43922</c:v>
                </c:pt>
                <c:pt idx="36">
                  <c:v>43952</c:v>
                </c:pt>
                <c:pt idx="37">
                  <c:v>43983</c:v>
                </c:pt>
                <c:pt idx="38">
                  <c:v>44013</c:v>
                </c:pt>
                <c:pt idx="39">
                  <c:v>44044</c:v>
                </c:pt>
                <c:pt idx="40">
                  <c:v>44075</c:v>
                </c:pt>
                <c:pt idx="41">
                  <c:v>44105</c:v>
                </c:pt>
                <c:pt idx="42">
                  <c:v>44136</c:v>
                </c:pt>
                <c:pt idx="43">
                  <c:v>44166</c:v>
                </c:pt>
                <c:pt idx="44">
                  <c:v>44197</c:v>
                </c:pt>
                <c:pt idx="45">
                  <c:v>44228</c:v>
                </c:pt>
                <c:pt idx="46">
                  <c:v>44256</c:v>
                </c:pt>
                <c:pt idx="47">
                  <c:v>44287</c:v>
                </c:pt>
                <c:pt idx="48">
                  <c:v>44317</c:v>
                </c:pt>
                <c:pt idx="49">
                  <c:v>44348</c:v>
                </c:pt>
                <c:pt idx="50">
                  <c:v>44378</c:v>
                </c:pt>
                <c:pt idx="51">
                  <c:v>44409</c:v>
                </c:pt>
                <c:pt idx="52">
                  <c:v>44440</c:v>
                </c:pt>
                <c:pt idx="53">
                  <c:v>44470</c:v>
                </c:pt>
                <c:pt idx="54">
                  <c:v>44501</c:v>
                </c:pt>
                <c:pt idx="55">
                  <c:v>44531</c:v>
                </c:pt>
                <c:pt idx="56">
                  <c:v>44562</c:v>
                </c:pt>
                <c:pt idx="57">
                  <c:v>44593</c:v>
                </c:pt>
                <c:pt idx="58">
                  <c:v>44621</c:v>
                </c:pt>
                <c:pt idx="59">
                  <c:v>44652</c:v>
                </c:pt>
                <c:pt idx="60">
                  <c:v>44682</c:v>
                </c:pt>
                <c:pt idx="61">
                  <c:v>44713</c:v>
                </c:pt>
                <c:pt idx="62">
                  <c:v>44743</c:v>
                </c:pt>
                <c:pt idx="63">
                  <c:v>44774</c:v>
                </c:pt>
                <c:pt idx="64">
                  <c:v>44805</c:v>
                </c:pt>
                <c:pt idx="65">
                  <c:v>44835</c:v>
                </c:pt>
                <c:pt idx="66">
                  <c:v>44866</c:v>
                </c:pt>
                <c:pt idx="67">
                  <c:v>44896</c:v>
                </c:pt>
                <c:pt idx="68">
                  <c:v>44927</c:v>
                </c:pt>
                <c:pt idx="69">
                  <c:v>44958</c:v>
                </c:pt>
                <c:pt idx="70">
                  <c:v>44986</c:v>
                </c:pt>
                <c:pt idx="71">
                  <c:v>45017</c:v>
                </c:pt>
                <c:pt idx="72">
                  <c:v>45047</c:v>
                </c:pt>
                <c:pt idx="73">
                  <c:v>45078</c:v>
                </c:pt>
                <c:pt idx="74">
                  <c:v>45108</c:v>
                </c:pt>
                <c:pt idx="75">
                  <c:v>45139</c:v>
                </c:pt>
                <c:pt idx="76">
                  <c:v>45170</c:v>
                </c:pt>
                <c:pt idx="77">
                  <c:v>45200</c:v>
                </c:pt>
                <c:pt idx="78">
                  <c:v>45231</c:v>
                </c:pt>
              </c:numCache>
            </c:numRef>
          </c:cat>
          <c:val>
            <c:numRef>
              <c:f>Calculator!$N$3:$N$81</c:f>
              <c:numCache>
                <c:formatCode>General</c:formatCode>
                <c:ptCount val="79"/>
                <c:pt idx="0">
                  <c:v>0</c:v>
                </c:pt>
                <c:pt idx="1">
                  <c:v>0</c:v>
                </c:pt>
                <c:pt idx="2">
                  <c:v>0</c:v>
                </c:pt>
                <c:pt idx="3">
                  <c:v>0</c:v>
                </c:pt>
                <c:pt idx="4">
                  <c:v>0</c:v>
                </c:pt>
                <c:pt idx="5">
                  <c:v>0</c:v>
                </c:pt>
                <c:pt idx="6">
                  <c:v>0</c:v>
                </c:pt>
                <c:pt idx="7">
                  <c:v>0</c:v>
                </c:pt>
                <c:pt idx="8">
                  <c:v>0</c:v>
                </c:pt>
                <c:pt idx="9">
                  <c:v>0</c:v>
                </c:pt>
                <c:pt idx="10">
                  <c:v>0</c:v>
                </c:pt>
                <c:pt idx="11">
                  <c:v>0</c:v>
                </c:pt>
                <c:pt idx="12">
                  <c:v>3</c:v>
                </c:pt>
                <c:pt idx="13">
                  <c:v>5</c:v>
                </c:pt>
                <c:pt idx="14">
                  <c:v>14</c:v>
                </c:pt>
                <c:pt idx="15">
                  <c:v>20</c:v>
                </c:pt>
                <c:pt idx="16">
                  <c:v>22</c:v>
                </c:pt>
                <c:pt idx="17">
                  <c:v>19</c:v>
                </c:pt>
                <c:pt idx="18">
                  <c:v>7</c:v>
                </c:pt>
                <c:pt idx="19">
                  <c:v>1</c:v>
                </c:pt>
                <c:pt idx="20">
                  <c:v>12</c:v>
                </c:pt>
                <c:pt idx="21">
                  <c:v>6</c:v>
                </c:pt>
                <c:pt idx="22">
                  <c:v>5</c:v>
                </c:pt>
                <c:pt idx="23">
                  <c:v>9</c:v>
                </c:pt>
                <c:pt idx="24">
                  <c:v>2</c:v>
                </c:pt>
                <c:pt idx="25">
                  <c:v>1</c:v>
                </c:pt>
                <c:pt idx="26">
                  <c:v>8</c:v>
                </c:pt>
                <c:pt idx="27">
                  <c:v>4</c:v>
                </c:pt>
                <c:pt idx="28">
                  <c:v>3</c:v>
                </c:pt>
                <c:pt idx="29">
                  <c:v>0</c:v>
                </c:pt>
                <c:pt idx="30">
                  <c:v>0</c:v>
                </c:pt>
                <c:pt idx="31">
                  <c:v>1</c:v>
                </c:pt>
                <c:pt idx="32">
                  <c:v>2</c:v>
                </c:pt>
                <c:pt idx="33">
                  <c:v>9</c:v>
                </c:pt>
                <c:pt idx="34">
                  <c:v>1</c:v>
                </c:pt>
                <c:pt idx="35">
                  <c:v>10</c:v>
                </c:pt>
                <c:pt idx="36">
                  <c:v>4</c:v>
                </c:pt>
                <c:pt idx="37">
                  <c:v>9</c:v>
                </c:pt>
                <c:pt idx="38">
                  <c:v>3</c:v>
                </c:pt>
                <c:pt idx="39">
                  <c:v>1</c:v>
                </c:pt>
                <c:pt idx="40">
                  <c:v>0</c:v>
                </c:pt>
                <c:pt idx="41">
                  <c:v>7</c:v>
                </c:pt>
                <c:pt idx="42">
                  <c:v>0</c:v>
                </c:pt>
                <c:pt idx="43">
                  <c:v>1</c:v>
                </c:pt>
                <c:pt idx="44">
                  <c:v>4</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smooth val="0"/>
        </c:ser>
        <c:ser>
          <c:idx val="1"/>
          <c:order val="1"/>
          <c:tx>
            <c:v>Adjusted Dates</c:v>
          </c:tx>
          <c:spPr>
            <a:ln w="25400">
              <a:solidFill>
                <a:srgbClr val="FF0000"/>
              </a:solidFill>
              <a:prstDash val="solid"/>
            </a:ln>
          </c:spPr>
          <c:dLbls>
            <c:dLbl>
              <c:idx val="2"/>
              <c:spPr/>
              <c:txPr>
                <a:bodyPr/>
                <a:lstStyle/>
                <a:p>
                  <a:pPr>
                    <a:defRPr sz="1000" b="0"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dLbl>
              <c:idx val="3"/>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4"/>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5"/>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6"/>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7"/>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dLbl>
              <c:idx val="8"/>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9"/>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2"/>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3"/>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4"/>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5"/>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6"/>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7"/>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8"/>
              <c:layout/>
              <c:spPr/>
              <c:txPr>
                <a:bodyPr/>
                <a:lstStyle/>
                <a:p>
                  <a:pPr>
                    <a:defRPr sz="1000" b="0" i="0" u="none" strike="noStrike" baseline="0">
                      <a:solidFill>
                        <a:srgbClr val="000000"/>
                      </a:solidFill>
                      <a:latin typeface="Calibri"/>
                      <a:ea typeface="Calibri"/>
                      <a:cs typeface="Calibri"/>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dLbl>
              <c:idx val="19"/>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20"/>
              <c:layout/>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dLbl>
              <c:idx val="21"/>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2"/>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3"/>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4"/>
              <c:spPr/>
              <c:txPr>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val>
            <c:numRef>
              <c:f>Calculator!$O$3:$O$81</c:f>
              <c:numCache>
                <c:formatCode>General</c:formatCode>
                <c:ptCount val="79"/>
                <c:pt idx="0">
                  <c:v>0</c:v>
                </c:pt>
                <c:pt idx="1">
                  <c:v>0</c:v>
                </c:pt>
                <c:pt idx="2">
                  <c:v>0</c:v>
                </c:pt>
                <c:pt idx="3">
                  <c:v>0</c:v>
                </c:pt>
                <c:pt idx="4">
                  <c:v>0</c:v>
                </c:pt>
                <c:pt idx="5">
                  <c:v>0</c:v>
                </c:pt>
                <c:pt idx="6">
                  <c:v>0</c:v>
                </c:pt>
                <c:pt idx="7">
                  <c:v>0</c:v>
                </c:pt>
                <c:pt idx="8">
                  <c:v>0</c:v>
                </c:pt>
                <c:pt idx="9">
                  <c:v>0</c:v>
                </c:pt>
                <c:pt idx="10">
                  <c:v>0</c:v>
                </c:pt>
                <c:pt idx="11">
                  <c:v>0</c:v>
                </c:pt>
                <c:pt idx="12">
                  <c:v>3</c:v>
                </c:pt>
                <c:pt idx="13">
                  <c:v>5</c:v>
                </c:pt>
                <c:pt idx="14">
                  <c:v>14</c:v>
                </c:pt>
                <c:pt idx="15">
                  <c:v>20</c:v>
                </c:pt>
                <c:pt idx="16">
                  <c:v>22</c:v>
                </c:pt>
                <c:pt idx="17">
                  <c:v>19</c:v>
                </c:pt>
                <c:pt idx="18">
                  <c:v>7</c:v>
                </c:pt>
                <c:pt idx="19">
                  <c:v>1</c:v>
                </c:pt>
                <c:pt idx="20">
                  <c:v>12</c:v>
                </c:pt>
                <c:pt idx="21">
                  <c:v>6</c:v>
                </c:pt>
                <c:pt idx="22">
                  <c:v>5</c:v>
                </c:pt>
                <c:pt idx="23">
                  <c:v>9</c:v>
                </c:pt>
                <c:pt idx="24">
                  <c:v>2</c:v>
                </c:pt>
                <c:pt idx="25">
                  <c:v>2</c:v>
                </c:pt>
                <c:pt idx="26">
                  <c:v>7</c:v>
                </c:pt>
                <c:pt idx="27">
                  <c:v>4</c:v>
                </c:pt>
                <c:pt idx="28">
                  <c:v>3</c:v>
                </c:pt>
                <c:pt idx="29">
                  <c:v>1</c:v>
                </c:pt>
                <c:pt idx="30">
                  <c:v>0</c:v>
                </c:pt>
                <c:pt idx="31">
                  <c:v>2</c:v>
                </c:pt>
                <c:pt idx="32">
                  <c:v>2</c:v>
                </c:pt>
                <c:pt idx="33">
                  <c:v>7</c:v>
                </c:pt>
                <c:pt idx="34">
                  <c:v>1</c:v>
                </c:pt>
                <c:pt idx="35">
                  <c:v>10</c:v>
                </c:pt>
                <c:pt idx="36">
                  <c:v>4</c:v>
                </c:pt>
                <c:pt idx="37">
                  <c:v>8</c:v>
                </c:pt>
                <c:pt idx="38">
                  <c:v>3</c:v>
                </c:pt>
                <c:pt idx="39">
                  <c:v>1</c:v>
                </c:pt>
                <c:pt idx="40">
                  <c:v>0</c:v>
                </c:pt>
                <c:pt idx="41">
                  <c:v>7</c:v>
                </c:pt>
                <c:pt idx="42">
                  <c:v>0</c:v>
                </c:pt>
                <c:pt idx="43">
                  <c:v>1</c:v>
                </c:pt>
                <c:pt idx="44">
                  <c:v>4</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numCache>
            </c:numRef>
          </c:val>
          <c:smooth val="0"/>
        </c:ser>
        <c:dLbls>
          <c:showLegendKey val="0"/>
          <c:showVal val="0"/>
          <c:showCatName val="0"/>
          <c:showSerName val="0"/>
          <c:showPercent val="0"/>
          <c:showBubbleSize val="0"/>
        </c:dLbls>
        <c:marker val="1"/>
        <c:smooth val="0"/>
        <c:axId val="341677768"/>
        <c:axId val="341676984"/>
      </c:lineChart>
      <c:dateAx>
        <c:axId val="341677768"/>
        <c:scaling>
          <c:orientation val="minMax"/>
          <c:max val="43466"/>
          <c:min val="43101"/>
        </c:scaling>
        <c:delete val="0"/>
        <c:axPos val="b"/>
        <c:majorGridlines/>
        <c:minorGridlines>
          <c:spPr>
            <a:ln>
              <a:solidFill>
                <a:srgbClr val="4F81BD"/>
              </a:solidFill>
            </a:ln>
          </c:spPr>
        </c:minorGridlines>
        <c:numFmt formatCode="[$-409]mmm\-yy;@" sourceLinked="0"/>
        <c:majorTickMark val="none"/>
        <c:minorTickMark val="none"/>
        <c:tickLblPos val="nextTo"/>
        <c:spPr>
          <a:ln>
            <a:solidFill>
              <a:schemeClr val="accent1"/>
            </a:solidFill>
          </a:ln>
        </c:spPr>
        <c:txPr>
          <a:bodyPr rot="-2700000" vert="horz"/>
          <a:lstStyle/>
          <a:p>
            <a:pPr>
              <a:defRPr sz="1000" b="0" i="0" u="none" strike="noStrike" baseline="0">
                <a:solidFill>
                  <a:srgbClr val="000000"/>
                </a:solidFill>
                <a:latin typeface="Calibri"/>
                <a:ea typeface="Calibri"/>
                <a:cs typeface="Calibri"/>
              </a:defRPr>
            </a:pPr>
            <a:endParaRPr lang="en-US"/>
          </a:p>
        </c:txPr>
        <c:crossAx val="341676984"/>
        <c:crosses val="autoZero"/>
        <c:auto val="0"/>
        <c:lblOffset val="100"/>
        <c:baseTimeUnit val="months"/>
        <c:majorUnit val="1"/>
        <c:majorTimeUnit val="months"/>
        <c:minorUnit val="1"/>
        <c:minorTimeUnit val="months"/>
      </c:dateAx>
      <c:valAx>
        <c:axId val="341676984"/>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Number 0f items to send to Cal</a:t>
                </a:r>
              </a:p>
            </c:rich>
          </c:tx>
          <c:layout/>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41677768"/>
        <c:crosses val="autoZero"/>
        <c:crossBetween val="midCat"/>
      </c:valAx>
    </c:plotArea>
    <c:legend>
      <c:legendPos val="r"/>
      <c:layout>
        <c:manualLayout>
          <c:xMode val="edge"/>
          <c:yMode val="edge"/>
          <c:x val="0.85148514851485146"/>
          <c:y val="0.49242424242424243"/>
          <c:w val="0.1397139713971397"/>
          <c:h val="7.2727272727272751E-2"/>
        </c:manualLayout>
      </c:layout>
      <c:overlay val="0"/>
      <c:txPr>
        <a:bodyPr/>
        <a:lstStyle/>
        <a:p>
          <a:pPr>
            <a:defRPr sz="78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chartsheets/sheet1.xml><?xml version="1.0" encoding="utf-8"?>
<chartsheet xmlns="http://schemas.openxmlformats.org/spreadsheetml/2006/main" xmlns:r="http://schemas.openxmlformats.org/officeDocument/2006/relationships">
  <sheetPr codeName="Chart1">
    <tabColor rgb="FF00B0F0"/>
  </sheetPr>
  <sheetViews>
    <sheetView zoomScale="115" workbookViewId="0" zoomToFit="1"/>
  </sheetViews>
  <pageMargins left="0.7" right="0.7" top="0.75" bottom="0.75" header="0.3" footer="0.3"/>
  <pageSetup orientation="landscape" r:id="rId1"/>
  <headerFooter>
    <oddHeader>&amp;C&amp;"Arial,Bold"&amp;20Number of Items Projected for Calbration by Month</oddHeader>
    <oddFooter>&amp;CPrinted &amp;D @ &amp;T</oddFooter>
  </headerFooter>
  <drawing r:id="rId2"/>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295275</xdr:colOff>
          <xdr:row>3</xdr:row>
          <xdr:rowOff>76200</xdr:rowOff>
        </xdr:from>
        <xdr:to>
          <xdr:col>15</xdr:col>
          <xdr:colOff>0</xdr:colOff>
          <xdr:row>5</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Loc then Due Cal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3609"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ables/table1.xml><?xml version="1.0" encoding="utf-8"?>
<table xmlns="http://schemas.openxmlformats.org/spreadsheetml/2006/main" id="1" name="Table1" displayName="Table1" ref="A8:AK280" totalsRowShown="0" headerRowDxfId="146" tableBorderDxfId="145">
  <autoFilter ref="A8:AK280"/>
  <sortState ref="A9:AK280">
    <sortCondition descending="1" ref="A8:A280"/>
  </sortState>
  <tableColumns count="37">
    <tableColumn id="1" name="ID CODE" dataDxfId="144"/>
    <tableColumn id="2" name="Serial" dataDxfId="143"/>
    <tableColumn id="3" name="PB" dataDxfId="142"/>
    <tableColumn id="4" name="# on Hand" dataDxfId="141"/>
    <tableColumn id="5" name="Range" dataDxfId="140"/>
    <tableColumn id="6" name="MODEL" dataDxfId="139"/>
    <tableColumn id="7" name="# of this model on hand" dataDxfId="138"/>
    <tableColumn id="8" name="Total of this model" dataDxfId="137"/>
    <tableColumn id="9" name="NOMEN" dataDxfId="136"/>
    <tableColumn id="10" name="NSN" dataDxfId="135"/>
    <tableColumn id="11" name="LAST CAL DATE" dataDxfId="134"/>
    <tableColumn id="12" name="INT" dataDxfId="133"/>
    <tableColumn id="13" name="DUE CAL DATE" dataDxfId="132">
      <calculatedColumnFormula>IF(K9="cnr","CNR",IF(K9="CBU", "CBU",IF(K9="Code Out","Code Out",K9+L9)))</calculatedColumnFormula>
    </tableColumn>
    <tableColumn id="14" name="Adjusted Send Date" dataDxfId="131">
      <calculatedColumnFormula>M9</calculatedColumnFormula>
    </tableColumn>
    <tableColumn id="15" name="Del" dataDxfId="130">
      <calculatedColumnFormula>IF(AJ9=1,"",IF(AH9&lt;1,"DEL",""))</calculatedColumnFormula>
    </tableColumn>
    <tableColumn id="16" name="Location / Status" dataDxfId="129"/>
    <tableColumn id="17" name="AP" dataDxfId="128"/>
    <tableColumn id="18" name="OUT" dataDxfId="127"/>
    <tableColumn id="19" name="IN" dataDxfId="126"/>
    <tableColumn id="37" name="Handed off to: Date and Signature"/>
    <tableColumn id="20" name="Notes" dataDxfId="125"/>
    <tableColumn id="21" name="Shop" dataDxfId="124"/>
    <tableColumn id="22" name="Column1"/>
    <tableColumn id="23" name="Column2"/>
    <tableColumn id="24" name="Scheduled Month">
      <calculatedColumnFormula>IF(AF9,MONTH(M9),"")</calculatedColumnFormula>
    </tableColumn>
    <tableColumn id="25" name="Scheduled Year">
      <calculatedColumnFormula>IF(AF9,YEAR(M9),"")</calculatedColumnFormula>
    </tableColumn>
    <tableColumn id="26" name="Adjusted Month">
      <calculatedColumnFormula>IF(AF9,MONTH(N9),"")</calculatedColumnFormula>
    </tableColumn>
    <tableColumn id="27" name="Adjusted Year">
      <calculatedColumnFormula>IF(AF9,YEAR(N9),"")</calculatedColumnFormula>
    </tableColumn>
    <tableColumn id="28" name="Scheduled MMyyyy">
      <calculatedColumnFormula>CONCATENATE(Y9,Z9)</calculatedColumnFormula>
    </tableColumn>
    <tableColumn id="29" name="Adjusted MMYYYY">
      <calculatedColumnFormula>CONCATENATE(AA9,AB9)</calculatedColumnFormula>
    </tableColumn>
    <tableColumn id="30" name="Smaller of Scheculed or Adjusted Date" dataDxfId="123">
      <calculatedColumnFormula>IF(M9="CBU","",IF(M9="CNR","",IF(K9="Code Out","",MIN(M9,N9))))</calculatedColumnFormula>
    </tableColumn>
    <tableColumn id="31" name="Is Item NOT at LAB">
      <calculatedColumnFormula>--(ISNUMBER(SEARCH("lab",P9)))
=--(ISNUMBER(SEARCH("fred",A1)))</calculatedColumnFormula>
    </tableColumn>
    <tableColumn id="32" name="Is AC8 &lt; $J$4">
      <calculatedColumnFormula>IF(AE9&lt;$J$4,TRUE,FALSE)</calculatedColumnFormula>
    </tableColumn>
    <tableColumn id="33" name="Days Until Due">
      <calculatedColumnFormula>IF(K9="CBU","",IF(K9="CNR","",IF(K9="Code Out","",SUM(M9-$U$1))))</calculatedColumnFormula>
    </tableColumn>
    <tableColumn id="34" name="Delinquent counter">
      <calculatedColumnFormula>COUNTIF(O9,"Del")</calculatedColumnFormula>
    </tableColumn>
    <tableColumn id="35" name="At Lab Counter">
      <calculatedColumnFormula>COUNTIF(P9,"*at lab*")</calculatedColumnFormula>
    </tableColumn>
    <tableColumn id="36" name="Column3">
      <calculatedColumnFormula>SUM(AI9:AJ9)</calculatedColumnFormula>
    </tableColumn>
  </tableColumns>
  <tableStyleInfo name="Table Style 1" showFirstColumn="0" showLastColumn="0" showRowStripes="1" showColumnStripes="0"/>
</table>
</file>

<file path=xl/tables/table2.xml><?xml version="1.0" encoding="utf-8"?>
<table xmlns="http://schemas.openxmlformats.org/spreadsheetml/2006/main" id="333" name="Table333" displayName="Table333" ref="J2:O81" totalsRowShown="0" headerRowDxfId="122" dataDxfId="121">
  <autoFilter ref="J2:O81"/>
  <tableColumns count="6">
    <tableColumn id="1" name="Month / Year" dataDxfId="120"/>
    <tableColumn id="2" name="Number of month" dataDxfId="119">
      <calculatedColumnFormula>MONTH(J3)</calculatedColumnFormula>
    </tableColumn>
    <tableColumn id="3" name="Year" dataDxfId="118">
      <calculatedColumnFormula>YEAR(J3)</calculatedColumnFormula>
    </tableColumn>
    <tableColumn id="4" name="Criteria to match in 'consolidated AE' Column" dataDxfId="117">
      <calculatedColumnFormula>CONCATENATE(K3,L3)</calculatedColumnFormula>
    </tableColumn>
    <tableColumn id="5" name="# of items due that month" dataDxfId="116">
      <calculatedColumnFormula>COUNTIF(Consolidated!$AC$9:$AC$280,M3)</calculatedColumnFormula>
    </tableColumn>
    <tableColumn id="6" name="Item due with rearrangement" dataDxfId="115">
      <calculatedColumnFormula>COUNTIF(Consolidated!$AD$9:AD$280,M3)</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G36"/>
  <sheetViews>
    <sheetView topLeftCell="A4" workbookViewId="0">
      <selection activeCell="A25" sqref="A25"/>
    </sheetView>
  </sheetViews>
  <sheetFormatPr defaultColWidth="8.85546875" defaultRowHeight="12.75" x14ac:dyDescent="0.2"/>
  <cols>
    <col min="1" max="1" width="16" style="5" customWidth="1"/>
    <col min="2" max="2" width="7.28515625" style="5" customWidth="1"/>
    <col min="3" max="3" width="12.140625" style="5" customWidth="1"/>
    <col min="4" max="4" width="8.85546875" style="5"/>
    <col min="5" max="5" width="78.28515625" style="5" customWidth="1"/>
    <col min="6" max="6" width="8.85546875" style="5"/>
    <col min="7" max="7" width="9.28515625" style="5" bestFit="1" customWidth="1"/>
    <col min="8" max="16384" width="8.85546875" style="5"/>
  </cols>
  <sheetData>
    <row r="1" spans="1:7" x14ac:dyDescent="0.2">
      <c r="A1" s="429" t="s">
        <v>234</v>
      </c>
      <c r="B1" s="433"/>
      <c r="C1" s="433"/>
      <c r="D1" s="433"/>
      <c r="E1" s="433"/>
    </row>
    <row r="2" spans="1:7" x14ac:dyDescent="0.2">
      <c r="A2" s="434" t="s">
        <v>235</v>
      </c>
      <c r="B2" s="433"/>
      <c r="C2" s="433"/>
      <c r="D2" s="433"/>
      <c r="E2" s="433"/>
      <c r="G2" s="134"/>
    </row>
    <row r="3" spans="1:7" x14ac:dyDescent="0.2">
      <c r="A3" s="429" t="s">
        <v>236</v>
      </c>
      <c r="B3" s="429"/>
      <c r="C3" s="429"/>
      <c r="D3" s="429"/>
      <c r="E3" s="429"/>
    </row>
    <row r="4" spans="1:7" x14ac:dyDescent="0.2">
      <c r="A4" s="429" t="s">
        <v>237</v>
      </c>
      <c r="B4" s="429"/>
      <c r="C4" s="429"/>
      <c r="D4" s="429"/>
      <c r="E4" s="429"/>
    </row>
    <row r="5" spans="1:7" ht="12.75" customHeight="1" x14ac:dyDescent="0.2">
      <c r="A5" s="7"/>
      <c r="B5" s="9"/>
      <c r="C5" s="10"/>
      <c r="D5" s="8"/>
      <c r="E5" s="8"/>
    </row>
    <row r="6" spans="1:7" x14ac:dyDescent="0.2">
      <c r="A6" s="23"/>
      <c r="B6" s="8"/>
      <c r="C6" s="8"/>
      <c r="D6" s="8"/>
      <c r="E6" s="1"/>
    </row>
    <row r="7" spans="1:7" x14ac:dyDescent="0.2">
      <c r="A7" s="11"/>
      <c r="B7" s="8"/>
      <c r="C7" s="8"/>
      <c r="D7" s="8"/>
      <c r="E7" s="8"/>
    </row>
    <row r="8" spans="1:7" x14ac:dyDescent="0.2">
      <c r="A8" s="11"/>
      <c r="B8" s="8"/>
      <c r="C8" s="8"/>
      <c r="D8" s="8"/>
      <c r="E8" s="22">
        <f ca="1">NOW()</f>
        <v>43279.431838773147</v>
      </c>
    </row>
    <row r="9" spans="1:7" ht="13.5" thickBot="1" x14ac:dyDescent="0.25">
      <c r="A9" s="12" t="s">
        <v>356</v>
      </c>
      <c r="B9" s="13"/>
      <c r="C9" s="429" t="s">
        <v>223</v>
      </c>
      <c r="D9" s="430"/>
      <c r="E9" s="7" t="s">
        <v>233</v>
      </c>
    </row>
    <row r="10" spans="1:7" ht="13.5" thickBot="1" x14ac:dyDescent="0.25">
      <c r="A10" s="2">
        <f>(Consolidated!B6)</f>
        <v>268</v>
      </c>
      <c r="B10" s="14"/>
      <c r="C10" s="427">
        <v>0.95</v>
      </c>
      <c r="D10" s="428"/>
      <c r="E10" s="135">
        <f ca="1">SUM(100-(((A14+(A12-D28))/(A10-B26))*100))</f>
        <v>86.36363636363636</v>
      </c>
    </row>
    <row r="11" spans="1:7" ht="13.5" thickBot="1" x14ac:dyDescent="0.25">
      <c r="A11" s="12" t="s">
        <v>611</v>
      </c>
      <c r="B11" s="7"/>
      <c r="C11" s="14"/>
      <c r="D11" s="7"/>
      <c r="E11" s="7"/>
    </row>
    <row r="12" spans="1:7" ht="14.25" customHeight="1" thickBot="1" x14ac:dyDescent="0.25">
      <c r="A12" s="3">
        <f ca="1">SUM(C27-D28)</f>
        <v>8</v>
      </c>
      <c r="B12" s="7"/>
      <c r="C12" s="429" t="s">
        <v>223</v>
      </c>
      <c r="D12" s="430"/>
      <c r="E12" s="7" t="s">
        <v>225</v>
      </c>
    </row>
    <row r="13" spans="1:7" ht="13.5" thickBot="1" x14ac:dyDescent="0.25">
      <c r="A13" s="12" t="s">
        <v>224</v>
      </c>
      <c r="B13" s="7"/>
      <c r="C13" s="431">
        <v>2</v>
      </c>
      <c r="D13" s="432"/>
      <c r="E13" s="6">
        <f ca="1">SUM((A12)/(A10-B25-B26))*100</f>
        <v>3.5714285714285712</v>
      </c>
    </row>
    <row r="14" spans="1:7" ht="13.5" thickBot="1" x14ac:dyDescent="0.25">
      <c r="A14" s="15">
        <f>(Consolidated!A4)</f>
        <v>28</v>
      </c>
      <c r="B14" s="7"/>
      <c r="C14" s="16"/>
      <c r="D14" s="14"/>
      <c r="E14" s="7"/>
    </row>
    <row r="16" spans="1:7" x14ac:dyDescent="0.2">
      <c r="B16" s="429" t="s">
        <v>242</v>
      </c>
      <c r="C16" s="429"/>
      <c r="D16" s="429"/>
      <c r="E16" s="429"/>
    </row>
    <row r="17" spans="1:5" x14ac:dyDescent="0.2">
      <c r="A17" s="7" t="s">
        <v>240</v>
      </c>
      <c r="B17" s="425" t="s">
        <v>421</v>
      </c>
      <c r="C17" s="425"/>
      <c r="D17" s="425"/>
      <c r="E17" s="425"/>
    </row>
    <row r="18" spans="1:5" x14ac:dyDescent="0.2">
      <c r="B18" s="433"/>
      <c r="C18" s="433"/>
      <c r="D18" s="433"/>
      <c r="E18" s="433"/>
    </row>
    <row r="19" spans="1:5" x14ac:dyDescent="0.2">
      <c r="A19" s="7" t="s">
        <v>241</v>
      </c>
      <c r="B19" s="425" t="s">
        <v>419</v>
      </c>
      <c r="C19" s="426"/>
      <c r="D19" s="426"/>
      <c r="E19" s="426"/>
    </row>
    <row r="23" spans="1:5" x14ac:dyDescent="0.2">
      <c r="E23" s="5" t="s">
        <v>353</v>
      </c>
    </row>
    <row r="24" spans="1:5" x14ac:dyDescent="0.2">
      <c r="E24" s="5" t="s">
        <v>354</v>
      </c>
    </row>
    <row r="25" spans="1:5" x14ac:dyDescent="0.2">
      <c r="A25" s="5" t="s">
        <v>358</v>
      </c>
      <c r="B25" s="4">
        <f>(Consolidated!A1)</f>
        <v>40</v>
      </c>
      <c r="E25" s="5" t="s">
        <v>355</v>
      </c>
    </row>
    <row r="26" spans="1:5" x14ac:dyDescent="0.2">
      <c r="A26" s="17" t="s">
        <v>357</v>
      </c>
      <c r="B26" s="4">
        <f>(Consolidated!B1)</f>
        <v>4</v>
      </c>
    </row>
    <row r="27" spans="1:5" x14ac:dyDescent="0.2">
      <c r="A27" s="18" t="s">
        <v>610</v>
      </c>
      <c r="C27" s="4">
        <f ca="1">Consolidated!A2</f>
        <v>8</v>
      </c>
    </row>
    <row r="28" spans="1:5" x14ac:dyDescent="0.2">
      <c r="A28" s="18" t="s">
        <v>418</v>
      </c>
      <c r="D28" s="4">
        <f ca="1">COUNTIF(Consolidated!AK9:AK15921,2)</f>
        <v>0</v>
      </c>
    </row>
    <row r="29" spans="1:5" x14ac:dyDescent="0.2">
      <c r="A29" s="19">
        <f>SUM(A10*0.05)</f>
        <v>13.4</v>
      </c>
      <c r="B29" s="18" t="s">
        <v>420</v>
      </c>
      <c r="E29" s="18"/>
    </row>
    <row r="30" spans="1:5" x14ac:dyDescent="0.2">
      <c r="A30" s="19">
        <f>SUM(A10*0.02)</f>
        <v>5.36</v>
      </c>
      <c r="B30" s="18" t="s">
        <v>524</v>
      </c>
    </row>
    <row r="31" spans="1:5" x14ac:dyDescent="0.2">
      <c r="E31" s="18"/>
    </row>
    <row r="33" spans="4:5" x14ac:dyDescent="0.2">
      <c r="E33" s="20"/>
    </row>
    <row r="36" spans="4:5" x14ac:dyDescent="0.2">
      <c r="D36" s="21"/>
    </row>
  </sheetData>
  <sheetProtection sheet="1" objects="1" scenarios="1" selectLockedCells="1" selectUnlockedCells="1"/>
  <mergeCells count="12">
    <mergeCell ref="A1:E1"/>
    <mergeCell ref="A2:E2"/>
    <mergeCell ref="A3:E3"/>
    <mergeCell ref="A4:E4"/>
    <mergeCell ref="C9:D9"/>
    <mergeCell ref="B19:E19"/>
    <mergeCell ref="C10:D10"/>
    <mergeCell ref="C12:D12"/>
    <mergeCell ref="C13:D13"/>
    <mergeCell ref="B17:E17"/>
    <mergeCell ref="B18:E18"/>
    <mergeCell ref="B16:E16"/>
  </mergeCells>
  <phoneticPr fontId="4" type="noConversion"/>
  <conditionalFormatting sqref="C13:E13">
    <cfRule type="expression" dxfId="177" priority="6" stopIfTrue="1">
      <formula>$C$13&lt;$E$13</formula>
    </cfRule>
    <cfRule type="expression" dxfId="176" priority="10" stopIfTrue="1">
      <formula>$C$13&lt;$E$13</formula>
    </cfRule>
  </conditionalFormatting>
  <conditionalFormatting sqref="E10">
    <cfRule type="cellIs" dxfId="175" priority="1" stopIfTrue="1" operator="lessThan">
      <formula>94.5</formula>
    </cfRule>
  </conditionalFormatting>
  <pageMargins left="0.67" right="0.46" top="1" bottom="1" header="0.5" footer="0.5"/>
  <pageSetup orientation="landscape" r:id="rId1"/>
  <headerFooter alignWithMargins="0">
    <oddFooter>&amp;LPrinted &amp;D at &amp;T&amp;RPage &amp;P 0f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pageSetUpPr fitToPage="1"/>
  </sheetPr>
  <dimension ref="A1:AL327"/>
  <sheetViews>
    <sheetView tabSelected="1" zoomScale="90" zoomScaleNormal="90" zoomScaleSheetLayoutView="100" workbookViewId="0">
      <pane xSplit="4" ySplit="8" topLeftCell="F54" activePane="bottomRight" state="frozen"/>
      <selection pane="topRight"/>
      <selection pane="bottomLeft"/>
      <selection pane="bottomRight" activeCell="U60" sqref="U60"/>
    </sheetView>
  </sheetViews>
  <sheetFormatPr defaultColWidth="8.85546875" defaultRowHeight="15" x14ac:dyDescent="0.2"/>
  <cols>
    <col min="1" max="1" width="22.140625" style="45" customWidth="1"/>
    <col min="2" max="2" width="19.42578125" style="46" customWidth="1"/>
    <col min="3" max="3" width="12.7109375" style="47" hidden="1" customWidth="1"/>
    <col min="4" max="4" width="6.140625" style="56" hidden="1" customWidth="1"/>
    <col min="5" max="5" width="8.85546875" style="56" hidden="1" customWidth="1"/>
    <col min="6" max="6" width="16.28515625" style="48" customWidth="1"/>
    <col min="7" max="7" width="11.28515625" style="48" hidden="1" customWidth="1"/>
    <col min="8" max="8" width="5.28515625" style="48" hidden="1" customWidth="1"/>
    <col min="9" max="9" width="18.140625" style="48" customWidth="1"/>
    <col min="10" max="10" width="19.7109375" style="49" customWidth="1"/>
    <col min="11" max="11" width="18.28515625" style="67" customWidth="1"/>
    <col min="12" max="12" width="8.42578125" style="50" customWidth="1"/>
    <col min="13" max="13" width="13.85546875" style="51" customWidth="1"/>
    <col min="14" max="14" width="16" style="89" customWidth="1"/>
    <col min="15" max="15" width="6.42578125" style="50" customWidth="1"/>
    <col min="16" max="16" width="20.5703125" style="52" customWidth="1"/>
    <col min="17" max="17" width="6.28515625" style="164" customWidth="1"/>
    <col min="18" max="18" width="7.5703125" style="164" customWidth="1"/>
    <col min="19" max="19" width="6.140625" style="164" customWidth="1"/>
    <col min="20" max="20" width="54.7109375" style="164" customWidth="1"/>
    <col min="21" max="21" width="31" style="53" customWidth="1"/>
    <col min="22" max="22" width="14.42578125" style="159" customWidth="1"/>
    <col min="23" max="24" width="15" style="54" hidden="1" customWidth="1"/>
    <col min="25" max="25" width="21.85546875" style="95" hidden="1" customWidth="1"/>
    <col min="26" max="26" width="20.42578125" style="95" hidden="1" customWidth="1"/>
    <col min="27" max="27" width="20.140625" style="86" hidden="1" customWidth="1"/>
    <col min="28" max="28" width="18.7109375" style="86" hidden="1" customWidth="1"/>
    <col min="29" max="29" width="26.28515625" style="92" hidden="1" customWidth="1"/>
    <col min="30" max="30" width="25.7109375" style="86" hidden="1" customWidth="1"/>
    <col min="31" max="31" width="25.140625" style="104" hidden="1" customWidth="1"/>
    <col min="32" max="32" width="24.28515625" style="110" hidden="1" customWidth="1"/>
    <col min="33" max="33" width="19.28515625" style="110" hidden="1" customWidth="1"/>
    <col min="34" max="34" width="19.28515625" style="98" hidden="1" customWidth="1"/>
    <col min="35" max="35" width="24.28515625" style="98" hidden="1" customWidth="1"/>
    <col min="36" max="36" width="19.28515625" style="98" hidden="1" customWidth="1"/>
    <col min="37" max="37" width="12.7109375" style="98" hidden="1" customWidth="1"/>
    <col min="38" max="38" width="8.85546875" style="44" hidden="1" customWidth="1"/>
    <col min="39" max="42" width="0" style="44" hidden="1" customWidth="1"/>
    <col min="43" max="16384" width="8.85546875" style="44"/>
  </cols>
  <sheetData>
    <row r="1" spans="1:37" s="28" customFormat="1" x14ac:dyDescent="0.2">
      <c r="A1" s="186">
        <f>COUNTIF(L9:L15921,"CNR")</f>
        <v>40</v>
      </c>
      <c r="B1" s="181">
        <f>COUNTIF(K9:K15921,"CBU")</f>
        <v>4</v>
      </c>
      <c r="D1" s="64"/>
      <c r="E1" s="64"/>
      <c r="F1" s="182">
        <f>COUNTIF(C9:C15921,"PB")</f>
        <v>0</v>
      </c>
      <c r="G1" s="24"/>
      <c r="H1" s="24"/>
      <c r="I1" s="183">
        <f>COUNTIF(C9:C15921,"H")</f>
        <v>4</v>
      </c>
      <c r="J1" s="25"/>
      <c r="K1" s="65"/>
      <c r="L1" s="26"/>
      <c r="M1" s="26"/>
      <c r="N1" s="87"/>
      <c r="O1" s="26"/>
      <c r="P1" s="437" t="s">
        <v>1086</v>
      </c>
      <c r="Q1" s="435" t="s">
        <v>410</v>
      </c>
      <c r="R1" s="435" t="s">
        <v>412</v>
      </c>
      <c r="S1" s="435" t="s">
        <v>413</v>
      </c>
      <c r="T1" s="367"/>
      <c r="U1" s="184">
        <f ca="1">NOW()</f>
        <v>43279.431838773147</v>
      </c>
      <c r="V1" s="24"/>
      <c r="W1" s="27"/>
      <c r="X1" s="27"/>
      <c r="Y1" s="93"/>
      <c r="Z1" s="93"/>
      <c r="AA1" s="99"/>
      <c r="AB1" s="99"/>
      <c r="AC1" s="90"/>
      <c r="AD1" s="99"/>
      <c r="AE1" s="102"/>
      <c r="AF1" s="108"/>
      <c r="AG1" s="108"/>
      <c r="AH1" s="100"/>
      <c r="AI1" s="100"/>
      <c r="AJ1" s="100"/>
      <c r="AK1" s="100"/>
    </row>
    <row r="2" spans="1:37" s="344" customFormat="1" ht="15.75" customHeight="1" x14ac:dyDescent="0.2">
      <c r="A2" s="343">
        <f ca="1">COUNTIF(O9:O15921,"DEL")</f>
        <v>8</v>
      </c>
      <c r="D2" s="345"/>
      <c r="E2" s="345"/>
      <c r="F2" s="346"/>
      <c r="G2" s="345"/>
      <c r="H2" s="345"/>
      <c r="J2" s="107" t="s">
        <v>1141</v>
      </c>
      <c r="K2" s="347" t="s">
        <v>1142</v>
      </c>
      <c r="L2" s="107"/>
      <c r="M2" s="107"/>
      <c r="N2" s="348"/>
      <c r="O2" s="349"/>
      <c r="P2" s="438"/>
      <c r="Q2" s="436"/>
      <c r="R2" s="436"/>
      <c r="S2" s="436"/>
      <c r="T2" s="368"/>
      <c r="U2" s="350"/>
      <c r="V2" s="351"/>
      <c r="W2" s="352"/>
      <c r="X2" s="352"/>
      <c r="Y2" s="353"/>
      <c r="Z2" s="353"/>
      <c r="AA2" s="354"/>
      <c r="AB2" s="354"/>
      <c r="AC2" s="353"/>
      <c r="AD2" s="354"/>
      <c r="AE2" s="355"/>
      <c r="AF2" s="97"/>
      <c r="AG2" s="97"/>
      <c r="AH2" s="356"/>
      <c r="AI2" s="356"/>
      <c r="AJ2" s="356"/>
      <c r="AK2" s="356"/>
    </row>
    <row r="3" spans="1:37" s="28" customFormat="1" ht="18" x14ac:dyDescent="0.25">
      <c r="A3" s="187">
        <f>COUNTIF(P9:P15921,"*Projected*")</f>
        <v>19</v>
      </c>
      <c r="C3" s="29"/>
      <c r="D3" s="30"/>
      <c r="E3" s="30"/>
      <c r="F3" s="30"/>
      <c r="G3" s="30"/>
      <c r="H3" s="30"/>
      <c r="I3" s="84" t="s">
        <v>1138</v>
      </c>
      <c r="J3" s="83">
        <v>43253</v>
      </c>
      <c r="K3" s="169"/>
      <c r="L3" s="29"/>
      <c r="M3" s="29"/>
      <c r="N3" s="88"/>
      <c r="O3" s="27"/>
      <c r="P3" s="438"/>
      <c r="Q3" s="436"/>
      <c r="R3" s="436"/>
      <c r="S3" s="436"/>
      <c r="T3" s="368"/>
      <c r="U3" s="32"/>
      <c r="V3" s="157"/>
      <c r="W3" s="31"/>
      <c r="X3" s="31"/>
      <c r="Y3" s="93"/>
      <c r="Z3" s="93"/>
      <c r="AA3" s="85"/>
      <c r="AB3" s="85"/>
      <c r="AC3" s="90"/>
      <c r="AD3" s="85"/>
      <c r="AE3" s="103"/>
      <c r="AF3" s="108"/>
      <c r="AG3" s="108"/>
      <c r="AH3" s="96"/>
      <c r="AI3" s="96"/>
      <c r="AJ3" s="96"/>
      <c r="AK3" s="96"/>
    </row>
    <row r="4" spans="1:37" s="28" customFormat="1" ht="18" x14ac:dyDescent="0.25">
      <c r="A4" s="188">
        <f>COUNTIF(P9:P15921,"*At Lab*")</f>
        <v>28</v>
      </c>
      <c r="C4" s="29"/>
      <c r="D4" s="30"/>
      <c r="E4" s="30"/>
      <c r="G4" s="30"/>
      <c r="H4" s="30"/>
      <c r="I4" s="84" t="s">
        <v>1380</v>
      </c>
      <c r="J4" s="185">
        <f>LOOKUP(J3,'Calibration Run Schedule'!B4:B20,'Calibration Run Schedule'!C4:C20)</f>
        <v>43295</v>
      </c>
      <c r="K4" s="169"/>
      <c r="L4" s="27"/>
      <c r="M4" s="33"/>
      <c r="N4" s="88"/>
      <c r="O4" s="27"/>
      <c r="P4" s="438"/>
      <c r="Q4" s="436"/>
      <c r="R4" s="436"/>
      <c r="S4" s="436"/>
      <c r="T4" s="368"/>
      <c r="U4" s="24"/>
      <c r="V4" s="157"/>
      <c r="W4" s="31"/>
      <c r="X4" s="31"/>
      <c r="Y4" s="93"/>
      <c r="Z4" s="93"/>
      <c r="AA4" s="85"/>
      <c r="AB4" s="85"/>
      <c r="AC4" s="90"/>
      <c r="AD4" s="85"/>
      <c r="AE4" s="103"/>
      <c r="AF4" s="108"/>
      <c r="AG4" s="108"/>
      <c r="AH4" s="96"/>
      <c r="AI4" s="96"/>
      <c r="AJ4" s="96"/>
      <c r="AK4" s="96"/>
    </row>
    <row r="5" spans="1:37" s="28" customFormat="1" ht="13.5" customHeight="1" thickBot="1" x14ac:dyDescent="0.25">
      <c r="A5" s="189">
        <f>COUNTIF(Q9:Q15921,"ap")</f>
        <v>2</v>
      </c>
      <c r="C5" s="29"/>
      <c r="D5" s="30"/>
      <c r="E5" s="30"/>
      <c r="F5" s="34"/>
      <c r="G5" s="34"/>
      <c r="H5" s="34"/>
      <c r="I5" s="35"/>
      <c r="J5" s="36"/>
      <c r="K5" s="136"/>
      <c r="L5" s="27"/>
      <c r="M5" s="33"/>
      <c r="N5" s="88"/>
      <c r="O5" s="37"/>
      <c r="P5" s="438"/>
      <c r="Q5" s="436"/>
      <c r="R5" s="436"/>
      <c r="S5" s="436"/>
      <c r="T5" s="368"/>
      <c r="U5" s="24"/>
      <c r="V5" s="157"/>
      <c r="W5" s="31"/>
      <c r="X5" s="31"/>
      <c r="Y5" s="93"/>
      <c r="Z5" s="93"/>
      <c r="AA5" s="85"/>
      <c r="AB5" s="85"/>
      <c r="AC5" s="90"/>
      <c r="AD5" s="85"/>
      <c r="AE5" s="168"/>
      <c r="AF5" s="108"/>
      <c r="AG5" s="108"/>
      <c r="AH5" s="101"/>
      <c r="AI5" s="101"/>
      <c r="AJ5" s="101"/>
      <c r="AK5" s="101"/>
    </row>
    <row r="6" spans="1:37" s="40" customFormat="1" ht="26.25" thickBot="1" x14ac:dyDescent="0.25">
      <c r="A6" s="38" t="s">
        <v>395</v>
      </c>
      <c r="B6" s="190">
        <f>COUNTA(L9:L15921)</f>
        <v>268</v>
      </c>
      <c r="C6" s="39"/>
      <c r="D6" s="55"/>
      <c r="E6" s="55"/>
      <c r="F6" s="62"/>
      <c r="I6" s="63"/>
      <c r="K6" s="66"/>
      <c r="N6" s="88"/>
      <c r="O6" s="41"/>
      <c r="P6" s="438"/>
      <c r="Q6" s="436"/>
      <c r="R6" s="436"/>
      <c r="S6" s="436"/>
      <c r="T6" s="368"/>
      <c r="U6" s="32"/>
      <c r="V6" s="158"/>
      <c r="W6" s="42"/>
      <c r="X6" s="42"/>
      <c r="Y6" s="94"/>
      <c r="Z6" s="94"/>
      <c r="AA6" s="85"/>
      <c r="AB6" s="85"/>
      <c r="AC6" s="91"/>
      <c r="AD6" s="85"/>
      <c r="AE6" s="103"/>
      <c r="AF6" s="109"/>
      <c r="AG6" s="109"/>
      <c r="AH6" s="97"/>
      <c r="AI6" s="97"/>
      <c r="AJ6" s="97"/>
      <c r="AK6" s="97"/>
    </row>
    <row r="7" spans="1:37" s="40" customFormat="1" x14ac:dyDescent="0.2">
      <c r="A7" s="336"/>
      <c r="B7" s="337"/>
      <c r="C7" s="39"/>
      <c r="D7" s="55"/>
      <c r="E7" s="55"/>
      <c r="F7" s="62"/>
      <c r="I7" s="63"/>
      <c r="K7" s="66"/>
      <c r="N7" s="88"/>
      <c r="O7" s="41"/>
      <c r="P7" s="301"/>
      <c r="Q7" s="300"/>
      <c r="R7" s="300"/>
      <c r="S7" s="300"/>
      <c r="T7" s="368"/>
      <c r="U7" s="32"/>
      <c r="V7" s="158"/>
      <c r="W7" s="42"/>
      <c r="X7" s="42"/>
      <c r="Y7" s="94"/>
      <c r="Z7" s="94"/>
      <c r="AA7" s="85"/>
      <c r="AB7" s="85"/>
      <c r="AC7" s="91"/>
      <c r="AD7" s="85"/>
      <c r="AE7" s="103"/>
      <c r="AF7" s="109"/>
      <c r="AG7" s="109"/>
      <c r="AH7" s="97"/>
      <c r="AI7" s="97"/>
      <c r="AJ7" s="97"/>
      <c r="AK7" s="97"/>
    </row>
    <row r="8" spans="1:37" s="43" customFormat="1" ht="36" customHeight="1" x14ac:dyDescent="0.2">
      <c r="A8" s="143" t="s">
        <v>0</v>
      </c>
      <c r="B8" s="144" t="s">
        <v>375</v>
      </c>
      <c r="C8" s="145" t="s">
        <v>226</v>
      </c>
      <c r="D8" s="145" t="s">
        <v>1353</v>
      </c>
      <c r="E8" s="145" t="s">
        <v>1396</v>
      </c>
      <c r="F8" s="144" t="s">
        <v>1</v>
      </c>
      <c r="G8" s="144" t="s">
        <v>771</v>
      </c>
      <c r="H8" s="144" t="s">
        <v>972</v>
      </c>
      <c r="I8" s="145" t="s">
        <v>2</v>
      </c>
      <c r="J8" s="146" t="s">
        <v>92</v>
      </c>
      <c r="K8" s="147" t="s">
        <v>422</v>
      </c>
      <c r="L8" s="145" t="s">
        <v>376</v>
      </c>
      <c r="M8" s="147" t="s">
        <v>377</v>
      </c>
      <c r="N8" s="148" t="s">
        <v>799</v>
      </c>
      <c r="O8" s="145" t="s">
        <v>411</v>
      </c>
      <c r="P8" s="149" t="s">
        <v>382</v>
      </c>
      <c r="Q8" s="163" t="s">
        <v>407</v>
      </c>
      <c r="R8" s="163" t="s">
        <v>397</v>
      </c>
      <c r="S8" s="163" t="s">
        <v>396</v>
      </c>
      <c r="T8" s="163" t="s">
        <v>1499</v>
      </c>
      <c r="U8" s="149" t="s">
        <v>374</v>
      </c>
      <c r="V8" s="144" t="s">
        <v>366</v>
      </c>
      <c r="W8" s="144" t="s">
        <v>1136</v>
      </c>
      <c r="X8" s="144" t="s">
        <v>1137</v>
      </c>
      <c r="Y8" s="150" t="s">
        <v>1026</v>
      </c>
      <c r="Z8" s="150" t="s">
        <v>1027</v>
      </c>
      <c r="AA8" s="151" t="s">
        <v>1028</v>
      </c>
      <c r="AB8" s="151" t="s">
        <v>1029</v>
      </c>
      <c r="AC8" s="150" t="s">
        <v>1439</v>
      </c>
      <c r="AD8" s="151" t="s">
        <v>1438</v>
      </c>
      <c r="AE8" s="152" t="s">
        <v>1145</v>
      </c>
      <c r="AF8" s="153" t="s">
        <v>1127</v>
      </c>
      <c r="AG8" s="153" t="s">
        <v>1437</v>
      </c>
      <c r="AH8" s="154" t="s">
        <v>659</v>
      </c>
      <c r="AI8" s="154" t="s">
        <v>1134</v>
      </c>
      <c r="AJ8" s="154" t="s">
        <v>1135</v>
      </c>
      <c r="AK8" s="155" t="s">
        <v>484</v>
      </c>
    </row>
    <row r="9" spans="1:37" s="75" customFormat="1" ht="25.5" x14ac:dyDescent="0.2">
      <c r="A9" s="414" t="s">
        <v>192</v>
      </c>
      <c r="B9" s="309" t="s">
        <v>193</v>
      </c>
      <c r="C9" s="310"/>
      <c r="D9" s="311">
        <v>4</v>
      </c>
      <c r="E9" s="311"/>
      <c r="F9" s="309" t="s">
        <v>19</v>
      </c>
      <c r="G9" s="309"/>
      <c r="H9" s="309" t="s">
        <v>974</v>
      </c>
      <c r="I9" s="311" t="s">
        <v>20</v>
      </c>
      <c r="J9" s="312">
        <v>6625013508774</v>
      </c>
      <c r="K9" s="299">
        <v>42969</v>
      </c>
      <c r="L9" s="311">
        <v>360</v>
      </c>
      <c r="M9" s="202">
        <f>IF(K9="cnr","CNR",IF(K9="CBU", "CBU",IF(K9="Code Out","Code Out",K9+L9)))</f>
        <v>43329</v>
      </c>
      <c r="N9" s="203">
        <f>(M9)</f>
        <v>43329</v>
      </c>
      <c r="O9" s="205" t="str">
        <f ca="1">IF(AJ9=1,"",IF(AH9&lt;1,"DEL",""))</f>
        <v/>
      </c>
      <c r="P9" s="317"/>
      <c r="Q9" s="313"/>
      <c r="R9" s="313"/>
      <c r="S9" s="313" t="s">
        <v>1470</v>
      </c>
      <c r="T9" s="313"/>
      <c r="U9" s="298" t="s">
        <v>1495</v>
      </c>
      <c r="V9" s="314" t="s">
        <v>679</v>
      </c>
      <c r="W9" s="173"/>
      <c r="X9" s="139"/>
      <c r="Y9" s="191">
        <f>IF(AF9,MONTH(M9),"")</f>
        <v>8</v>
      </c>
      <c r="Z9" s="192">
        <f>IF(AF9,YEAR(M9),"")</f>
        <v>2018</v>
      </c>
      <c r="AA9" s="191">
        <f>IF(AF9,MONTH(N9),"")</f>
        <v>8</v>
      </c>
      <c r="AB9" s="191">
        <f>IF(AF9,YEAR(N9),"")</f>
        <v>2018</v>
      </c>
      <c r="AC9" s="193" t="str">
        <f>CONCATENATE(Y9,Z9)</f>
        <v>82018</v>
      </c>
      <c r="AD9" s="194" t="str">
        <f>CONCATENATE(AA9,AB9)</f>
        <v>82018</v>
      </c>
      <c r="AE9" s="195">
        <f>IF(M9="CBU","",IF(M9="CNR","",IF(K9="Code Out","",MIN(M9,N9))))</f>
        <v>43329</v>
      </c>
      <c r="AF9" s="196" t="b">
        <f>--(ISNUMBER(SEARCH("lab",P9)))
=--(ISNUMBER(SEARCH("fred",A1)))</f>
        <v>1</v>
      </c>
      <c r="AG9" s="199" t="b">
        <f>IF(AE9&lt;$J$4,TRUE,FALSE)</f>
        <v>0</v>
      </c>
      <c r="AH9" s="192">
        <f ca="1">IF(K9="CBU","",IF(K9="CNR","",IF(K9="Code Out","",SUM(M9-$U$1))))</f>
        <v>49.568161226852681</v>
      </c>
      <c r="AI9" s="192">
        <f ca="1">COUNTIF(O9,"Del")</f>
        <v>0</v>
      </c>
      <c r="AJ9" s="192">
        <f>COUNTIF(P9,"*at lab*")</f>
        <v>0</v>
      </c>
      <c r="AK9" s="200">
        <f ca="1">SUM(AI9:AJ9)</f>
        <v>0</v>
      </c>
    </row>
    <row r="10" spans="1:37" s="82" customFormat="1" ht="26.25" customHeight="1" x14ac:dyDescent="0.2">
      <c r="A10" s="207" t="s">
        <v>191</v>
      </c>
      <c r="B10" s="309" t="s">
        <v>476</v>
      </c>
      <c r="C10" s="310"/>
      <c r="D10" s="311">
        <v>4</v>
      </c>
      <c r="E10" s="311"/>
      <c r="F10" s="309" t="s">
        <v>19</v>
      </c>
      <c r="G10" s="309"/>
      <c r="H10" s="309" t="s">
        <v>974</v>
      </c>
      <c r="I10" s="311" t="s">
        <v>20</v>
      </c>
      <c r="J10" s="312">
        <v>6625013508774</v>
      </c>
      <c r="K10" s="299">
        <v>43172</v>
      </c>
      <c r="L10" s="311">
        <v>360</v>
      </c>
      <c r="M10" s="202">
        <f>IF(K10="cnr","CNR",IF(K10="CBU", "CBU",IF(K10="Code Out","Code Out",K10+L10)))</f>
        <v>43532</v>
      </c>
      <c r="N10" s="203">
        <f>M10</f>
        <v>43532</v>
      </c>
      <c r="O10" s="205" t="str">
        <f ca="1">IF(AJ10=1,"",IF(AH10&lt;1,"DEL",""))</f>
        <v/>
      </c>
      <c r="P10" s="299"/>
      <c r="Q10" s="313"/>
      <c r="R10" s="313"/>
      <c r="S10" s="313" t="s">
        <v>398</v>
      </c>
      <c r="T10" s="319"/>
      <c r="U10" s="318" t="s">
        <v>1533</v>
      </c>
      <c r="V10" s="314" t="s">
        <v>679</v>
      </c>
      <c r="W10" s="173"/>
      <c r="X10" s="139"/>
      <c r="Y10" s="191">
        <f ca="1">IF(AF10,MONTH(M10),"")</f>
        <v>3</v>
      </c>
      <c r="Z10" s="192">
        <f ca="1">IF(AF10,YEAR(M10),"")</f>
        <v>2019</v>
      </c>
      <c r="AA10" s="191">
        <f ca="1">IF(AF10,MONTH(N10),"")</f>
        <v>3</v>
      </c>
      <c r="AB10" s="191">
        <f ca="1">IF(AF10,YEAR(N10),"")</f>
        <v>2019</v>
      </c>
      <c r="AC10" s="193" t="str">
        <f ca="1">CONCATENATE(Y10,Z10)</f>
        <v>32019</v>
      </c>
      <c r="AD10" s="194" t="str">
        <f ca="1">CONCATENATE(AA10,AB10)</f>
        <v>32019</v>
      </c>
      <c r="AE10" s="195">
        <f>IF(M10="CBU","",IF(M10="CNR","",IF(K10="Code Out","",MIN(M10,N10))))</f>
        <v>43532</v>
      </c>
      <c r="AF10" s="196" t="b">
        <f ca="1">--(ISNUMBER(SEARCH("lab",P10)))
=--(ISNUMBER(SEARCH("fred",A2)))</f>
        <v>1</v>
      </c>
      <c r="AG10" s="199" t="b">
        <f>IF(AE10&lt;$J$4,TRUE,FALSE)</f>
        <v>0</v>
      </c>
      <c r="AH10" s="192">
        <f ca="1">IF(K10="CBU","",IF(K10="CNR","",IF(K10="Code Out","",SUM(M10-$U$1))))</f>
        <v>252.56816122685268</v>
      </c>
      <c r="AI10" s="192">
        <f ca="1">COUNTIF(O10,"Del")</f>
        <v>0</v>
      </c>
      <c r="AJ10" s="192">
        <f>COUNTIF(P10,"*at lab*")</f>
        <v>0</v>
      </c>
      <c r="AK10" s="200">
        <f ca="1">SUM(AI10:AJ10)</f>
        <v>0</v>
      </c>
    </row>
    <row r="11" spans="1:37" s="82" customFormat="1" ht="22.5" customHeight="1" x14ac:dyDescent="0.2">
      <c r="A11" s="207" t="s">
        <v>194</v>
      </c>
      <c r="B11" s="309" t="s">
        <v>195</v>
      </c>
      <c r="C11" s="310"/>
      <c r="D11" s="311">
        <v>4</v>
      </c>
      <c r="E11" s="311"/>
      <c r="F11" s="309" t="s">
        <v>19</v>
      </c>
      <c r="G11" s="309"/>
      <c r="H11" s="309" t="s">
        <v>974</v>
      </c>
      <c r="I11" s="311" t="s">
        <v>20</v>
      </c>
      <c r="J11" s="312">
        <v>6625013508774</v>
      </c>
      <c r="K11" s="299">
        <v>43215</v>
      </c>
      <c r="L11" s="311">
        <v>360</v>
      </c>
      <c r="M11" s="202">
        <f>IF(K11="cnr","CNR",IF(K11="CBU", "CBU",IF(K11="Code Out","Code Out",K11+L11)))</f>
        <v>43575</v>
      </c>
      <c r="N11" s="203">
        <f>M11</f>
        <v>43575</v>
      </c>
      <c r="O11" s="205" t="str">
        <f ca="1">IF(AJ11=1,"",IF(AH11&lt;1,"DEL",""))</f>
        <v/>
      </c>
      <c r="P11" s="299"/>
      <c r="Q11" s="313"/>
      <c r="R11" s="313"/>
      <c r="S11" s="313" t="s">
        <v>398</v>
      </c>
      <c r="T11" s="319"/>
      <c r="U11" s="318" t="s">
        <v>1550</v>
      </c>
      <c r="V11" s="314" t="s">
        <v>679</v>
      </c>
      <c r="W11" s="173"/>
      <c r="X11" s="139"/>
      <c r="Y11" s="191">
        <f>IF(AF11,MONTH(M11),"")</f>
        <v>4</v>
      </c>
      <c r="Z11" s="192">
        <f>IF(AF11,YEAR(M11),"")</f>
        <v>2019</v>
      </c>
      <c r="AA11" s="191">
        <f>IF(AF11,MONTH(N11),"")</f>
        <v>4</v>
      </c>
      <c r="AB11" s="191">
        <f>IF(AF11,YEAR(N11),"")</f>
        <v>2019</v>
      </c>
      <c r="AC11" s="193" t="str">
        <f>CONCATENATE(Y11,Z11)</f>
        <v>42019</v>
      </c>
      <c r="AD11" s="194" t="str">
        <f>CONCATENATE(AA11,AB11)</f>
        <v>42019</v>
      </c>
      <c r="AE11" s="195">
        <f>IF(M11="CBU","",IF(M11="CNR","",IF(K11="Code Out","",MIN(M11,N11))))</f>
        <v>43575</v>
      </c>
      <c r="AF11" s="196" t="b">
        <f>--(ISNUMBER(SEARCH("lab",P11)))
=--(ISNUMBER(SEARCH("fred",A3)))</f>
        <v>1</v>
      </c>
      <c r="AG11" s="199" t="b">
        <f>IF(AE11&lt;$J$4,TRUE,FALSE)</f>
        <v>0</v>
      </c>
      <c r="AH11" s="192">
        <f ca="1">IF(K11="CBU","",IF(K11="CNR","",IF(K11="Code Out","",SUM(M11-$U$1))))</f>
        <v>295.56816122685268</v>
      </c>
      <c r="AI11" s="192">
        <f ca="1">COUNTIF(O11,"Del")</f>
        <v>0</v>
      </c>
      <c r="AJ11" s="192">
        <f>COUNTIF(P11,"*at lab*")</f>
        <v>0</v>
      </c>
      <c r="AK11" s="200">
        <f ca="1">SUM(AI11:AJ11)</f>
        <v>0</v>
      </c>
    </row>
    <row r="12" spans="1:37" s="75" customFormat="1" ht="30.75" customHeight="1" x14ac:dyDescent="0.2">
      <c r="A12" s="207" t="s">
        <v>175</v>
      </c>
      <c r="B12" s="309">
        <v>956</v>
      </c>
      <c r="C12" s="310"/>
      <c r="D12" s="311">
        <v>1</v>
      </c>
      <c r="E12" s="311"/>
      <c r="F12" s="309" t="s">
        <v>176</v>
      </c>
      <c r="G12" s="309"/>
      <c r="H12" s="309" t="s">
        <v>855</v>
      </c>
      <c r="I12" s="311" t="s">
        <v>5</v>
      </c>
      <c r="J12" s="312">
        <v>5120012510149</v>
      </c>
      <c r="K12" s="299">
        <v>43201</v>
      </c>
      <c r="L12" s="311">
        <v>180</v>
      </c>
      <c r="M12" s="202">
        <f>IF(K12="cnr","CNR",IF(K12="CBU", "CBU",IF(K12="Code Out","Code Out",K12+L12)))</f>
        <v>43381</v>
      </c>
      <c r="N12" s="203">
        <f>M12</f>
        <v>43381</v>
      </c>
      <c r="O12" s="205" t="str">
        <f ca="1">IF(AJ12=1,"",IF(AH12&lt;1,"DEL",""))</f>
        <v/>
      </c>
      <c r="P12" s="299"/>
      <c r="Q12" s="313"/>
      <c r="R12" s="313"/>
      <c r="S12" s="313" t="s">
        <v>398</v>
      </c>
      <c r="T12" s="313"/>
      <c r="U12" s="318" t="s">
        <v>1550</v>
      </c>
      <c r="V12" s="314" t="s">
        <v>1528</v>
      </c>
      <c r="W12" s="170"/>
      <c r="X12" s="138"/>
      <c r="Y12" s="197">
        <f>IF(AF12,MONTH(M12),"")</f>
        <v>10</v>
      </c>
      <c r="Z12" s="198">
        <f>IF(AF12,YEAR(M12),"")</f>
        <v>2018</v>
      </c>
      <c r="AA12" s="191">
        <f>IF(AF12,MONTH(N12),"")</f>
        <v>10</v>
      </c>
      <c r="AB12" s="191">
        <f>IF(AF12,YEAR(N12),"")</f>
        <v>2018</v>
      </c>
      <c r="AC12" s="193" t="str">
        <f>CONCATENATE(Y12,Z12)</f>
        <v>102018</v>
      </c>
      <c r="AD12" s="194" t="str">
        <f>CONCATENATE(AA12,AB12)</f>
        <v>102018</v>
      </c>
      <c r="AE12" s="195">
        <f>IF(M12="CBU","",IF(M12="CNR","",IF(K12="Code Out","",MIN(M12,N12))))</f>
        <v>43381</v>
      </c>
      <c r="AF12" s="196" t="b">
        <f>--(ISNUMBER(SEARCH("lab",P12)))
=--(ISNUMBER(SEARCH("fred",A4)))</f>
        <v>1</v>
      </c>
      <c r="AG12" s="199" t="b">
        <f>IF(AE12&lt;$J$4,TRUE,FALSE)</f>
        <v>0</v>
      </c>
      <c r="AH12" s="192">
        <f ca="1">IF(K12="CBU","",IF(K12="CNR","",IF(K12="Code Out","",SUM(M12-$U$1))))</f>
        <v>101.56816122685268</v>
      </c>
      <c r="AI12" s="192">
        <f ca="1">COUNTIF(O12,"Del")</f>
        <v>0</v>
      </c>
      <c r="AJ12" s="192">
        <f>COUNTIF(P12,"*at lab*")</f>
        <v>0</v>
      </c>
      <c r="AK12" s="200">
        <f ca="1">SUM(AI12:AJ12)</f>
        <v>0</v>
      </c>
    </row>
    <row r="13" spans="1:37" s="75" customFormat="1" ht="25.5" x14ac:dyDescent="0.2">
      <c r="A13" s="207" t="s">
        <v>190</v>
      </c>
      <c r="B13" s="309" t="s">
        <v>271</v>
      </c>
      <c r="C13" s="310"/>
      <c r="D13" s="311" t="s">
        <v>1350</v>
      </c>
      <c r="E13" s="311"/>
      <c r="F13" s="309" t="s">
        <v>430</v>
      </c>
      <c r="G13" s="309"/>
      <c r="H13" s="309" t="s">
        <v>855</v>
      </c>
      <c r="I13" s="311" t="s">
        <v>120</v>
      </c>
      <c r="J13" s="312">
        <v>6670000000000</v>
      </c>
      <c r="K13" s="299">
        <v>42817</v>
      </c>
      <c r="L13" s="311">
        <v>720</v>
      </c>
      <c r="M13" s="202">
        <f>IF(K13="cnr","CNR",IF(K13="CBU", "CBU",IF(K13="Code Out","Code Out",K13+L13)))</f>
        <v>43537</v>
      </c>
      <c r="N13" s="203">
        <f>M13</f>
        <v>43537</v>
      </c>
      <c r="O13" s="205" t="str">
        <f ca="1">IF(AJ13=1,"",IF(AH13&lt;1,"DEL",""))</f>
        <v/>
      </c>
      <c r="P13" s="317"/>
      <c r="Q13" s="313"/>
      <c r="R13" s="313"/>
      <c r="S13" s="313" t="s">
        <v>1432</v>
      </c>
      <c r="T13" s="313"/>
      <c r="U13" s="318" t="s">
        <v>1465</v>
      </c>
      <c r="V13" s="314" t="s">
        <v>676</v>
      </c>
      <c r="W13" s="173"/>
      <c r="X13" s="139"/>
      <c r="Y13" s="191">
        <f>IF(AF13,MONTH(M13),"")</f>
        <v>3</v>
      </c>
      <c r="Z13" s="192">
        <f>IF(AF13,YEAR(M13),"")</f>
        <v>2019</v>
      </c>
      <c r="AA13" s="191">
        <f>IF(AF13,MONTH(N13),"")</f>
        <v>3</v>
      </c>
      <c r="AB13" s="191">
        <f>IF(AF13,YEAR(N13),"")</f>
        <v>2019</v>
      </c>
      <c r="AC13" s="193" t="str">
        <f>CONCATENATE(Y13,Z13)</f>
        <v>32019</v>
      </c>
      <c r="AD13" s="194" t="str">
        <f>CONCATENATE(AA13,AB13)</f>
        <v>32019</v>
      </c>
      <c r="AE13" s="195">
        <f>IF(M13="CBU","",IF(M13="CNR","",IF(K13="Code Out","",MIN(M13,N13))))</f>
        <v>43537</v>
      </c>
      <c r="AF13" s="196" t="b">
        <f>--(ISNUMBER(SEARCH("lab",P13)))
=--(ISNUMBER(SEARCH("fred",A5)))</f>
        <v>1</v>
      </c>
      <c r="AG13" s="199" t="b">
        <f>IF(AE13&lt;$J$4,TRUE,FALSE)</f>
        <v>0</v>
      </c>
      <c r="AH13" s="192">
        <f ca="1">IF(K13="CBU","",IF(K13="CNR","",IF(K13="Code Out","",SUM(M13-$U$1))))</f>
        <v>257.56816122685268</v>
      </c>
      <c r="AI13" s="192">
        <f ca="1">COUNTIF(O13,"Del")</f>
        <v>0</v>
      </c>
      <c r="AJ13" s="192">
        <f>COUNTIF(P13,"*at lab*")</f>
        <v>0</v>
      </c>
      <c r="AK13" s="200">
        <f ca="1">SUM(AI13:AJ13)</f>
        <v>0</v>
      </c>
    </row>
    <row r="14" spans="1:37" s="75" customFormat="1" ht="38.25" x14ac:dyDescent="0.2">
      <c r="A14" s="207" t="s">
        <v>311</v>
      </c>
      <c r="B14" s="309" t="s">
        <v>311</v>
      </c>
      <c r="C14" s="310"/>
      <c r="D14" s="311">
        <v>9</v>
      </c>
      <c r="E14" s="311"/>
      <c r="F14" s="309" t="s">
        <v>141</v>
      </c>
      <c r="G14" s="309"/>
      <c r="H14" s="309" t="s">
        <v>976</v>
      </c>
      <c r="I14" s="311" t="s">
        <v>142</v>
      </c>
      <c r="J14" s="312">
        <v>6685008514577</v>
      </c>
      <c r="K14" s="299">
        <v>42408</v>
      </c>
      <c r="L14" s="311">
        <v>1080</v>
      </c>
      <c r="M14" s="202">
        <f>IF(K14="cnr","CNR",IF(K14="CBU", "CBU",IF(K14="Code Out","Code Out",K14+L14)))</f>
        <v>43488</v>
      </c>
      <c r="N14" s="203">
        <f>M14</f>
        <v>43488</v>
      </c>
      <c r="O14" s="205" t="str">
        <f ca="1">IF(AJ14=1,"",IF(AH14&lt;1,"DEL",""))</f>
        <v/>
      </c>
      <c r="P14" s="317"/>
      <c r="Q14" s="313"/>
      <c r="R14" s="313"/>
      <c r="S14" s="313" t="s">
        <v>1370</v>
      </c>
      <c r="T14" s="319"/>
      <c r="U14" s="298" t="s">
        <v>1385</v>
      </c>
      <c r="V14" s="314" t="s">
        <v>373</v>
      </c>
      <c r="W14" s="173"/>
      <c r="X14" s="139"/>
      <c r="Y14" s="191">
        <f>IF(AF14,MONTH(M14),"")</f>
        <v>1</v>
      </c>
      <c r="Z14" s="192">
        <f>IF(AF14,YEAR(M14),"")</f>
        <v>2019</v>
      </c>
      <c r="AA14" s="191">
        <f>IF(AF14,MONTH(N14),"")</f>
        <v>1</v>
      </c>
      <c r="AB14" s="191">
        <f>IF(AF14,YEAR(N14),"")</f>
        <v>2019</v>
      </c>
      <c r="AC14" s="193" t="str">
        <f>CONCATENATE(Y14,Z14)</f>
        <v>12019</v>
      </c>
      <c r="AD14" s="194" t="str">
        <f>CONCATENATE(AA14,AB14)</f>
        <v>12019</v>
      </c>
      <c r="AE14" s="195">
        <f>IF(M14="CBU","",IF(M14="CNR","",IF(K14="Code Out","",MIN(M14,N14))))</f>
        <v>43488</v>
      </c>
      <c r="AF14" s="196" t="b">
        <f>--(ISNUMBER(SEARCH("lab",P14)))
=--(ISNUMBER(SEARCH("fred",A6)))</f>
        <v>1</v>
      </c>
      <c r="AG14" s="199" t="b">
        <f>IF(AE14&lt;$J$4,TRUE,FALSE)</f>
        <v>0</v>
      </c>
      <c r="AH14" s="192">
        <f ca="1">IF(K14="CBU","",IF(K14="CNR","",IF(K14="Code Out","",SUM(M14-$U$1))))</f>
        <v>208.56816122685268</v>
      </c>
      <c r="AI14" s="192">
        <f ca="1">COUNTIF(O14,"Del")</f>
        <v>0</v>
      </c>
      <c r="AJ14" s="192">
        <f>COUNTIF(P14,"*at lab*")</f>
        <v>0</v>
      </c>
      <c r="AK14" s="200">
        <f ca="1">SUM(AI14:AJ14)</f>
        <v>0</v>
      </c>
    </row>
    <row r="15" spans="1:37" s="75" customFormat="1" ht="41.25" customHeight="1" x14ac:dyDescent="0.2">
      <c r="A15" s="207" t="s">
        <v>184</v>
      </c>
      <c r="B15" s="309" t="s">
        <v>184</v>
      </c>
      <c r="C15" s="310"/>
      <c r="D15" s="311">
        <v>3</v>
      </c>
      <c r="E15" s="311"/>
      <c r="F15" s="309" t="s">
        <v>183</v>
      </c>
      <c r="G15" s="309"/>
      <c r="H15" s="309" t="s">
        <v>973</v>
      </c>
      <c r="I15" s="311" t="s">
        <v>41</v>
      </c>
      <c r="J15" s="312">
        <v>6685000881548</v>
      </c>
      <c r="K15" s="299">
        <v>43147</v>
      </c>
      <c r="L15" s="311">
        <v>1080</v>
      </c>
      <c r="M15" s="202">
        <f>IF(K15="cnr","CNR",IF(K15="CBU", "CBU",IF(K15="Code Out","Code Out",K15+L15)))</f>
        <v>44227</v>
      </c>
      <c r="N15" s="203">
        <f>M15</f>
        <v>44227</v>
      </c>
      <c r="O15" s="205" t="str">
        <f ca="1">IF(AJ15=1,"",IF(AH15&lt;1,"DEL",""))</f>
        <v/>
      </c>
      <c r="P15" s="299"/>
      <c r="Q15" s="313"/>
      <c r="R15" s="313"/>
      <c r="S15" s="313" t="s">
        <v>398</v>
      </c>
      <c r="T15" s="313"/>
      <c r="U15" s="298" t="s">
        <v>1526</v>
      </c>
      <c r="V15" s="314" t="s">
        <v>681</v>
      </c>
      <c r="W15" s="173"/>
      <c r="X15" s="139"/>
      <c r="Y15" s="191">
        <f>IF(AF15,MONTH(M15),"")</f>
        <v>1</v>
      </c>
      <c r="Z15" s="192">
        <f>IF(AF15,YEAR(M15),"")</f>
        <v>2021</v>
      </c>
      <c r="AA15" s="191">
        <f>IF(AF15,MONTH(N15),"")</f>
        <v>1</v>
      </c>
      <c r="AB15" s="191">
        <f>IF(AF15,YEAR(N15),"")</f>
        <v>2021</v>
      </c>
      <c r="AC15" s="193" t="str">
        <f>CONCATENATE(Y15,Z15)</f>
        <v>12021</v>
      </c>
      <c r="AD15" s="194" t="str">
        <f>CONCATENATE(AA15,AB15)</f>
        <v>12021</v>
      </c>
      <c r="AE15" s="195">
        <f>IF(M15="CBU","",IF(M15="CNR","",IF(K15="Code Out","",MIN(M15,N15))))</f>
        <v>44227</v>
      </c>
      <c r="AF15" s="196" t="b">
        <f>--(ISNUMBER(SEARCH("lab",P15)))
=--(ISNUMBER(SEARCH("fred",A7)))</f>
        <v>1</v>
      </c>
      <c r="AG15" s="199" t="b">
        <f>IF(AE15&lt;$J$4,TRUE,FALSE)</f>
        <v>0</v>
      </c>
      <c r="AH15" s="192">
        <f ca="1">IF(K15="CBU","",IF(K15="CNR","",IF(K15="Code Out","",SUM(M15-$U$1))))</f>
        <v>947.56816122685268</v>
      </c>
      <c r="AI15" s="192">
        <f ca="1">COUNTIF(O15,"Del")</f>
        <v>0</v>
      </c>
      <c r="AJ15" s="192">
        <f>COUNTIF(P15,"*at lab*")</f>
        <v>0</v>
      </c>
      <c r="AK15" s="200">
        <f ca="1">SUM(AI15:AJ15)</f>
        <v>0</v>
      </c>
    </row>
    <row r="16" spans="1:37" s="75" customFormat="1" ht="25.5" x14ac:dyDescent="0.2">
      <c r="A16" s="207" t="s">
        <v>185</v>
      </c>
      <c r="B16" s="309" t="s">
        <v>185</v>
      </c>
      <c r="C16" s="310"/>
      <c r="D16" s="311">
        <v>3</v>
      </c>
      <c r="E16" s="311"/>
      <c r="F16" s="309" t="s">
        <v>183</v>
      </c>
      <c r="G16" s="309"/>
      <c r="H16" s="309" t="s">
        <v>973</v>
      </c>
      <c r="I16" s="311" t="s">
        <v>41</v>
      </c>
      <c r="J16" s="312">
        <v>6685000881548</v>
      </c>
      <c r="K16" s="299">
        <v>43118</v>
      </c>
      <c r="L16" s="311">
        <v>1080</v>
      </c>
      <c r="M16" s="202">
        <f>IF(K16="cnr","CNR",IF(K16="CBU", "CBU",IF(K16="Code Out","Code Out",K16+L16)))</f>
        <v>44198</v>
      </c>
      <c r="N16" s="203">
        <f>M16</f>
        <v>44198</v>
      </c>
      <c r="O16" s="205" t="str">
        <f ca="1">IF(AJ16=1,"",IF(AH16&lt;1,"DEL",""))</f>
        <v/>
      </c>
      <c r="P16" s="299"/>
      <c r="Q16" s="313"/>
      <c r="R16" s="313"/>
      <c r="S16" s="313" t="s">
        <v>398</v>
      </c>
      <c r="T16" s="313"/>
      <c r="U16" s="298" t="s">
        <v>1517</v>
      </c>
      <c r="V16" s="314" t="s">
        <v>681</v>
      </c>
      <c r="W16" s="170"/>
      <c r="X16" s="138"/>
      <c r="Y16" s="197">
        <f>IF(AF16,MONTH(M16),"")</f>
        <v>1</v>
      </c>
      <c r="Z16" s="198">
        <f>IF(AF16,YEAR(M16),"")</f>
        <v>2021</v>
      </c>
      <c r="AA16" s="191">
        <f>IF(AF16,MONTH(N16),"")</f>
        <v>1</v>
      </c>
      <c r="AB16" s="191">
        <f>IF(AF16,YEAR(N16),"")</f>
        <v>2021</v>
      </c>
      <c r="AC16" s="193" t="str">
        <f>CONCATENATE(Y16,Z16)</f>
        <v>12021</v>
      </c>
      <c r="AD16" s="194" t="str">
        <f>CONCATENATE(AA16,AB16)</f>
        <v>12021</v>
      </c>
      <c r="AE16" s="195">
        <f>IF(M16="CBU","",IF(M16="CNR","",IF(K16="Code Out","",MIN(M16,N16))))</f>
        <v>44198</v>
      </c>
      <c r="AF16" s="196" t="b">
        <f>--(ISNUMBER(SEARCH("lab",P16)))
=--(ISNUMBER(SEARCH("fred",A8)))</f>
        <v>1</v>
      </c>
      <c r="AG16" s="199" t="b">
        <f>IF(AE16&lt;$J$4,TRUE,FALSE)</f>
        <v>0</v>
      </c>
      <c r="AH16" s="192">
        <f ca="1">IF(K16="CBU","",IF(K16="CNR","",IF(K16="Code Out","",SUM(M16-$U$1))))</f>
        <v>918.56816122685268</v>
      </c>
      <c r="AI16" s="192">
        <f ca="1">COUNTIF(O16,"Del")</f>
        <v>0</v>
      </c>
      <c r="AJ16" s="192">
        <f>COUNTIF(P16,"*at lab*")</f>
        <v>0</v>
      </c>
      <c r="AK16" s="200">
        <f ca="1">SUM(AI16:AJ16)</f>
        <v>0</v>
      </c>
    </row>
    <row r="17" spans="1:37" s="75" customFormat="1" ht="25.5" x14ac:dyDescent="0.2">
      <c r="A17" s="207" t="s">
        <v>1012</v>
      </c>
      <c r="B17" s="315" t="s">
        <v>1006</v>
      </c>
      <c r="C17" s="309"/>
      <c r="D17" s="309" t="s">
        <v>855</v>
      </c>
      <c r="E17" s="309"/>
      <c r="F17" s="309" t="s">
        <v>1005</v>
      </c>
      <c r="G17" s="309"/>
      <c r="H17" s="309"/>
      <c r="I17" s="309" t="s">
        <v>148</v>
      </c>
      <c r="J17" s="312">
        <v>4920014982543</v>
      </c>
      <c r="K17" s="299">
        <v>43178</v>
      </c>
      <c r="L17" s="310">
        <v>360</v>
      </c>
      <c r="M17" s="202">
        <f>IF(K17="cnr","CNR",IF(K17="CBU", "CBU",IF(K17="Code Out","Code Out",K17+L17)))</f>
        <v>43538</v>
      </c>
      <c r="N17" s="203">
        <f>M17</f>
        <v>43538</v>
      </c>
      <c r="O17" s="205" t="str">
        <f ca="1">IF(AJ17=1,"",IF(AH17&lt;1,"DEL",""))</f>
        <v/>
      </c>
      <c r="P17" s="299"/>
      <c r="Q17" s="313"/>
      <c r="R17" s="313"/>
      <c r="S17" s="319"/>
      <c r="T17" s="319"/>
      <c r="U17" s="298" t="s">
        <v>1533</v>
      </c>
      <c r="V17" s="320" t="s">
        <v>370</v>
      </c>
      <c r="W17" s="172"/>
      <c r="X17" s="137"/>
      <c r="Y17" s="191">
        <f>IF(AF17,MONTH(M17),"")</f>
        <v>3</v>
      </c>
      <c r="Z17" s="192">
        <f>IF(AF17,YEAR(M17),"")</f>
        <v>2019</v>
      </c>
      <c r="AA17" s="191">
        <f>IF(AF17,MONTH(N17),"")</f>
        <v>3</v>
      </c>
      <c r="AB17" s="191">
        <f>IF(AF17,YEAR(N17),"")</f>
        <v>2019</v>
      </c>
      <c r="AC17" s="193" t="str">
        <f>CONCATENATE(Y17,Z17)</f>
        <v>32019</v>
      </c>
      <c r="AD17" s="194" t="str">
        <f>CONCATENATE(AA17,AB17)</f>
        <v>32019</v>
      </c>
      <c r="AE17" s="195">
        <f>IF(M17="CBU","",IF(M17="CNR","",IF(K17="Code Out","",MIN(M17,N17))))</f>
        <v>43538</v>
      </c>
      <c r="AF17" s="196" t="b">
        <f>--(ISNUMBER(SEARCH("lab",P17)))
=--(ISNUMBER(SEARCH("fred",A9)))</f>
        <v>1</v>
      </c>
      <c r="AG17" s="199" t="b">
        <f>IF(AE17&lt;$J$4,TRUE,FALSE)</f>
        <v>0</v>
      </c>
      <c r="AH17" s="192">
        <f ca="1">IF(K17="CBU","",IF(K17="CNR","",IF(K17="Code Out","",SUM(M17-$U$1))))</f>
        <v>258.56816122685268</v>
      </c>
      <c r="AI17" s="192">
        <f ca="1">COUNTIF(O17,"Del")</f>
        <v>0</v>
      </c>
      <c r="AJ17" s="192">
        <f>COUNTIF(P17,"*at lab*")</f>
        <v>0</v>
      </c>
      <c r="AK17" s="200">
        <f ca="1">SUM(AI17:AJ17)</f>
        <v>0</v>
      </c>
    </row>
    <row r="18" spans="1:37" s="75" customFormat="1" ht="28.5" customHeight="1" x14ac:dyDescent="0.2">
      <c r="A18" s="207" t="s">
        <v>178</v>
      </c>
      <c r="B18" s="389" t="s">
        <v>993</v>
      </c>
      <c r="C18" s="311" t="s">
        <v>751</v>
      </c>
      <c r="D18" s="311">
        <v>3</v>
      </c>
      <c r="E18" s="311"/>
      <c r="F18" s="309">
        <v>7799773</v>
      </c>
      <c r="G18" s="309"/>
      <c r="H18" s="309" t="s">
        <v>973</v>
      </c>
      <c r="I18" s="311" t="s">
        <v>159</v>
      </c>
      <c r="J18" s="316">
        <v>4933008676607</v>
      </c>
      <c r="K18" s="299" t="s">
        <v>138</v>
      </c>
      <c r="L18" s="316" t="s">
        <v>138</v>
      </c>
      <c r="M18" s="202" t="str">
        <f>IF(K18="cnr","CNR",IF(K18="CBU", "CBU",IF(K18="Code Out","Code Out",K18+L18)))</f>
        <v>CNR</v>
      </c>
      <c r="N18" s="203" t="str">
        <f>M18</f>
        <v>CNR</v>
      </c>
      <c r="O18" s="205" t="str">
        <f>IF(AJ18=1,"",IF(AH18&lt;1,"DEL",""))</f>
        <v/>
      </c>
      <c r="P18" s="317"/>
      <c r="Q18" s="313"/>
      <c r="R18" s="313"/>
      <c r="S18" s="313" t="s">
        <v>398</v>
      </c>
      <c r="T18" s="319"/>
      <c r="U18" s="318" t="s">
        <v>891</v>
      </c>
      <c r="V18" s="314" t="s">
        <v>368</v>
      </c>
      <c r="W18" s="173"/>
      <c r="X18" s="139"/>
      <c r="Y18" s="197" t="e">
        <f>IF(AF18,MONTH(M18),"")</f>
        <v>#VALUE!</v>
      </c>
      <c r="Z18" s="198" t="e">
        <f>IF(AF18,YEAR(M18),"")</f>
        <v>#VALUE!</v>
      </c>
      <c r="AA18" s="191" t="e">
        <f>IF(AF18,MONTH(N18),"")</f>
        <v>#VALUE!</v>
      </c>
      <c r="AB18" s="191" t="e">
        <f>IF(AF18,YEAR(N18),"")</f>
        <v>#VALUE!</v>
      </c>
      <c r="AC18" s="193" t="e">
        <f>CONCATENATE(Y18,Z18)</f>
        <v>#VALUE!</v>
      </c>
      <c r="AD18" s="194" t="e">
        <f>CONCATENATE(AA18,AB18)</f>
        <v>#VALUE!</v>
      </c>
      <c r="AE18" s="195" t="str">
        <f>IF(M18="CBU","",IF(M18="CNR","",IF(K18="Code Out","",MIN(M18,N18))))</f>
        <v/>
      </c>
      <c r="AF18" s="196" t="b">
        <f>--(ISNUMBER(SEARCH("lab",P18)))
=--(ISNUMBER(SEARCH("fred",A10)))</f>
        <v>1</v>
      </c>
      <c r="AG18" s="199" t="b">
        <f>IF(AE18&lt;$J$4,TRUE,FALSE)</f>
        <v>0</v>
      </c>
      <c r="AH18" s="192" t="str">
        <f>IF(K18="CBU","",IF(K18="CNR","",IF(K18="Code Out","",SUM(M18-$U$1))))</f>
        <v/>
      </c>
      <c r="AI18" s="192">
        <f>COUNTIF(O18,"Del")</f>
        <v>0</v>
      </c>
      <c r="AJ18" s="192">
        <f>COUNTIF(P18,"*at lab*")</f>
        <v>0</v>
      </c>
      <c r="AK18" s="200">
        <f>SUM(AI18:AJ18)</f>
        <v>0</v>
      </c>
    </row>
    <row r="19" spans="1:37" s="75" customFormat="1" ht="25.5" x14ac:dyDescent="0.2">
      <c r="A19" s="207" t="s">
        <v>177</v>
      </c>
      <c r="B19" s="360" t="s">
        <v>992</v>
      </c>
      <c r="C19" s="311" t="s">
        <v>751</v>
      </c>
      <c r="D19" s="311">
        <v>3</v>
      </c>
      <c r="E19" s="311"/>
      <c r="F19" s="309">
        <v>7799773</v>
      </c>
      <c r="G19" s="309"/>
      <c r="H19" s="309" t="s">
        <v>973</v>
      </c>
      <c r="I19" s="311" t="s">
        <v>159</v>
      </c>
      <c r="J19" s="312">
        <v>4933008676607</v>
      </c>
      <c r="K19" s="299" t="s">
        <v>138</v>
      </c>
      <c r="L19" s="312" t="s">
        <v>138</v>
      </c>
      <c r="M19" s="202" t="str">
        <f>IF(K19="cnr","CNR",IF(K19="CBU", "CBU",IF(K19="Code Out","Code Out",K19+L19)))</f>
        <v>CNR</v>
      </c>
      <c r="N19" s="203" t="str">
        <f>M19</f>
        <v>CNR</v>
      </c>
      <c r="O19" s="205" t="str">
        <f>IF(AJ19=1,"",IF(AH19&lt;1,"DEL",""))</f>
        <v/>
      </c>
      <c r="P19" s="317"/>
      <c r="Q19" s="313"/>
      <c r="R19" s="313"/>
      <c r="S19" s="313" t="s">
        <v>398</v>
      </c>
      <c r="T19" s="359"/>
      <c r="U19" s="468" t="s">
        <v>891</v>
      </c>
      <c r="V19" s="314" t="s">
        <v>368</v>
      </c>
      <c r="W19" s="170"/>
      <c r="X19" s="138"/>
      <c r="Y19" s="197" t="e">
        <f>IF(AF19,MONTH(M19),"")</f>
        <v>#VALUE!</v>
      </c>
      <c r="Z19" s="198" t="e">
        <f>IF(AF19,YEAR(M19),"")</f>
        <v>#VALUE!</v>
      </c>
      <c r="AA19" s="191" t="e">
        <f>IF(AF19,MONTH(N19),"")</f>
        <v>#VALUE!</v>
      </c>
      <c r="AB19" s="191" t="e">
        <f>IF(AF19,YEAR(N19),"")</f>
        <v>#VALUE!</v>
      </c>
      <c r="AC19" s="193" t="e">
        <f>CONCATENATE(Y19,Z19)</f>
        <v>#VALUE!</v>
      </c>
      <c r="AD19" s="194" t="e">
        <f>CONCATENATE(AA19,AB19)</f>
        <v>#VALUE!</v>
      </c>
      <c r="AE19" s="195" t="str">
        <f>IF(M19="CBU","",IF(M19="CNR","",IF(K19="Code Out","",MIN(M19,N19))))</f>
        <v/>
      </c>
      <c r="AF19" s="196" t="b">
        <f>--(ISNUMBER(SEARCH("lab",P19)))
=--(ISNUMBER(SEARCH("fred",A11)))</f>
        <v>1</v>
      </c>
      <c r="AG19" s="199" t="b">
        <f>IF(AE19&lt;$J$4,TRUE,FALSE)</f>
        <v>0</v>
      </c>
      <c r="AH19" s="192" t="str">
        <f>IF(K19="CBU","",IF(K19="CNR","",IF(K19="Code Out","",SUM(M19-$U$1))))</f>
        <v/>
      </c>
      <c r="AI19" s="192">
        <f>COUNTIF(O19,"Del")</f>
        <v>0</v>
      </c>
      <c r="AJ19" s="192">
        <f>COUNTIF(P19,"*at lab*")</f>
        <v>0</v>
      </c>
      <c r="AK19" s="200">
        <f>SUM(AI19:AJ19)</f>
        <v>0</v>
      </c>
    </row>
    <row r="20" spans="1:37" s="75" customFormat="1" ht="25.5" x14ac:dyDescent="0.2">
      <c r="A20" s="207" t="s">
        <v>123</v>
      </c>
      <c r="B20" s="315" t="s">
        <v>124</v>
      </c>
      <c r="C20" s="310"/>
      <c r="D20" s="309" t="s">
        <v>855</v>
      </c>
      <c r="E20" s="309"/>
      <c r="F20" s="309" t="s">
        <v>125</v>
      </c>
      <c r="G20" s="309" t="s">
        <v>772</v>
      </c>
      <c r="H20" s="309" t="s">
        <v>855</v>
      </c>
      <c r="I20" s="311" t="s">
        <v>5</v>
      </c>
      <c r="J20" s="316">
        <v>5120005684742</v>
      </c>
      <c r="K20" s="299">
        <v>43201</v>
      </c>
      <c r="L20" s="310">
        <v>180</v>
      </c>
      <c r="M20" s="202">
        <f>IF(K20="cnr","CNR",IF(K20="CBU", "CBU",IF(K20="Code Out","Code Out",K20+L20)))</f>
        <v>43381</v>
      </c>
      <c r="N20" s="203">
        <f>M20</f>
        <v>43381</v>
      </c>
      <c r="O20" s="206" t="str">
        <f ca="1">IF(AJ20=1,"",IF(AH20&lt;1,"DEL",""))</f>
        <v/>
      </c>
      <c r="P20" s="299"/>
      <c r="Q20" s="313"/>
      <c r="R20" s="313"/>
      <c r="S20" s="313" t="s">
        <v>398</v>
      </c>
      <c r="T20" s="313"/>
      <c r="U20" s="318" t="s">
        <v>1550</v>
      </c>
      <c r="V20" s="314" t="s">
        <v>370</v>
      </c>
      <c r="W20" s="173"/>
      <c r="X20" s="139"/>
      <c r="Y20" s="191">
        <f>IF(AF20,MONTH(M20),"")</f>
        <v>10</v>
      </c>
      <c r="Z20" s="192">
        <f>IF(AF20,YEAR(M20),"")</f>
        <v>2018</v>
      </c>
      <c r="AA20" s="191">
        <f>IF(AF20,MONTH(N20),"")</f>
        <v>10</v>
      </c>
      <c r="AB20" s="191">
        <f>IF(AF20,YEAR(N20),"")</f>
        <v>2018</v>
      </c>
      <c r="AC20" s="193" t="str">
        <f>CONCATENATE(Y20,Z20)</f>
        <v>102018</v>
      </c>
      <c r="AD20" s="194" t="str">
        <f>CONCATENATE(AA20,AB20)</f>
        <v>102018</v>
      </c>
      <c r="AE20" s="195">
        <f>IF(M20="CBU","",IF(M20="CNR","",IF(K20="Code Out","",MIN(M20,N20))))</f>
        <v>43381</v>
      </c>
      <c r="AF20" s="196" t="b">
        <f>--(ISNUMBER(SEARCH("lab",P20)))
=--(ISNUMBER(SEARCH("fred",A12)))</f>
        <v>1</v>
      </c>
      <c r="AG20" s="199" t="b">
        <f>IF(AE20&lt;$J$4,TRUE,FALSE)</f>
        <v>0</v>
      </c>
      <c r="AH20" s="192">
        <f ca="1">IF(K20="CBU","",IF(K20="CNR","",IF(K20="Code Out","",SUM(M20-$U$1))))</f>
        <v>101.56816122685268</v>
      </c>
      <c r="AI20" s="192">
        <f ca="1">COUNTIF(O20,"Del")</f>
        <v>0</v>
      </c>
      <c r="AJ20" s="192">
        <f>COUNTIF(P20,"*at lab*")</f>
        <v>0</v>
      </c>
      <c r="AK20" s="200">
        <f ca="1">SUM(AI20:AJ20)</f>
        <v>0</v>
      </c>
    </row>
    <row r="21" spans="1:37" s="75" customFormat="1" ht="30.75" customHeight="1" x14ac:dyDescent="0.2">
      <c r="A21" s="207" t="s">
        <v>116</v>
      </c>
      <c r="B21" s="315" t="s">
        <v>117</v>
      </c>
      <c r="C21" s="310"/>
      <c r="D21" s="309" t="s">
        <v>855</v>
      </c>
      <c r="E21" s="309"/>
      <c r="F21" s="309" t="s">
        <v>502</v>
      </c>
      <c r="G21" s="309" t="s">
        <v>772</v>
      </c>
      <c r="H21" s="309" t="s">
        <v>855</v>
      </c>
      <c r="I21" s="309" t="s">
        <v>557</v>
      </c>
      <c r="J21" s="316">
        <v>5120007201975</v>
      </c>
      <c r="K21" s="299">
        <v>43070</v>
      </c>
      <c r="L21" s="310">
        <v>180</v>
      </c>
      <c r="M21" s="202">
        <f>IF(K21="cnr","CNR",IF(K21="CBU", "CBU",IF(K21="Code Out","Code Out",K21+L21)))</f>
        <v>43250</v>
      </c>
      <c r="N21" s="203">
        <f>M21</f>
        <v>43250</v>
      </c>
      <c r="O21" s="205" t="str">
        <f>IF(AJ21=1,"",IF(AH21&lt;1,"DEL",""))</f>
        <v/>
      </c>
      <c r="P21" s="299" t="s">
        <v>1551</v>
      </c>
      <c r="Q21" s="313"/>
      <c r="R21" s="313" t="s">
        <v>398</v>
      </c>
      <c r="S21" s="313"/>
      <c r="T21" s="313"/>
      <c r="U21" s="318" t="s">
        <v>1512</v>
      </c>
      <c r="V21" s="314" t="s">
        <v>369</v>
      </c>
      <c r="W21" s="173"/>
      <c r="X21" s="139"/>
      <c r="Y21" s="191" t="str">
        <f>IF(AF21,MONTH(M21),"")</f>
        <v/>
      </c>
      <c r="Z21" s="192" t="str">
        <f>IF(AF21,YEAR(M21),"")</f>
        <v/>
      </c>
      <c r="AA21" s="191" t="str">
        <f>IF(AF21,MONTH(N21),"")</f>
        <v/>
      </c>
      <c r="AB21" s="191" t="str">
        <f>IF(AF21,YEAR(N21),"")</f>
        <v/>
      </c>
      <c r="AC21" s="193" t="str">
        <f>CONCATENATE(Y21,Z21)</f>
        <v/>
      </c>
      <c r="AD21" s="194" t="str">
        <f>CONCATENATE(AA21,AB21)</f>
        <v/>
      </c>
      <c r="AE21" s="195">
        <f>IF(M21="CBU","",IF(M21="CNR","",IF(K21="Code Out","",MIN(M21,N21))))</f>
        <v>43250</v>
      </c>
      <c r="AF21" s="196" t="b">
        <f>--(ISNUMBER(SEARCH("lab",P21)))
=--(ISNUMBER(SEARCH("fred",A13)))</f>
        <v>0</v>
      </c>
      <c r="AG21" s="199" t="b">
        <f>IF(AE21&lt;$J$4,TRUE,FALSE)</f>
        <v>1</v>
      </c>
      <c r="AH21" s="192">
        <f ca="1">IF(K21="CBU","",IF(K21="CNR","",IF(K21="Code Out","",SUM(M21-$U$1))))</f>
        <v>-29.431838773147319</v>
      </c>
      <c r="AI21" s="192">
        <f>COUNTIF(O21,"Del")</f>
        <v>0</v>
      </c>
      <c r="AJ21" s="192">
        <f>COUNTIF(P21,"*at lab*")</f>
        <v>1</v>
      </c>
      <c r="AK21" s="200">
        <f>SUM(AI21:AJ21)</f>
        <v>1</v>
      </c>
    </row>
    <row r="22" spans="1:37" s="75" customFormat="1" ht="39" customHeight="1" x14ac:dyDescent="0.2">
      <c r="A22" s="391" t="s">
        <v>1503</v>
      </c>
      <c r="B22" s="315" t="s">
        <v>1543</v>
      </c>
      <c r="C22" s="309"/>
      <c r="D22" s="309"/>
      <c r="E22" s="309"/>
      <c r="F22" s="309"/>
      <c r="G22" s="309"/>
      <c r="H22" s="309"/>
      <c r="I22" s="311" t="s">
        <v>577</v>
      </c>
      <c r="J22" s="312"/>
      <c r="K22" s="299">
        <v>43039</v>
      </c>
      <c r="L22" s="392">
        <v>180</v>
      </c>
      <c r="M22" s="202">
        <v>43404</v>
      </c>
      <c r="N22" s="203">
        <f>M22</f>
        <v>43404</v>
      </c>
      <c r="O22" s="206" t="str">
        <f ca="1">IF(AJ22=1,"",IF(AH22&lt;1,"DEL",""))</f>
        <v/>
      </c>
      <c r="P22" s="299"/>
      <c r="Q22" s="362"/>
      <c r="R22" s="362"/>
      <c r="S22" s="362"/>
      <c r="T22" s="393" t="s">
        <v>1511</v>
      </c>
      <c r="U22" s="373" t="s">
        <v>1505</v>
      </c>
      <c r="V22" s="374" t="s">
        <v>1504</v>
      </c>
      <c r="W22" s="363"/>
      <c r="X22" s="364"/>
      <c r="Y22" s="375">
        <f>IF(AF22,MONTH(M22),"")</f>
        <v>10</v>
      </c>
      <c r="Z22" s="375">
        <f>IF(AF22,YEAR(M22),"")</f>
        <v>2018</v>
      </c>
      <c r="AA22" s="376">
        <f>IF(AF22,MONTH(N22),"")</f>
        <v>10</v>
      </c>
      <c r="AB22" s="376">
        <f>IF(AF22,YEAR(N22),"")</f>
        <v>2018</v>
      </c>
      <c r="AC22" s="378" t="str">
        <f>CONCATENATE(Y22,Z22)</f>
        <v>102018</v>
      </c>
      <c r="AD22" s="376" t="str">
        <f>CONCATENATE(AA22,AB22)</f>
        <v>102018</v>
      </c>
      <c r="AE22" s="370">
        <f>IF(M22="CBU","",IF(M22="CNR","",IF(K22="Code Out","",MIN(M22,N22))))</f>
        <v>43404</v>
      </c>
      <c r="AF22" s="381" t="b">
        <f>--(ISNUMBER(SEARCH("lab",P22)))
=--(ISNUMBER(SEARCH("fred",A14)))</f>
        <v>1</v>
      </c>
      <c r="AG22" s="381" t="b">
        <f>IF(AE22&lt;$J$4,TRUE,FALSE)</f>
        <v>0</v>
      </c>
      <c r="AH22" s="384">
        <f ca="1">IF(K22="CBU","",IF(K22="CNR","",IF(K22="Code Out","",SUM(M22-$U$1))))</f>
        <v>124.56816122685268</v>
      </c>
      <c r="AI22" s="384">
        <f ca="1">COUNTIF(O22,"Del")</f>
        <v>0</v>
      </c>
      <c r="AJ22" s="384">
        <f>COUNTIF(P22,"*at lab*")</f>
        <v>0</v>
      </c>
      <c r="AK22" s="386">
        <f ca="1">SUM(AI22:AJ22)</f>
        <v>0</v>
      </c>
    </row>
    <row r="23" spans="1:37" s="75" customFormat="1" x14ac:dyDescent="0.2">
      <c r="A23" s="207" t="s">
        <v>635</v>
      </c>
      <c r="B23" s="315" t="s">
        <v>885</v>
      </c>
      <c r="C23" s="309"/>
      <c r="D23" s="309" t="s">
        <v>855</v>
      </c>
      <c r="E23" s="309"/>
      <c r="F23" s="309" t="s">
        <v>886</v>
      </c>
      <c r="G23" s="309"/>
      <c r="H23" s="309" t="s">
        <v>855</v>
      </c>
      <c r="I23" s="309" t="s">
        <v>1000</v>
      </c>
      <c r="J23" s="312">
        <v>4920015353520</v>
      </c>
      <c r="K23" s="299" t="s">
        <v>999</v>
      </c>
      <c r="L23" s="310"/>
      <c r="M23" s="202" t="str">
        <f>IF(K23="cnr","CNR",IF(K23="CBU", "CBU",IF(K23="Code Out","Code Out",K23+L23)))</f>
        <v>Code Out</v>
      </c>
      <c r="N23" s="203" t="str">
        <f>M23</f>
        <v>Code Out</v>
      </c>
      <c r="O23" s="205" t="str">
        <f>IF(AJ23=1,"",IF(AH23&lt;1,"DEL",""))</f>
        <v/>
      </c>
      <c r="P23" s="317" t="s">
        <v>1476</v>
      </c>
      <c r="Q23" s="313"/>
      <c r="R23" s="313" t="s">
        <v>398</v>
      </c>
      <c r="S23" s="313"/>
      <c r="T23" s="313"/>
      <c r="U23" s="322" t="s">
        <v>1477</v>
      </c>
      <c r="V23" s="320" t="s">
        <v>373</v>
      </c>
      <c r="W23" s="171"/>
      <c r="X23" s="140"/>
      <c r="Y23" s="197" t="str">
        <f>IF(AF23,MONTH(M23),"")</f>
        <v/>
      </c>
      <c r="Z23" s="198" t="str">
        <f>IF(AF23,YEAR(M23),"")</f>
        <v/>
      </c>
      <c r="AA23" s="191" t="str">
        <f>IF(AF23,MONTH(N23),"")</f>
        <v/>
      </c>
      <c r="AB23" s="191" t="str">
        <f>IF(AF23,YEAR(N23),"")</f>
        <v/>
      </c>
      <c r="AC23" s="193" t="str">
        <f>CONCATENATE(Y23,Z23)</f>
        <v/>
      </c>
      <c r="AD23" s="194" t="str">
        <f>CONCATENATE(AA23,AB23)</f>
        <v/>
      </c>
      <c r="AE23" s="195" t="str">
        <f>IF(M23="CBU","",IF(M23="CNR","",IF(K23="Code Out","",MIN(M23,N23))))</f>
        <v/>
      </c>
      <c r="AF23" s="196" t="b">
        <f>--(ISNUMBER(SEARCH("lab",P23)))
=--(ISNUMBER(SEARCH("fred",A15)))</f>
        <v>0</v>
      </c>
      <c r="AG23" s="199" t="b">
        <f>IF(AE23&lt;$J$4,TRUE,FALSE)</f>
        <v>0</v>
      </c>
      <c r="AH23" s="192" t="str">
        <f>IF(K23="CBU","",IF(K23="CNR","",IF(K23="Code Out","",SUM(M23-$U$1))))</f>
        <v/>
      </c>
      <c r="AI23" s="192">
        <f>COUNTIF(O23,"Del")</f>
        <v>0</v>
      </c>
      <c r="AJ23" s="192">
        <f>COUNTIF(P23,"*at lab*")</f>
        <v>1</v>
      </c>
      <c r="AK23" s="200">
        <f>SUM(AI23:AJ23)</f>
        <v>1</v>
      </c>
    </row>
    <row r="24" spans="1:37" s="75" customFormat="1" x14ac:dyDescent="0.2">
      <c r="A24" s="207" t="s">
        <v>635</v>
      </c>
      <c r="B24" s="315" t="s">
        <v>1541</v>
      </c>
      <c r="C24" s="309"/>
      <c r="D24" s="309"/>
      <c r="E24" s="309"/>
      <c r="F24" s="309" t="s">
        <v>1047</v>
      </c>
      <c r="G24" s="309"/>
      <c r="H24" s="309"/>
      <c r="I24" s="309" t="s">
        <v>1048</v>
      </c>
      <c r="J24" s="312"/>
      <c r="K24" s="299">
        <v>42793</v>
      </c>
      <c r="L24" s="310"/>
      <c r="M24" s="202">
        <v>43158</v>
      </c>
      <c r="N24" s="203">
        <f>M24</f>
        <v>43158</v>
      </c>
      <c r="O24" s="206" t="str">
        <f>IF(AJ24=1,"",IF(AH24&lt;1,"DEL",""))</f>
        <v/>
      </c>
      <c r="P24" s="317" t="s">
        <v>1484</v>
      </c>
      <c r="Q24" s="313"/>
      <c r="R24" s="313" t="s">
        <v>398</v>
      </c>
      <c r="S24" s="313"/>
      <c r="T24" s="393" t="s">
        <v>1511</v>
      </c>
      <c r="U24" s="318" t="s">
        <v>1475</v>
      </c>
      <c r="V24" s="320" t="s">
        <v>830</v>
      </c>
      <c r="W24" s="303"/>
      <c r="X24" s="302"/>
      <c r="Y24" s="197" t="str">
        <f>IF(AF24,MONTH(M24),"")</f>
        <v/>
      </c>
      <c r="Z24" s="198" t="str">
        <f>IF(AF24,YEAR(M24),"")</f>
        <v/>
      </c>
      <c r="AA24" s="191" t="str">
        <f>IF(AF24,MONTH(N24),"")</f>
        <v/>
      </c>
      <c r="AB24" s="191" t="str">
        <f>IF(AF24,YEAR(N24),"")</f>
        <v/>
      </c>
      <c r="AC24" s="193" t="str">
        <f>CONCATENATE(Y24,Z24)</f>
        <v/>
      </c>
      <c r="AD24" s="194" t="str">
        <f>CONCATENATE(AA24,AB24)</f>
        <v/>
      </c>
      <c r="AE24" s="195">
        <f>IF(M24="CBU","",IF(M24="CNR","",IF(K24="Code Out","",MIN(M24,N24))))</f>
        <v>43158</v>
      </c>
      <c r="AF24" s="196" t="b">
        <f>--(ISNUMBER(SEARCH("lab",P24)))
=--(ISNUMBER(SEARCH("fred",A16)))</f>
        <v>0</v>
      </c>
      <c r="AG24" s="199" t="b">
        <f>IF(AE24&lt;$J$4,TRUE,FALSE)</f>
        <v>1</v>
      </c>
      <c r="AH24" s="192">
        <f ca="1">IF(K24="CBU","",IF(K24="CNR","",IF(K24="Code Out","",SUM(M24-$U$1))))</f>
        <v>-121.43183877314732</v>
      </c>
      <c r="AI24" s="192">
        <f>COUNTIF(O24,"Del")</f>
        <v>0</v>
      </c>
      <c r="AJ24" s="192">
        <f>COUNTIF(P24,"*at lab*")</f>
        <v>1</v>
      </c>
      <c r="AK24" s="200">
        <f>SUM(AI24:AJ24)</f>
        <v>1</v>
      </c>
    </row>
    <row r="25" spans="1:37" s="75" customFormat="1" x14ac:dyDescent="0.2">
      <c r="A25" s="207" t="s">
        <v>635</v>
      </c>
      <c r="B25" s="309" t="s">
        <v>1542</v>
      </c>
      <c r="C25" s="309"/>
      <c r="D25" s="309" t="s">
        <v>855</v>
      </c>
      <c r="E25" s="309"/>
      <c r="F25" s="309" t="s">
        <v>1383</v>
      </c>
      <c r="G25" s="309"/>
      <c r="H25" s="309" t="s">
        <v>855</v>
      </c>
      <c r="I25" s="309" t="s">
        <v>577</v>
      </c>
      <c r="J25" s="312"/>
      <c r="K25" s="299">
        <v>42991</v>
      </c>
      <c r="L25" s="310">
        <v>365</v>
      </c>
      <c r="M25" s="202">
        <f>IF(K25="cnr","CNR",IF(K25="CBU", "CBU",IF(K25="Code Out","Code Out",K25+L25)))</f>
        <v>43356</v>
      </c>
      <c r="N25" s="203">
        <f>M25</f>
        <v>43356</v>
      </c>
      <c r="O25" s="206" t="str">
        <f ca="1">IF(AJ25=1,"",IF(AH25&lt;1,"DEL",""))</f>
        <v/>
      </c>
      <c r="P25" s="299"/>
      <c r="Q25" s="313"/>
      <c r="R25" s="313"/>
      <c r="S25" s="313" t="s">
        <v>1432</v>
      </c>
      <c r="T25" s="393" t="s">
        <v>1511</v>
      </c>
      <c r="U25" s="394" t="s">
        <v>1466</v>
      </c>
      <c r="V25" s="320" t="s">
        <v>1365</v>
      </c>
      <c r="W25" s="305"/>
      <c r="X25" s="304"/>
      <c r="Y25" s="197">
        <f>IF(AF25,MONTH(M25),"")</f>
        <v>9</v>
      </c>
      <c r="Z25" s="198">
        <f>IF(AF25,YEAR(M25),"")</f>
        <v>2018</v>
      </c>
      <c r="AA25" s="191">
        <f>IF(AF25,MONTH(N25),"")</f>
        <v>9</v>
      </c>
      <c r="AB25" s="191">
        <f>IF(AF25,YEAR(N25),"")</f>
        <v>2018</v>
      </c>
      <c r="AC25" s="193" t="str">
        <f>CONCATENATE(Y25,Z25)</f>
        <v>92018</v>
      </c>
      <c r="AD25" s="194" t="str">
        <f>CONCATENATE(AA25,AB25)</f>
        <v>92018</v>
      </c>
      <c r="AE25" s="195">
        <f>IF(M25="CBU","",IF(M25="CNR","",IF(K25="Code Out","",MIN(M25,N25))))</f>
        <v>43356</v>
      </c>
      <c r="AF25" s="196" t="b">
        <f>--(ISNUMBER(SEARCH("lab",P25)))
=--(ISNUMBER(SEARCH("fred",A17)))</f>
        <v>1</v>
      </c>
      <c r="AG25" s="199" t="b">
        <f>IF(AE25&lt;$J$4,TRUE,FALSE)</f>
        <v>0</v>
      </c>
      <c r="AH25" s="192">
        <f ca="1">IF(K25="CBU","",IF(K25="CNR","",IF(K25="Code Out","",SUM(M25-$U$1))))</f>
        <v>76.568161226852681</v>
      </c>
      <c r="AI25" s="192">
        <f ca="1">COUNTIF(O25,"Del")</f>
        <v>0</v>
      </c>
      <c r="AJ25" s="192">
        <f>COUNTIF(P25,"*at lab*")</f>
        <v>0</v>
      </c>
      <c r="AK25" s="200">
        <f ca="1">SUM(AI25:AJ25)</f>
        <v>0</v>
      </c>
    </row>
    <row r="26" spans="1:37" s="75" customFormat="1" x14ac:dyDescent="0.2">
      <c r="A26" s="207" t="s">
        <v>635</v>
      </c>
      <c r="B26" s="315" t="s">
        <v>1547</v>
      </c>
      <c r="C26" s="309"/>
      <c r="D26" s="309"/>
      <c r="E26" s="309"/>
      <c r="F26" s="309" t="s">
        <v>1047</v>
      </c>
      <c r="G26" s="309"/>
      <c r="H26" s="309"/>
      <c r="I26" s="309" t="s">
        <v>1048</v>
      </c>
      <c r="J26" s="312"/>
      <c r="K26" s="299">
        <v>43206</v>
      </c>
      <c r="L26" s="310"/>
      <c r="M26" s="202">
        <v>43571</v>
      </c>
      <c r="N26" s="203">
        <f>M26</f>
        <v>43571</v>
      </c>
      <c r="O26" s="206" t="str">
        <f ca="1">IF(AJ26=1,"",IF(AH26&lt;1,"DEL",""))</f>
        <v/>
      </c>
      <c r="P26" s="317"/>
      <c r="Q26" s="313"/>
      <c r="R26" s="313" t="s">
        <v>398</v>
      </c>
      <c r="S26" s="313"/>
      <c r="T26" s="393" t="s">
        <v>1511</v>
      </c>
      <c r="U26" s="318" t="s">
        <v>1548</v>
      </c>
      <c r="V26" s="320" t="s">
        <v>1124</v>
      </c>
      <c r="W26" s="172"/>
      <c r="X26" s="137"/>
      <c r="Y26" s="191">
        <f>IF(AF26,MONTH(M26),"")</f>
        <v>4</v>
      </c>
      <c r="Z26" s="192">
        <f>IF(AF26,YEAR(M26),"")</f>
        <v>2019</v>
      </c>
      <c r="AA26" s="191">
        <f>IF(AF26,MONTH(N26),"")</f>
        <v>4</v>
      </c>
      <c r="AB26" s="191">
        <f>IF(AF26,YEAR(N26),"")</f>
        <v>2019</v>
      </c>
      <c r="AC26" s="193" t="str">
        <f>CONCATENATE(Y26,Z26)</f>
        <v>42019</v>
      </c>
      <c r="AD26" s="194" t="str">
        <f>CONCATENATE(AA26,AB26)</f>
        <v>42019</v>
      </c>
      <c r="AE26" s="195">
        <f>IF(M26="CBU","",IF(M26="CNR","",IF(K26="Code Out","",MIN(M26,N26))))</f>
        <v>43571</v>
      </c>
      <c r="AF26" s="196" t="b">
        <f>--(ISNUMBER(SEARCH("lab",P26)))
=--(ISNUMBER(SEARCH("fred",A18)))</f>
        <v>1</v>
      </c>
      <c r="AG26" s="199" t="b">
        <f>IF(AE26&lt;$J$4,TRUE,FALSE)</f>
        <v>0</v>
      </c>
      <c r="AH26" s="192">
        <f ca="1">IF(K26="CBU","",IF(K26="CNR","",IF(K26="Code Out","",SUM(M26-$U$1))))</f>
        <v>291.56816122685268</v>
      </c>
      <c r="AI26" s="192">
        <f ca="1">COUNTIF(O26,"Del")</f>
        <v>0</v>
      </c>
      <c r="AJ26" s="192">
        <f>COUNTIF(P26,"*at lab*")</f>
        <v>0</v>
      </c>
      <c r="AK26" s="200">
        <f ca="1">SUM(AI26:AJ26)</f>
        <v>0</v>
      </c>
    </row>
    <row r="27" spans="1:37" s="75" customFormat="1" ht="25.5" x14ac:dyDescent="0.2">
      <c r="A27" s="207" t="s">
        <v>167</v>
      </c>
      <c r="B27" s="315" t="s">
        <v>756</v>
      </c>
      <c r="C27" s="310"/>
      <c r="D27" s="311">
        <v>1</v>
      </c>
      <c r="E27" s="311"/>
      <c r="F27" s="309" t="s">
        <v>614</v>
      </c>
      <c r="G27" s="309"/>
      <c r="H27" s="309" t="s">
        <v>975</v>
      </c>
      <c r="I27" s="311" t="s">
        <v>164</v>
      </c>
      <c r="J27" s="316">
        <v>6130005426385</v>
      </c>
      <c r="K27" s="299">
        <v>42781</v>
      </c>
      <c r="L27" s="310">
        <v>720</v>
      </c>
      <c r="M27" s="202">
        <f>IF(K27="cnr","CNR",IF(K27="CBU", "CBU",IF(K27="Code Out","Code Out",K27+L27)))</f>
        <v>43501</v>
      </c>
      <c r="N27" s="203">
        <f>M27</f>
        <v>43501</v>
      </c>
      <c r="O27" s="205" t="str">
        <f ca="1">IF(AJ27=1,"",IF(AH27&lt;1,"DEL",""))</f>
        <v/>
      </c>
      <c r="P27" s="317"/>
      <c r="Q27" s="313"/>
      <c r="R27" s="313"/>
      <c r="S27" s="313" t="s">
        <v>398</v>
      </c>
      <c r="T27" s="313"/>
      <c r="U27" s="318" t="s">
        <v>1464</v>
      </c>
      <c r="V27" s="314" t="s">
        <v>367</v>
      </c>
      <c r="W27" s="170"/>
      <c r="X27" s="138"/>
      <c r="Y27" s="197">
        <f>IF(AF27,MONTH(M27),"")</f>
        <v>2</v>
      </c>
      <c r="Z27" s="198">
        <f>IF(AF27,YEAR(M27),"")</f>
        <v>2019</v>
      </c>
      <c r="AA27" s="191">
        <f>IF(AF27,MONTH(N27),"")</f>
        <v>2</v>
      </c>
      <c r="AB27" s="191">
        <f>IF(AF27,YEAR(N27),"")</f>
        <v>2019</v>
      </c>
      <c r="AC27" s="193" t="str">
        <f>CONCATENATE(Y27,Z27)</f>
        <v>22019</v>
      </c>
      <c r="AD27" s="194" t="str">
        <f>CONCATENATE(AA27,AB27)</f>
        <v>22019</v>
      </c>
      <c r="AE27" s="195">
        <f>IF(M27="CBU","",IF(M27="CNR","",IF(K27="Code Out","",MIN(M27,N27))))</f>
        <v>43501</v>
      </c>
      <c r="AF27" s="196" t="b">
        <f>--(ISNUMBER(SEARCH("lab",P27)))
=--(ISNUMBER(SEARCH("fred",A19)))</f>
        <v>1</v>
      </c>
      <c r="AG27" s="199" t="b">
        <f>IF(AE27&lt;$J$4,TRUE,FALSE)</f>
        <v>0</v>
      </c>
      <c r="AH27" s="192">
        <f ca="1">IF(K27="CBU","",IF(K27="CNR","",IF(K27="Code Out","",SUM(M27-$U$1))))</f>
        <v>221.56816122685268</v>
      </c>
      <c r="AI27" s="192">
        <f ca="1">COUNTIF(O27,"Del")</f>
        <v>0</v>
      </c>
      <c r="AJ27" s="192">
        <f>COUNTIF(P27,"*at lab*")</f>
        <v>0</v>
      </c>
      <c r="AK27" s="200">
        <f ca="1">SUM(AI27:AJ27)</f>
        <v>0</v>
      </c>
    </row>
    <row r="28" spans="1:37" s="75" customFormat="1" ht="35.25" customHeight="1" x14ac:dyDescent="0.2">
      <c r="A28" s="207" t="s">
        <v>166</v>
      </c>
      <c r="B28" s="315">
        <v>60831328</v>
      </c>
      <c r="C28" s="310"/>
      <c r="D28" s="311">
        <v>5</v>
      </c>
      <c r="E28" s="311"/>
      <c r="F28" s="309" t="s">
        <v>1347</v>
      </c>
      <c r="G28" s="309"/>
      <c r="H28" s="309" t="s">
        <v>975</v>
      </c>
      <c r="I28" s="311" t="s">
        <v>164</v>
      </c>
      <c r="J28" s="316">
        <v>6625013122930</v>
      </c>
      <c r="K28" s="299">
        <v>42836</v>
      </c>
      <c r="L28" s="310">
        <v>720</v>
      </c>
      <c r="M28" s="202">
        <f>IF(K28="cnr","CNR",IF(K28="CBU", "CBU",IF(K28="Code Out","Code Out",K28+L28)))</f>
        <v>43556</v>
      </c>
      <c r="N28" s="203">
        <f>M28</f>
        <v>43556</v>
      </c>
      <c r="O28" s="205" t="str">
        <f ca="1">IF(AJ28=1,"",IF(AH28&lt;1,"DEL",""))</f>
        <v/>
      </c>
      <c r="P28" s="317"/>
      <c r="Q28" s="313"/>
      <c r="R28" s="313"/>
      <c r="S28" s="313" t="s">
        <v>398</v>
      </c>
      <c r="T28" s="313"/>
      <c r="U28" s="318" t="s">
        <v>1467</v>
      </c>
      <c r="V28" s="314" t="s">
        <v>367</v>
      </c>
      <c r="W28" s="170"/>
      <c r="X28" s="138"/>
      <c r="Y28" s="197">
        <f>IF(AF28,MONTH(M28),"")</f>
        <v>4</v>
      </c>
      <c r="Z28" s="198">
        <f>IF(AF28,YEAR(M28),"")</f>
        <v>2019</v>
      </c>
      <c r="AA28" s="191">
        <f>IF(AF28,MONTH(N28),"")</f>
        <v>4</v>
      </c>
      <c r="AB28" s="191">
        <f>IF(AF28,YEAR(N28),"")</f>
        <v>2019</v>
      </c>
      <c r="AC28" s="193" t="str">
        <f>CONCATENATE(Y28,Z28)</f>
        <v>42019</v>
      </c>
      <c r="AD28" s="194" t="str">
        <f>CONCATENATE(AA28,AB28)</f>
        <v>42019</v>
      </c>
      <c r="AE28" s="195">
        <f>IF(M28="CBU","",IF(M28="CNR","",IF(K28="Code Out","",MIN(M28,N28))))</f>
        <v>43556</v>
      </c>
      <c r="AF28" s="196" t="b">
        <f>--(ISNUMBER(SEARCH("lab",P28)))
=--(ISNUMBER(SEARCH("fred",A20)))</f>
        <v>1</v>
      </c>
      <c r="AG28" s="199" t="b">
        <f>IF(AE28&lt;$J$4,TRUE,FALSE)</f>
        <v>0</v>
      </c>
      <c r="AH28" s="192">
        <f ca="1">IF(K28="CBU","",IF(K28="CNR","",IF(K28="Code Out","",SUM(M28-$U$1))))</f>
        <v>276.56816122685268</v>
      </c>
      <c r="AI28" s="192">
        <f ca="1">COUNTIF(O28,"Del")</f>
        <v>0</v>
      </c>
      <c r="AJ28" s="192">
        <f>COUNTIF(P28,"*at lab*")</f>
        <v>0</v>
      </c>
      <c r="AK28" s="200">
        <f ca="1">SUM(AI28:AJ28)</f>
        <v>0</v>
      </c>
    </row>
    <row r="29" spans="1:37" s="75" customFormat="1" ht="25.5" x14ac:dyDescent="0.2">
      <c r="A29" s="207" t="s">
        <v>1552</v>
      </c>
      <c r="B29" s="315" t="s">
        <v>1553</v>
      </c>
      <c r="C29" s="309"/>
      <c r="D29" s="309"/>
      <c r="E29" s="316"/>
      <c r="F29" s="309" t="s">
        <v>818</v>
      </c>
      <c r="G29" s="310"/>
      <c r="H29" s="202"/>
      <c r="I29" s="357" t="s">
        <v>819</v>
      </c>
      <c r="J29" s="416" t="s">
        <v>927</v>
      </c>
      <c r="K29" s="299" t="s">
        <v>432</v>
      </c>
      <c r="L29" s="313"/>
      <c r="M29" s="413" t="str">
        <f>IF(K29="cnr","CNR",IF(K29="CBU", "CBU",IF(K29="Code Out","Code Out",K29+L29)))</f>
        <v>CBU</v>
      </c>
      <c r="N29" s="413" t="str">
        <f>M29</f>
        <v>CBU</v>
      </c>
      <c r="O29" s="413" t="str">
        <f>IF(AJ29=1,"",IF(AH29&lt;1,"DEL",""))</f>
        <v/>
      </c>
      <c r="P29" s="299" t="s">
        <v>1551</v>
      </c>
      <c r="Q29" s="314"/>
      <c r="R29" s="313" t="s">
        <v>398</v>
      </c>
      <c r="S29" s="315"/>
      <c r="T29" s="309"/>
      <c r="U29" s="309" t="s">
        <v>1554</v>
      </c>
      <c r="V29" s="316" t="s">
        <v>373</v>
      </c>
      <c r="W29" s="418"/>
      <c r="X29" s="310"/>
      <c r="Y29" s="202" t="str">
        <f>IF(AF29,MONTH(M29),"")</f>
        <v/>
      </c>
      <c r="Z29" s="203" t="str">
        <f>IF(AF29,YEAR(M29),"")</f>
        <v/>
      </c>
      <c r="AA29" s="205" t="str">
        <f>IF(AF29,MONTH(N29),"")</f>
        <v/>
      </c>
      <c r="AB29" s="299" t="str">
        <f>IF(AF29,YEAR(N29),"")</f>
        <v/>
      </c>
      <c r="AC29" s="313" t="str">
        <f>CONCATENATE(Y29,Z29)</f>
        <v/>
      </c>
      <c r="AD29" s="313" t="str">
        <f>CONCATENATE(AA29,AB29)</f>
        <v/>
      </c>
      <c r="AE29" s="313" t="str">
        <f>IF(M29="CBU","",IF(M29="CNR","",IF(K29="Code Out","",MIN(M29,N29))))</f>
        <v/>
      </c>
      <c r="AF29" s="313" t="b">
        <f>--(ISNUMBER(SEARCH("lab",P29)))
=--(ISNUMBER(SEARCH("fred",A21)))</f>
        <v>0</v>
      </c>
      <c r="AG29" s="318" t="b">
        <f>IF(AE29&lt;$J$4,TRUE,FALSE)</f>
        <v>0</v>
      </c>
      <c r="AH29" s="314" t="str">
        <f>IF(K29="CBU","",IF(K29="CNR","",IF(K29="Code Out","",SUM(M29-$U$1))))</f>
        <v/>
      </c>
      <c r="AI29" s="384">
        <f>COUNTIF(O29,"Del")</f>
        <v>0</v>
      </c>
      <c r="AJ29" s="384">
        <f>COUNTIF(P29,"*at lab*")</f>
        <v>1</v>
      </c>
      <c r="AK29" s="386">
        <f>SUM(AI29:AJ29)</f>
        <v>1</v>
      </c>
    </row>
    <row r="30" spans="1:37" s="75" customFormat="1" ht="39.75" customHeight="1" x14ac:dyDescent="0.2">
      <c r="A30" s="207" t="s">
        <v>1531</v>
      </c>
      <c r="B30" s="389"/>
      <c r="C30" s="311"/>
      <c r="D30" s="311"/>
      <c r="E30" s="311"/>
      <c r="F30" s="309" t="s">
        <v>1513</v>
      </c>
      <c r="G30" s="309"/>
      <c r="H30" s="309"/>
      <c r="I30" s="311" t="s">
        <v>1532</v>
      </c>
      <c r="J30" s="316">
        <v>6685007581162</v>
      </c>
      <c r="K30" s="299">
        <v>43182</v>
      </c>
      <c r="L30" s="316">
        <v>840</v>
      </c>
      <c r="M30" s="202">
        <f>IF(K30="cnr","CNR",IF(K30="CBU", "CBU",IF(K30="Code Out","Code Out",K30+L30)))</f>
        <v>44022</v>
      </c>
      <c r="N30" s="203">
        <f>M30</f>
        <v>44022</v>
      </c>
      <c r="O30" s="205" t="str">
        <f ca="1">IF(AJ30=1,"",IF(AH30&lt;1,"DEL",""))</f>
        <v/>
      </c>
      <c r="P30" s="317"/>
      <c r="Q30" s="313"/>
      <c r="R30" s="313"/>
      <c r="S30" s="313" t="s">
        <v>398</v>
      </c>
      <c r="T30" s="393"/>
      <c r="U30" s="318" t="s">
        <v>1533</v>
      </c>
      <c r="V30" s="314" t="s">
        <v>1523</v>
      </c>
      <c r="W30" s="363"/>
      <c r="X30" s="364"/>
      <c r="Y30" s="375">
        <f>IF(AF30,MONTH(M30),"")</f>
        <v>7</v>
      </c>
      <c r="Z30" s="375">
        <f>IF(AF30,YEAR(M30),"")</f>
        <v>2020</v>
      </c>
      <c r="AA30" s="376">
        <f>IF(AF30,MONTH(N30),"")</f>
        <v>7</v>
      </c>
      <c r="AB30" s="376">
        <f>IF(AF30,YEAR(N30),"")</f>
        <v>2020</v>
      </c>
      <c r="AC30" s="378" t="str">
        <f>CONCATENATE(Y30,Z30)</f>
        <v>72020</v>
      </c>
      <c r="AD30" s="376" t="str">
        <f>CONCATENATE(AA30,AB30)</f>
        <v>72020</v>
      </c>
      <c r="AE30" s="370">
        <f>IF(M30="CBU","",IF(M30="CNR","",IF(K30="Code Out","",MIN(M30,N30))))</f>
        <v>44022</v>
      </c>
      <c r="AF30" s="381" t="b">
        <f>--(ISNUMBER(SEARCH("lab",P30)))
=--(ISNUMBER(SEARCH("fred",A22)))</f>
        <v>1</v>
      </c>
      <c r="AG30" s="381" t="b">
        <f>IF(AE30&lt;$J$4,TRUE,FALSE)</f>
        <v>0</v>
      </c>
      <c r="AH30" s="384">
        <f ca="1">IF(K30="CBU","",IF(K30="CNR","",IF(K30="Code Out","",SUM(M30-$U$1))))</f>
        <v>742.56816122685268</v>
      </c>
      <c r="AI30" s="384">
        <f ca="1">COUNTIF(O30,"Del")</f>
        <v>0</v>
      </c>
      <c r="AJ30" s="384">
        <f>COUNTIF(P30,"*at lab*")</f>
        <v>0</v>
      </c>
      <c r="AK30" s="386">
        <f ca="1">SUM(AI30:AJ30)</f>
        <v>0</v>
      </c>
    </row>
    <row r="31" spans="1:37" s="75" customFormat="1" x14ac:dyDescent="0.2">
      <c r="A31" s="391" t="s">
        <v>1540</v>
      </c>
      <c r="B31" s="309" t="s">
        <v>1540</v>
      </c>
      <c r="C31" s="310"/>
      <c r="D31" s="311" t="s">
        <v>855</v>
      </c>
      <c r="E31" s="311"/>
      <c r="F31" s="309"/>
      <c r="G31" s="309"/>
      <c r="H31" s="309"/>
      <c r="I31" s="311"/>
      <c r="J31" s="312"/>
      <c r="K31" s="299">
        <v>43182</v>
      </c>
      <c r="L31" s="311">
        <v>840</v>
      </c>
      <c r="M31" s="202">
        <f>IF(K31="cnr","CNR",IF(K31="CBU", "CBU",IF(K31="Code Out","Code Out",K31+L31)))</f>
        <v>44022</v>
      </c>
      <c r="N31" s="203">
        <f>M31</f>
        <v>44022</v>
      </c>
      <c r="O31" s="205" t="str">
        <f ca="1">IF(AJ31=1,"",IF(AH31&lt;1,"DEL",""))</f>
        <v/>
      </c>
      <c r="P31" s="317"/>
      <c r="Q31" s="313"/>
      <c r="R31" s="313"/>
      <c r="S31" s="313"/>
      <c r="T31" s="313"/>
      <c r="U31" s="373" t="s">
        <v>1545</v>
      </c>
      <c r="V31" s="374" t="s">
        <v>1546</v>
      </c>
      <c r="W31" s="363"/>
      <c r="X31" s="364"/>
      <c r="Y31" s="375">
        <f>IF(AF31,MONTH(M31),"")</f>
        <v>7</v>
      </c>
      <c r="Z31" s="375">
        <f>IF(AF31,YEAR(M31),"")</f>
        <v>2020</v>
      </c>
      <c r="AA31" s="376">
        <f>IF(AF31,MONTH(N31),"")</f>
        <v>7</v>
      </c>
      <c r="AB31" s="376">
        <f>IF(AF31,YEAR(N31),"")</f>
        <v>2020</v>
      </c>
      <c r="AC31" s="378" t="str">
        <f>CONCATENATE(Y31,Z31)</f>
        <v>72020</v>
      </c>
      <c r="AD31" s="376" t="str">
        <f>CONCATENATE(AA31,AB31)</f>
        <v>72020</v>
      </c>
      <c r="AE31" s="370">
        <f>IF(M31="CBU","",IF(M31="CNR","",IF(K31="Code Out","",MIN(M31,N31))))</f>
        <v>44022</v>
      </c>
      <c r="AF31" s="381" t="b">
        <f>--(ISNUMBER(SEARCH("lab",P31)))
=--(ISNUMBER(SEARCH("fred",A23)))</f>
        <v>1</v>
      </c>
      <c r="AG31" s="381" t="b">
        <f>IF(AE31&lt;$J$4,TRUE,FALSE)</f>
        <v>0</v>
      </c>
      <c r="AH31" s="384">
        <f ca="1">IF(K31="CBU","",IF(K31="CNR","",IF(K31="Code Out","",SUM(M31-$U$1))))</f>
        <v>742.56816122685268</v>
      </c>
      <c r="AI31" s="384">
        <f ca="1">COUNTIF(O31,"Del")</f>
        <v>0</v>
      </c>
      <c r="AJ31" s="384">
        <f>COUNTIF(P31,"*at lab*")</f>
        <v>0</v>
      </c>
      <c r="AK31" s="386">
        <f ca="1">SUM(AI31:AJ31)</f>
        <v>0</v>
      </c>
    </row>
    <row r="32" spans="1:37" s="75" customFormat="1" x14ac:dyDescent="0.2">
      <c r="A32" s="207" t="s">
        <v>1498</v>
      </c>
      <c r="B32" s="360" t="s">
        <v>1496</v>
      </c>
      <c r="C32" s="311"/>
      <c r="D32" s="311"/>
      <c r="E32" s="311"/>
      <c r="F32" s="309" t="s">
        <v>1497</v>
      </c>
      <c r="G32" s="309"/>
      <c r="H32" s="309" t="s">
        <v>855</v>
      </c>
      <c r="I32" s="311" t="s">
        <v>1100</v>
      </c>
      <c r="J32" s="316">
        <v>5120003067099</v>
      </c>
      <c r="K32" s="299">
        <v>43213</v>
      </c>
      <c r="L32" s="316">
        <v>180</v>
      </c>
      <c r="M32" s="202">
        <f>IF(K32="cnr","CNR",IF(K32="CBU", "CBU",IF(K32="Code Out","Code Out",K32+L32)))</f>
        <v>43393</v>
      </c>
      <c r="N32" s="203">
        <f>M32</f>
        <v>43393</v>
      </c>
      <c r="O32" s="205" t="str">
        <f ca="1">IF(AJ32=1,"",IF(AH32&lt;1,"DEL",""))</f>
        <v/>
      </c>
      <c r="P32" s="317"/>
      <c r="Q32" s="362"/>
      <c r="R32" s="313"/>
      <c r="S32" s="362" t="s">
        <v>398</v>
      </c>
      <c r="T32" s="362"/>
      <c r="U32" s="318" t="s">
        <v>1550</v>
      </c>
      <c r="V32" s="314" t="s">
        <v>369</v>
      </c>
      <c r="W32" s="363"/>
      <c r="X32" s="364"/>
      <c r="Y32" s="338">
        <f>IF(AF32,MONTH(M32),"")</f>
        <v>10</v>
      </c>
      <c r="Z32" s="338">
        <f>IF(AF32,YEAR(M32),"")</f>
        <v>2018</v>
      </c>
      <c r="AA32" s="191">
        <f>IF(AF32,MONTH(N32),"")</f>
        <v>10</v>
      </c>
      <c r="AB32" s="191">
        <f>IF(AF32,YEAR(N32),"")</f>
        <v>2018</v>
      </c>
      <c r="AC32" s="193" t="str">
        <f>CONCATENATE(Y32,Z32)</f>
        <v>102018</v>
      </c>
      <c r="AD32" s="194" t="str">
        <f>CONCATENATE(AA32,AB32)</f>
        <v>102018</v>
      </c>
      <c r="AE32" s="195">
        <f>IF(M32="CBU","",IF(M32="CNR","",IF(K32="Code Out","",MIN(M32,N32))))</f>
        <v>43393</v>
      </c>
      <c r="AF32" s="196" t="b">
        <f>--(ISNUMBER(SEARCH("lab",P32)))
=--(ISNUMBER(SEARCH("fred",A24)))</f>
        <v>1</v>
      </c>
      <c r="AG32" s="199" t="b">
        <f>IF(AE32&lt;$J$4,TRUE,FALSE)</f>
        <v>0</v>
      </c>
      <c r="AH32" s="192">
        <f ca="1">IF(K32="CBU","",IF(K32="CNR","",IF(K32="Code Out","",SUM(M32-$U$1))))</f>
        <v>113.56816122685268</v>
      </c>
      <c r="AI32" s="192">
        <f ca="1">COUNTIF(O32,"Del")</f>
        <v>0</v>
      </c>
      <c r="AJ32" s="192">
        <f>COUNTIF(P32,"*at lab*")</f>
        <v>0</v>
      </c>
      <c r="AK32" s="200">
        <f ca="1">SUM(AI32:AJ32)</f>
        <v>0</v>
      </c>
    </row>
    <row r="33" spans="1:37" s="75" customFormat="1" x14ac:dyDescent="0.2">
      <c r="A33" s="207" t="s">
        <v>1474</v>
      </c>
      <c r="B33" s="315" t="s">
        <v>934</v>
      </c>
      <c r="C33" s="309"/>
      <c r="D33" s="309"/>
      <c r="E33" s="309"/>
      <c r="F33" s="309" t="s">
        <v>818</v>
      </c>
      <c r="G33" s="309"/>
      <c r="H33" s="309" t="s">
        <v>979</v>
      </c>
      <c r="I33" s="309" t="s">
        <v>819</v>
      </c>
      <c r="J33" s="309" t="s">
        <v>927</v>
      </c>
      <c r="K33" s="299">
        <v>42943</v>
      </c>
      <c r="L33" s="316">
        <v>720</v>
      </c>
      <c r="M33" s="202">
        <f>IF(K33="cnr","CNR",IF(K33="CBU", "CBU",IF(K33="Code Out","Code Out",K33+L33)))</f>
        <v>43663</v>
      </c>
      <c r="N33" s="203">
        <f>M33</f>
        <v>43663</v>
      </c>
      <c r="O33" s="206" t="str">
        <f ca="1">IF(AJ33=1,"",IF(AH33&lt;1,"DEL",""))</f>
        <v/>
      </c>
      <c r="P33" s="317"/>
      <c r="Q33" s="313"/>
      <c r="R33" s="313"/>
      <c r="S33" s="313" t="s">
        <v>398</v>
      </c>
      <c r="T33" s="313"/>
      <c r="U33" s="326" t="s">
        <v>1525</v>
      </c>
      <c r="V33" s="320"/>
      <c r="W33" s="171"/>
      <c r="X33" s="140"/>
      <c r="Y33" s="197">
        <f>IF(AF33,MONTH(M33),"")</f>
        <v>7</v>
      </c>
      <c r="Z33" s="198">
        <f>IF(AF33,YEAR(M33),"")</f>
        <v>2019</v>
      </c>
      <c r="AA33" s="191">
        <f>IF(AF33,MONTH(N33),"")</f>
        <v>7</v>
      </c>
      <c r="AB33" s="191">
        <f>IF(AF33,YEAR(N33),"")</f>
        <v>2019</v>
      </c>
      <c r="AC33" s="193" t="str">
        <f>CONCATENATE(Y33,Z33)</f>
        <v>72019</v>
      </c>
      <c r="AD33" s="194" t="str">
        <f>CONCATENATE(AA33,AB33)</f>
        <v>72019</v>
      </c>
      <c r="AE33" s="195">
        <f>IF(M33="CBU","",IF(M33="CNR","",IF(K33="Code Out","",MIN(M33,N33))))</f>
        <v>43663</v>
      </c>
      <c r="AF33" s="196" t="b">
        <f>--(ISNUMBER(SEARCH("lab",P33)))
=--(ISNUMBER(SEARCH("fred",A25)))</f>
        <v>1</v>
      </c>
      <c r="AG33" s="199" t="b">
        <f>IF(AE33&lt;$J$4,TRUE,FALSE)</f>
        <v>0</v>
      </c>
      <c r="AH33" s="192">
        <f ca="1">IF(K33="CBU","",IF(K33="CNR","",IF(K33="Code Out","",SUM(M33-$U$1))))</f>
        <v>383.56816122685268</v>
      </c>
      <c r="AI33" s="192">
        <f ca="1">COUNTIF(O33,"Del")</f>
        <v>0</v>
      </c>
      <c r="AJ33" s="192">
        <f>COUNTIF(P33,"*at lab*")</f>
        <v>0</v>
      </c>
      <c r="AK33" s="200">
        <f ca="1">SUM(AI33:AJ33)</f>
        <v>0</v>
      </c>
    </row>
    <row r="34" spans="1:37" s="75" customFormat="1" ht="25.5" x14ac:dyDescent="0.2">
      <c r="A34" s="207" t="s">
        <v>1446</v>
      </c>
      <c r="B34" s="315" t="s">
        <v>1447</v>
      </c>
      <c r="C34" s="310"/>
      <c r="D34" s="311"/>
      <c r="E34" s="311"/>
      <c r="F34" s="309" t="s">
        <v>1443</v>
      </c>
      <c r="G34" s="309"/>
      <c r="H34" s="309"/>
      <c r="I34" s="311" t="s">
        <v>1444</v>
      </c>
      <c r="J34" s="316">
        <v>6670000000000</v>
      </c>
      <c r="K34" s="299">
        <v>43209</v>
      </c>
      <c r="L34" s="316">
        <v>360</v>
      </c>
      <c r="M34" s="202">
        <f>IF(K34="cnr","CNR",IF(K34="CBU", "CBU",IF(K34="Code Out","Code Out",K34+L34)))</f>
        <v>43569</v>
      </c>
      <c r="N34" s="203">
        <f>M34</f>
        <v>43569</v>
      </c>
      <c r="O34" s="205" t="str">
        <f ca="1">IF(AJ34=1,"",IF(AH34&lt;1,"DEL",""))</f>
        <v/>
      </c>
      <c r="P34" s="299"/>
      <c r="Q34" s="313"/>
      <c r="R34" s="313"/>
      <c r="S34" s="313" t="s">
        <v>398</v>
      </c>
      <c r="T34" s="313"/>
      <c r="U34" s="318" t="s">
        <v>1550</v>
      </c>
      <c r="V34" s="314" t="s">
        <v>373</v>
      </c>
      <c r="W34" s="208"/>
      <c r="X34" s="209"/>
      <c r="Y34" s="338">
        <f>IF(AF34,MONTH(M34),"")</f>
        <v>4</v>
      </c>
      <c r="Z34" s="338">
        <f>IF(AF34,YEAR(M34),"")</f>
        <v>2019</v>
      </c>
      <c r="AA34" s="191">
        <f>IF(AF34,MONTH(N34),"")</f>
        <v>4</v>
      </c>
      <c r="AB34" s="191">
        <f>IF(AF34,YEAR(N34),"")</f>
        <v>2019</v>
      </c>
      <c r="AC34" s="193" t="str">
        <f>CONCATENATE(Y34,Z34)</f>
        <v>42019</v>
      </c>
      <c r="AD34" s="194" t="str">
        <f>CONCATENATE(AA34,AB34)</f>
        <v>42019</v>
      </c>
      <c r="AE34" s="195">
        <f>IF(M34="CBU","",IF(M34="CNR","",IF(K34="Code Out","",MIN(M34,N34))))</f>
        <v>43569</v>
      </c>
      <c r="AF34" s="196" t="b">
        <f>--(ISNUMBER(SEARCH("lab",P34)))
=--(ISNUMBER(SEARCH("fred",A26)))</f>
        <v>1</v>
      </c>
      <c r="AG34" s="199" t="b">
        <f>IF(AE34&lt;$J$4,TRUE,FALSE)</f>
        <v>0</v>
      </c>
      <c r="AH34" s="192">
        <f ca="1">IF(K34="CBU","",IF(K34="CNR","",IF(K34="Code Out","",SUM(M34-$U$1))))</f>
        <v>289.56816122685268</v>
      </c>
      <c r="AI34" s="192">
        <f ca="1">COUNTIF(O34,"Del")</f>
        <v>0</v>
      </c>
      <c r="AJ34" s="192">
        <f>COUNTIF(P34,"*at lab*")</f>
        <v>0</v>
      </c>
      <c r="AK34" s="200">
        <f ca="1">SUM(AI34:AJ34)</f>
        <v>0</v>
      </c>
    </row>
    <row r="35" spans="1:37" s="75" customFormat="1" x14ac:dyDescent="0.2">
      <c r="A35" s="207" t="s">
        <v>1422</v>
      </c>
      <c r="B35" s="315" t="s">
        <v>1416</v>
      </c>
      <c r="C35" s="309"/>
      <c r="D35" s="309"/>
      <c r="E35" s="309" t="s">
        <v>1417</v>
      </c>
      <c r="F35" s="309" t="s">
        <v>1418</v>
      </c>
      <c r="G35" s="309"/>
      <c r="H35" s="309"/>
      <c r="I35" s="309" t="s">
        <v>1419</v>
      </c>
      <c r="J35" s="316">
        <v>5210016012377</v>
      </c>
      <c r="K35" s="299">
        <v>42615</v>
      </c>
      <c r="L35" s="316">
        <v>1080</v>
      </c>
      <c r="M35" s="202">
        <f>IF(K35="cnr","CNR",IF(K35="CBU", "CBU",IF(K35="Code Out","Code Out",K35+L35)))</f>
        <v>43695</v>
      </c>
      <c r="N35" s="203">
        <f>M35</f>
        <v>43695</v>
      </c>
      <c r="O35" s="205" t="str">
        <f ca="1">IF(AJ35=1,"",IF(AH35&lt;1,"DEL",""))</f>
        <v/>
      </c>
      <c r="P35" s="317"/>
      <c r="Q35" s="313"/>
      <c r="R35" s="313"/>
      <c r="S35" s="313" t="s">
        <v>398</v>
      </c>
      <c r="T35" s="313"/>
      <c r="U35" s="324" t="s">
        <v>1427</v>
      </c>
      <c r="V35" s="314" t="s">
        <v>373</v>
      </c>
      <c r="W35" s="173"/>
      <c r="X35" s="139"/>
      <c r="Y35" s="191">
        <f>IF(AF35,MONTH(M35),"")</f>
        <v>8</v>
      </c>
      <c r="Z35" s="192">
        <f>IF(AF35,YEAR(M35),"")</f>
        <v>2019</v>
      </c>
      <c r="AA35" s="191">
        <f>IF(AF35,MONTH(N35),"")</f>
        <v>8</v>
      </c>
      <c r="AB35" s="191">
        <f>IF(AF35,YEAR(N35),"")</f>
        <v>2019</v>
      </c>
      <c r="AC35" s="193" t="str">
        <f>CONCATENATE(Y35,Z35)</f>
        <v>82019</v>
      </c>
      <c r="AD35" s="194" t="str">
        <f>CONCATENATE(AA35,AB35)</f>
        <v>82019</v>
      </c>
      <c r="AE35" s="195">
        <f>IF(M35="CBU","",IF(M35="CNR","",IF(K35="Code Out","",MIN(M35,N35))))</f>
        <v>43695</v>
      </c>
      <c r="AF35" s="196" t="b">
        <f>--(ISNUMBER(SEARCH("lab",P35)))
=--(ISNUMBER(SEARCH("fred",A27)))</f>
        <v>1</v>
      </c>
      <c r="AG35" s="199" t="b">
        <f>IF(AE35&lt;$J$4,TRUE,FALSE)</f>
        <v>0</v>
      </c>
      <c r="AH35" s="192">
        <f ca="1">IF(K35="CBU","",IF(K35="CNR","",IF(K35="Code Out","",SUM(M35-$U$1))))</f>
        <v>415.56816122685268</v>
      </c>
      <c r="AI35" s="192">
        <f ca="1">COUNTIF(O35,"Del")</f>
        <v>0</v>
      </c>
      <c r="AJ35" s="192">
        <f>COUNTIF(P35,"*at lab*")</f>
        <v>0</v>
      </c>
      <c r="AK35" s="200">
        <f ca="1">SUM(AI35:AJ35)</f>
        <v>0</v>
      </c>
    </row>
    <row r="36" spans="1:37" s="75" customFormat="1" ht="114.75" x14ac:dyDescent="0.2">
      <c r="A36" s="207" t="s">
        <v>1403</v>
      </c>
      <c r="B36" s="315" t="s">
        <v>1389</v>
      </c>
      <c r="C36" s="309"/>
      <c r="D36" s="311">
        <v>2</v>
      </c>
      <c r="E36" s="311"/>
      <c r="F36" s="309" t="s">
        <v>262</v>
      </c>
      <c r="G36" s="309"/>
      <c r="H36" s="309" t="s">
        <v>870</v>
      </c>
      <c r="I36" s="311" t="s">
        <v>1390</v>
      </c>
      <c r="J36" s="316">
        <v>6635005785285</v>
      </c>
      <c r="K36" s="299">
        <v>43223</v>
      </c>
      <c r="L36" s="316">
        <v>1080</v>
      </c>
      <c r="M36" s="202">
        <f>IF(K36="cnr","CNR",IF(K36="CBU", "CBU",IF(K36="Code Out","Code Out",K36+L36)))</f>
        <v>44303</v>
      </c>
      <c r="N36" s="203">
        <f>M36</f>
        <v>44303</v>
      </c>
      <c r="O36" s="205" t="str">
        <f ca="1">IF(AJ36=1,"",IF(AH36&lt;1,"DEL",""))</f>
        <v/>
      </c>
      <c r="P36" s="299"/>
      <c r="Q36" s="313"/>
      <c r="R36" s="313"/>
      <c r="S36" s="313" t="s">
        <v>398</v>
      </c>
      <c r="T36" s="313"/>
      <c r="U36" s="318" t="s">
        <v>1550</v>
      </c>
      <c r="V36" s="314" t="s">
        <v>373</v>
      </c>
      <c r="W36" s="170"/>
      <c r="X36" s="138"/>
      <c r="Y36" s="197">
        <f>IF(AF36,MONTH(M36),"")</f>
        <v>4</v>
      </c>
      <c r="Z36" s="198">
        <f>IF(AF36,YEAR(M36),"")</f>
        <v>2021</v>
      </c>
      <c r="AA36" s="191">
        <f>IF(AF36,MONTH(N36),"")</f>
        <v>4</v>
      </c>
      <c r="AB36" s="191">
        <f>IF(AF36,YEAR(N36),"")</f>
        <v>2021</v>
      </c>
      <c r="AC36" s="193" t="str">
        <f>CONCATENATE(Y36,Z36)</f>
        <v>42021</v>
      </c>
      <c r="AD36" s="194" t="str">
        <f>CONCATENATE(AA36,AB36)</f>
        <v>42021</v>
      </c>
      <c r="AE36" s="195">
        <f>IF(M36="CBU","",IF(M36="CNR","",IF(K36="Code Out","",MIN(M36,N36))))</f>
        <v>44303</v>
      </c>
      <c r="AF36" s="196" t="b">
        <f>--(ISNUMBER(SEARCH("lab",P36)))
=--(ISNUMBER(SEARCH("fred",A28)))</f>
        <v>1</v>
      </c>
      <c r="AG36" s="199" t="b">
        <f>IF(AE36&lt;$J$4,TRUE,FALSE)</f>
        <v>0</v>
      </c>
      <c r="AH36" s="192">
        <f ca="1">IF(K36="CBU","",IF(K36="CNR","",IF(K36="Code Out","",SUM(M36-$U$1))))</f>
        <v>1023.5681612268527</v>
      </c>
      <c r="AI36" s="192">
        <f ca="1">COUNTIF(O36,"Del")</f>
        <v>0</v>
      </c>
      <c r="AJ36" s="192">
        <f>COUNTIF(P36,"*at lab*")</f>
        <v>0</v>
      </c>
      <c r="AK36" s="200">
        <f ca="1">SUM(AI36:AJ36)</f>
        <v>0</v>
      </c>
    </row>
    <row r="37" spans="1:37" s="75" customFormat="1" ht="51" x14ac:dyDescent="0.2">
      <c r="A37" s="415" t="s">
        <v>1412</v>
      </c>
      <c r="B37" s="315">
        <v>13089508</v>
      </c>
      <c r="C37" s="309"/>
      <c r="D37" s="309" t="s">
        <v>974</v>
      </c>
      <c r="E37" s="309"/>
      <c r="F37" s="309" t="s">
        <v>960</v>
      </c>
      <c r="G37" s="309"/>
      <c r="H37" s="309"/>
      <c r="I37" s="309" t="s">
        <v>5</v>
      </c>
      <c r="J37" s="312"/>
      <c r="K37" s="299">
        <v>43046</v>
      </c>
      <c r="L37" s="310">
        <v>180</v>
      </c>
      <c r="M37" s="202">
        <f>IF(K37="cnr","CNR",IF(K37="CBU", "CBU",IF(K37="Code Out","Code Out",K37+L37)))</f>
        <v>43226</v>
      </c>
      <c r="N37" s="203">
        <f>M37</f>
        <v>43226</v>
      </c>
      <c r="O37" s="206" t="str">
        <f>IF(AJ37=1,"",IF(AH37&lt;1,"DEL",""))</f>
        <v/>
      </c>
      <c r="P37" s="299" t="s">
        <v>1551</v>
      </c>
      <c r="Q37" s="313"/>
      <c r="R37" s="313" t="s">
        <v>398</v>
      </c>
      <c r="S37" s="313"/>
      <c r="T37" s="313"/>
      <c r="U37" s="318" t="s">
        <v>1512</v>
      </c>
      <c r="V37" s="320" t="s">
        <v>1031</v>
      </c>
      <c r="W37" s="305"/>
      <c r="X37" s="304"/>
      <c r="Y37" s="197" t="str">
        <f>IF(AF37,MONTH(M37),"")</f>
        <v/>
      </c>
      <c r="Z37" s="198" t="str">
        <f>IF(AF37,YEAR(M37),"")</f>
        <v/>
      </c>
      <c r="AA37" s="191" t="str">
        <f>IF(AF37,MONTH(N37),"")</f>
        <v/>
      </c>
      <c r="AB37" s="191" t="str">
        <f>IF(AF37,YEAR(N37),"")</f>
        <v/>
      </c>
      <c r="AC37" s="193" t="str">
        <f>CONCATENATE(Y37,Z37)</f>
        <v/>
      </c>
      <c r="AD37" s="194" t="str">
        <f>CONCATENATE(AA37,AB37)</f>
        <v/>
      </c>
      <c r="AE37" s="195">
        <f>IF(M37="CBU","",IF(M37="CNR","",IF(K37="Code Out","",MIN(M37,N37))))</f>
        <v>43226</v>
      </c>
      <c r="AF37" s="196" t="b">
        <f>--(ISNUMBER(SEARCH("lab",P37)))
=--(ISNUMBER(SEARCH("fred",A29)))</f>
        <v>0</v>
      </c>
      <c r="AG37" s="199" t="b">
        <f>IF(AE37&lt;$J$4,TRUE,FALSE)</f>
        <v>1</v>
      </c>
      <c r="AH37" s="192">
        <f ca="1">IF(K37="CBU","",IF(K37="CNR","",IF(K37="Code Out","",SUM(M37-$U$1))))</f>
        <v>-53.431838773147319</v>
      </c>
      <c r="AI37" s="192">
        <f>COUNTIF(O37,"Del")</f>
        <v>0</v>
      </c>
      <c r="AJ37" s="192">
        <f>COUNTIF(P37,"*at lab*")</f>
        <v>1</v>
      </c>
      <c r="AK37" s="200">
        <f>SUM(AI37:AJ37)</f>
        <v>1</v>
      </c>
    </row>
    <row r="38" spans="1:37" s="75" customFormat="1" ht="114.75" x14ac:dyDescent="0.2">
      <c r="A38" s="207" t="s">
        <v>1378</v>
      </c>
      <c r="B38" s="315" t="s">
        <v>1371</v>
      </c>
      <c r="C38" s="309"/>
      <c r="D38" s="309"/>
      <c r="E38" s="309"/>
      <c r="F38" s="309" t="s">
        <v>1372</v>
      </c>
      <c r="G38" s="309"/>
      <c r="H38" s="309"/>
      <c r="I38" s="309" t="s">
        <v>1373</v>
      </c>
      <c r="J38" s="316">
        <v>6685014112717</v>
      </c>
      <c r="K38" s="299">
        <v>42409</v>
      </c>
      <c r="L38" s="310">
        <v>960</v>
      </c>
      <c r="M38" s="202">
        <f>IF(K38="cnr","CNR",IF(K38="CBU", "CBU",IF(K38="Code Out","Code Out",K38+L38)))</f>
        <v>43369</v>
      </c>
      <c r="N38" s="203">
        <f>M38</f>
        <v>43369</v>
      </c>
      <c r="O38" s="206" t="str">
        <f ca="1">IF(AJ38=1,"",IF(AH38&lt;1,"DEL",""))</f>
        <v/>
      </c>
      <c r="P38" s="317"/>
      <c r="Q38" s="313"/>
      <c r="R38" s="313"/>
      <c r="S38" s="313" t="s">
        <v>1370</v>
      </c>
      <c r="T38" s="313"/>
      <c r="U38" s="318" t="s">
        <v>1385</v>
      </c>
      <c r="V38" s="314" t="s">
        <v>809</v>
      </c>
      <c r="W38" s="170"/>
      <c r="X38" s="138"/>
      <c r="Y38" s="197">
        <f>IF(AF38,MONTH(M38),"")</f>
        <v>9</v>
      </c>
      <c r="Z38" s="198">
        <f>IF(AF38,YEAR(M38),"")</f>
        <v>2018</v>
      </c>
      <c r="AA38" s="191">
        <f>IF(AF38,MONTH(N38),"")</f>
        <v>9</v>
      </c>
      <c r="AB38" s="191">
        <f>IF(AF38,YEAR(N38),"")</f>
        <v>2018</v>
      </c>
      <c r="AC38" s="193" t="str">
        <f>CONCATENATE(Y38,Z38)</f>
        <v>92018</v>
      </c>
      <c r="AD38" s="194" t="str">
        <f>CONCATENATE(AA38,AB38)</f>
        <v>92018</v>
      </c>
      <c r="AE38" s="195">
        <f>IF(M38="CBU","",IF(M38="CNR","",IF(K38="Code Out","",MIN(M38,N38))))</f>
        <v>43369</v>
      </c>
      <c r="AF38" s="196" t="b">
        <f>--(ISNUMBER(SEARCH("lab",P38)))
=--(ISNUMBER(SEARCH("fred",A30)))</f>
        <v>1</v>
      </c>
      <c r="AG38" s="199" t="b">
        <f>IF(AE38&lt;$J$4,TRUE,FALSE)</f>
        <v>0</v>
      </c>
      <c r="AH38" s="192">
        <f ca="1">IF(K38="CBU","",IF(K38="CNR","",IF(K38="Code Out","",SUM(M38-$U$1))))</f>
        <v>89.568161226852681</v>
      </c>
      <c r="AI38" s="192">
        <f ca="1">COUNTIF(O38,"Del")</f>
        <v>0</v>
      </c>
      <c r="AJ38" s="192">
        <f>COUNTIF(P38,"*at lab*")</f>
        <v>0</v>
      </c>
      <c r="AK38" s="200">
        <f ca="1">SUM(AI38:AJ38)</f>
        <v>0</v>
      </c>
    </row>
    <row r="39" spans="1:37" s="75" customFormat="1" ht="38.25" x14ac:dyDescent="0.2">
      <c r="A39" s="207" t="s">
        <v>1344</v>
      </c>
      <c r="B39" s="315" t="s">
        <v>1341</v>
      </c>
      <c r="C39" s="309"/>
      <c r="D39" s="309" t="s">
        <v>855</v>
      </c>
      <c r="E39" s="309"/>
      <c r="F39" s="309" t="s">
        <v>627</v>
      </c>
      <c r="G39" s="309"/>
      <c r="H39" s="309"/>
      <c r="I39" s="309" t="s">
        <v>628</v>
      </c>
      <c r="J39" s="312">
        <v>6625012769421</v>
      </c>
      <c r="K39" s="299">
        <v>42811</v>
      </c>
      <c r="L39" s="310">
        <v>450</v>
      </c>
      <c r="M39" s="202">
        <f>IF(K39="cnr","CNR",IF(K39="CBU", "CBU",IF(K39="Code Out","Code Out",K39+L39)))</f>
        <v>43261</v>
      </c>
      <c r="N39" s="203">
        <f>M39</f>
        <v>43261</v>
      </c>
      <c r="O39" s="206" t="str">
        <f ca="1">IF(AJ39=1,"",IF(AH39&lt;1,"DEL",""))</f>
        <v>DEL</v>
      </c>
      <c r="P39" s="299" t="s">
        <v>851</v>
      </c>
      <c r="Q39" s="313"/>
      <c r="R39" s="313"/>
      <c r="S39" s="313" t="s">
        <v>1432</v>
      </c>
      <c r="T39" s="313"/>
      <c r="U39" s="298" t="s">
        <v>1465</v>
      </c>
      <c r="V39" s="320" t="s">
        <v>367</v>
      </c>
      <c r="W39" s="173"/>
      <c r="X39" s="139"/>
      <c r="Y39" s="191">
        <f>IF(AF39,MONTH(M39),"")</f>
        <v>6</v>
      </c>
      <c r="Z39" s="192">
        <f>IF(AF39,YEAR(M39),"")</f>
        <v>2018</v>
      </c>
      <c r="AA39" s="191">
        <f>IF(AF39,MONTH(N39),"")</f>
        <v>6</v>
      </c>
      <c r="AB39" s="191">
        <f>IF(AF39,YEAR(N39),"")</f>
        <v>2018</v>
      </c>
      <c r="AC39" s="193" t="str">
        <f>CONCATENATE(Y39,Z39)</f>
        <v>62018</v>
      </c>
      <c r="AD39" s="194" t="str">
        <f>CONCATENATE(AA39,AB39)</f>
        <v>62018</v>
      </c>
      <c r="AE39" s="195">
        <f>IF(M39="CBU","",IF(M39="CNR","",IF(K39="Code Out","",MIN(M39,N39))))</f>
        <v>43261</v>
      </c>
      <c r="AF39" s="196" t="b">
        <f>--(ISNUMBER(SEARCH("lab",P39)))
=--(ISNUMBER(SEARCH("fred",A31)))</f>
        <v>1</v>
      </c>
      <c r="AG39" s="199" t="b">
        <f>IF(AE39&lt;$J$4,TRUE,FALSE)</f>
        <v>1</v>
      </c>
      <c r="AH39" s="192">
        <f ca="1">IF(K39="CBU","",IF(K39="CNR","",IF(K39="Code Out","",SUM(M39-$U$1))))</f>
        <v>-18.431838773147319</v>
      </c>
      <c r="AI39" s="192">
        <f ca="1">COUNTIF(O39,"Del")</f>
        <v>1</v>
      </c>
      <c r="AJ39" s="192">
        <f>COUNTIF(P39,"*at lab*")</f>
        <v>0</v>
      </c>
      <c r="AK39" s="200">
        <f ca="1">SUM(AI39:AJ39)</f>
        <v>1</v>
      </c>
    </row>
    <row r="40" spans="1:37" s="75" customFormat="1" x14ac:dyDescent="0.2">
      <c r="A40" s="415" t="s">
        <v>1102</v>
      </c>
      <c r="B40" s="309" t="s">
        <v>129</v>
      </c>
      <c r="C40" s="310"/>
      <c r="D40" s="311">
        <v>2</v>
      </c>
      <c r="E40" s="311"/>
      <c r="F40" s="309" t="s">
        <v>456</v>
      </c>
      <c r="G40" s="309" t="s">
        <v>782</v>
      </c>
      <c r="H40" s="309" t="s">
        <v>973</v>
      </c>
      <c r="I40" s="311" t="s">
        <v>5</v>
      </c>
      <c r="J40" s="312">
        <v>5120000000000</v>
      </c>
      <c r="K40" s="299">
        <v>43046</v>
      </c>
      <c r="L40" s="311">
        <v>180</v>
      </c>
      <c r="M40" s="202">
        <f>IF(K40="cnr","CNR",IF(K40="CBU", "CBU",IF(K40="Code Out","Code Out",K40+L40)))</f>
        <v>43226</v>
      </c>
      <c r="N40" s="203">
        <f>M40</f>
        <v>43226</v>
      </c>
      <c r="O40" s="206" t="str">
        <f>IF(AJ40=1,"",IF(AH40&lt;1,"DEL",""))</f>
        <v/>
      </c>
      <c r="P40" s="299" t="s">
        <v>1551</v>
      </c>
      <c r="Q40" s="313"/>
      <c r="R40" s="313" t="s">
        <v>398</v>
      </c>
      <c r="S40" s="313"/>
      <c r="T40" s="313"/>
      <c r="U40" s="318" t="s">
        <v>1512</v>
      </c>
      <c r="V40" s="314" t="s">
        <v>682</v>
      </c>
      <c r="W40" s="173"/>
      <c r="X40" s="139"/>
      <c r="Y40" s="191" t="str">
        <f>IF(AF40,MONTH(M40),"")</f>
        <v/>
      </c>
      <c r="Z40" s="192" t="str">
        <f>IF(AF40,YEAR(M40),"")</f>
        <v/>
      </c>
      <c r="AA40" s="191" t="str">
        <f>IF(AF40,MONTH(N40),"")</f>
        <v/>
      </c>
      <c r="AB40" s="191" t="str">
        <f>IF(AF40,YEAR(N40),"")</f>
        <v/>
      </c>
      <c r="AC40" s="193" t="str">
        <f>CONCATENATE(Y40,Z40)</f>
        <v/>
      </c>
      <c r="AD40" s="194" t="str">
        <f>CONCATENATE(AA40,AB40)</f>
        <v/>
      </c>
      <c r="AE40" s="195">
        <f>IF(M40="CBU","",IF(M40="CNR","",IF(K40="Code Out","",MIN(M40,N40))))</f>
        <v>43226</v>
      </c>
      <c r="AF40" s="196" t="b">
        <f>--(ISNUMBER(SEARCH("lab",P40)))
=--(ISNUMBER(SEARCH("fred",A32)))</f>
        <v>0</v>
      </c>
      <c r="AG40" s="199" t="b">
        <f>IF(AE40&lt;$J$4,TRUE,FALSE)</f>
        <v>1</v>
      </c>
      <c r="AH40" s="192">
        <f ca="1">IF(K40="CBU","",IF(K40="CNR","",IF(K40="Code Out","",SUM(M40-$U$1))))</f>
        <v>-53.431838773147319</v>
      </c>
      <c r="AI40" s="192">
        <f>COUNTIF(O40,"Del")</f>
        <v>0</v>
      </c>
      <c r="AJ40" s="192">
        <f>COUNTIF(P40,"*at lab*")</f>
        <v>1</v>
      </c>
      <c r="AK40" s="200">
        <f>SUM(AI40:AJ40)</f>
        <v>1</v>
      </c>
    </row>
    <row r="41" spans="1:37" s="75" customFormat="1" x14ac:dyDescent="0.2">
      <c r="A41" s="207" t="s">
        <v>1098</v>
      </c>
      <c r="B41" s="315" t="s">
        <v>1099</v>
      </c>
      <c r="C41" s="309"/>
      <c r="D41" s="309" t="s">
        <v>870</v>
      </c>
      <c r="E41" s="309"/>
      <c r="F41" s="309" t="s">
        <v>285</v>
      </c>
      <c r="G41" s="309"/>
      <c r="H41" s="309"/>
      <c r="I41" s="309" t="s">
        <v>718</v>
      </c>
      <c r="J41" s="312"/>
      <c r="K41" s="299">
        <v>43181</v>
      </c>
      <c r="L41" s="310">
        <v>720</v>
      </c>
      <c r="M41" s="202">
        <f>IF(K41="cnr","CNR",IF(K41="CBU", "CBU",IF(K41="Code Out","Code Out",K41+L41)))</f>
        <v>43901</v>
      </c>
      <c r="N41" s="203">
        <f>M41</f>
        <v>43901</v>
      </c>
      <c r="O41" s="205" t="str">
        <f ca="1">IF(AJ41=1,"",IF(AH41&lt;1,"DEL",""))</f>
        <v/>
      </c>
      <c r="P41" s="299"/>
      <c r="Q41" s="313"/>
      <c r="R41" s="313"/>
      <c r="S41" s="313" t="s">
        <v>398</v>
      </c>
      <c r="T41" s="313"/>
      <c r="U41" s="298" t="s">
        <v>1533</v>
      </c>
      <c r="V41" s="320" t="s">
        <v>1537</v>
      </c>
      <c r="W41" s="172"/>
      <c r="X41" s="137"/>
      <c r="Y41" s="191">
        <f>IF(AF41,MONTH(M41),"")</f>
        <v>3</v>
      </c>
      <c r="Z41" s="192">
        <f>IF(AF41,YEAR(M41),"")</f>
        <v>2020</v>
      </c>
      <c r="AA41" s="191">
        <f>IF(AF41,MONTH(N41),"")</f>
        <v>3</v>
      </c>
      <c r="AB41" s="191">
        <f>IF(AF41,YEAR(N41),"")</f>
        <v>2020</v>
      </c>
      <c r="AC41" s="193" t="str">
        <f>CONCATENATE(Y41,Z41)</f>
        <v>32020</v>
      </c>
      <c r="AD41" s="194" t="str">
        <f>CONCATENATE(AA41,AB41)</f>
        <v>32020</v>
      </c>
      <c r="AE41" s="195">
        <f>IF(M41="CBU","",IF(M41="CNR","",IF(K41="Code Out","",MIN(M41,N41))))</f>
        <v>43901</v>
      </c>
      <c r="AF41" s="196" t="b">
        <f>--(ISNUMBER(SEARCH("lab",P41)))
=--(ISNUMBER(SEARCH("fred",A33)))</f>
        <v>1</v>
      </c>
      <c r="AG41" s="199" t="b">
        <f>IF(AE41&lt;$J$4,TRUE,FALSE)</f>
        <v>0</v>
      </c>
      <c r="AH41" s="192">
        <f ca="1">IF(K41="CBU","",IF(K41="CNR","",IF(K41="Code Out","",SUM(M41-$U$1))))</f>
        <v>621.56816122685268</v>
      </c>
      <c r="AI41" s="192">
        <f ca="1">COUNTIF(O41,"Del")</f>
        <v>0</v>
      </c>
      <c r="AJ41" s="192">
        <f>COUNTIF(P41,"*at lab*")</f>
        <v>0</v>
      </c>
      <c r="AK41" s="200">
        <f ca="1">SUM(AI41:AJ41)</f>
        <v>0</v>
      </c>
    </row>
    <row r="42" spans="1:37" s="75" customFormat="1" ht="28.5" x14ac:dyDescent="0.2">
      <c r="A42" s="207" t="s">
        <v>1090</v>
      </c>
      <c r="B42" s="315" t="s">
        <v>1093</v>
      </c>
      <c r="C42" s="309"/>
      <c r="D42" s="309" t="s">
        <v>973</v>
      </c>
      <c r="E42" s="309"/>
      <c r="F42" s="309" t="s">
        <v>1087</v>
      </c>
      <c r="G42" s="309" t="s">
        <v>782</v>
      </c>
      <c r="H42" s="309"/>
      <c r="I42" s="309" t="s">
        <v>1088</v>
      </c>
      <c r="J42" s="312">
        <v>6625015533137</v>
      </c>
      <c r="K42" s="299" t="s">
        <v>432</v>
      </c>
      <c r="L42" s="310">
        <v>540</v>
      </c>
      <c r="M42" s="202" t="str">
        <f>IF(K42="cnr","CNR",IF(K42="CBU", "CBU",IF(K42="Code Out","Code Out",K42+L42)))</f>
        <v>CBU</v>
      </c>
      <c r="N42" s="203" t="str">
        <f>M42</f>
        <v>CBU</v>
      </c>
      <c r="O42" s="205" t="str">
        <f>IF(AJ42=1,"",IF(AH42&lt;1,"DEL",""))</f>
        <v/>
      </c>
      <c r="P42" s="317"/>
      <c r="Q42" s="313"/>
      <c r="R42" s="313"/>
      <c r="S42" s="313" t="s">
        <v>1370</v>
      </c>
      <c r="T42" s="313"/>
      <c r="U42" s="318" t="s">
        <v>1092</v>
      </c>
      <c r="V42" s="320" t="s">
        <v>1413</v>
      </c>
      <c r="W42" s="172"/>
      <c r="X42" s="137"/>
      <c r="Y42" s="197" t="e">
        <f>IF(AF42,MONTH(M42),"")</f>
        <v>#VALUE!</v>
      </c>
      <c r="Z42" s="198" t="e">
        <f>IF(AF42,YEAR(M42),"")</f>
        <v>#VALUE!</v>
      </c>
      <c r="AA42" s="191" t="e">
        <f>IF(AF42,MONTH(N42),"")</f>
        <v>#VALUE!</v>
      </c>
      <c r="AB42" s="191" t="e">
        <f>IF(AF42,YEAR(N42),"")</f>
        <v>#VALUE!</v>
      </c>
      <c r="AC42" s="193" t="e">
        <f>CONCATENATE(Y42,Z42)</f>
        <v>#VALUE!</v>
      </c>
      <c r="AD42" s="194" t="e">
        <f>CONCATENATE(AA42,AB42)</f>
        <v>#VALUE!</v>
      </c>
      <c r="AE42" s="195" t="str">
        <f>IF(M42="CBU","",IF(M42="CNR","",IF(K42="Code Out","",MIN(M42,N42))))</f>
        <v/>
      </c>
      <c r="AF42" s="196" t="b">
        <f>--(ISNUMBER(SEARCH("lab",P42)))
=--(ISNUMBER(SEARCH("fred",A34)))</f>
        <v>1</v>
      </c>
      <c r="AG42" s="199" t="b">
        <f>IF(AE42&lt;$J$4,TRUE,FALSE)</f>
        <v>0</v>
      </c>
      <c r="AH42" s="192" t="str">
        <f>IF(K42="CBU","",IF(K42="CNR","",IF(K42="Code Out","",SUM(M42-$U$1))))</f>
        <v/>
      </c>
      <c r="AI42" s="192">
        <f>COUNTIF(O42,"Del")</f>
        <v>0</v>
      </c>
      <c r="AJ42" s="192">
        <f>COUNTIF(P42,"*at lab*")</f>
        <v>0</v>
      </c>
      <c r="AK42" s="200">
        <f>SUM(AI42:AJ42)</f>
        <v>0</v>
      </c>
    </row>
    <row r="43" spans="1:37" s="75" customFormat="1" ht="42.75" customHeight="1" x14ac:dyDescent="0.2">
      <c r="A43" s="207" t="s">
        <v>1089</v>
      </c>
      <c r="B43" s="315" t="s">
        <v>1091</v>
      </c>
      <c r="C43" s="309"/>
      <c r="D43" s="309" t="s">
        <v>973</v>
      </c>
      <c r="E43" s="309"/>
      <c r="F43" s="309" t="s">
        <v>1087</v>
      </c>
      <c r="G43" s="309" t="s">
        <v>781</v>
      </c>
      <c r="H43" s="309"/>
      <c r="I43" s="309" t="s">
        <v>1088</v>
      </c>
      <c r="J43" s="312">
        <v>6625015533137</v>
      </c>
      <c r="K43" s="299" t="s">
        <v>432</v>
      </c>
      <c r="L43" s="310">
        <v>540</v>
      </c>
      <c r="M43" s="202" t="str">
        <f>IF(K43="cnr","CNR",IF(K43="CBU", "CBU",IF(K43="Code Out","Code Out",K43+L43)))</f>
        <v>CBU</v>
      </c>
      <c r="N43" s="203" t="str">
        <f>M43</f>
        <v>CBU</v>
      </c>
      <c r="O43" s="205" t="str">
        <f>IF(AJ43=1,"",IF(AH43&lt;1,"DEL",""))</f>
        <v/>
      </c>
      <c r="P43" s="317"/>
      <c r="Q43" s="313"/>
      <c r="R43" s="313"/>
      <c r="S43" s="313" t="s">
        <v>1370</v>
      </c>
      <c r="T43" s="313"/>
      <c r="U43" s="318" t="s">
        <v>1092</v>
      </c>
      <c r="V43" s="320" t="s">
        <v>1413</v>
      </c>
      <c r="W43" s="171"/>
      <c r="X43" s="140"/>
      <c r="Y43" s="197" t="e">
        <f>IF(AF43,MONTH(M43),"")</f>
        <v>#VALUE!</v>
      </c>
      <c r="Z43" s="198" t="e">
        <f>IF(AF43,YEAR(M43),"")</f>
        <v>#VALUE!</v>
      </c>
      <c r="AA43" s="191" t="e">
        <f>IF(AF43,MONTH(N43),"")</f>
        <v>#VALUE!</v>
      </c>
      <c r="AB43" s="191" t="e">
        <f>IF(AF43,YEAR(N43),"")</f>
        <v>#VALUE!</v>
      </c>
      <c r="AC43" s="193" t="e">
        <f>CONCATENATE(Y43,Z43)</f>
        <v>#VALUE!</v>
      </c>
      <c r="AD43" s="194" t="e">
        <f>CONCATENATE(AA43,AB43)</f>
        <v>#VALUE!</v>
      </c>
      <c r="AE43" s="195" t="str">
        <f>IF(M43="CBU","",IF(M43="CNR","",IF(K43="Code Out","",MIN(M43,N43))))</f>
        <v/>
      </c>
      <c r="AF43" s="196" t="b">
        <f>--(ISNUMBER(SEARCH("lab",P43)))
=--(ISNUMBER(SEARCH("fred",A35)))</f>
        <v>1</v>
      </c>
      <c r="AG43" s="199" t="b">
        <f>IF(AE43&lt;$J$4,TRUE,FALSE)</f>
        <v>0</v>
      </c>
      <c r="AH43" s="192" t="str">
        <f>IF(K43="CBU","",IF(K43="CNR","",IF(K43="Code Out","",SUM(M43-$U$1))))</f>
        <v/>
      </c>
      <c r="AI43" s="192">
        <f>COUNTIF(O43,"Del")</f>
        <v>0</v>
      </c>
      <c r="AJ43" s="192">
        <f>COUNTIF(P43,"*at lab*")</f>
        <v>0</v>
      </c>
      <c r="AK43" s="200">
        <f>SUM(AI43:AJ43)</f>
        <v>0</v>
      </c>
    </row>
    <row r="44" spans="1:37" s="75" customFormat="1" ht="25.5" x14ac:dyDescent="0.2">
      <c r="A44" s="207" t="s">
        <v>1424</v>
      </c>
      <c r="B44" s="315" t="s">
        <v>1094</v>
      </c>
      <c r="C44" s="309"/>
      <c r="D44" s="309" t="s">
        <v>973</v>
      </c>
      <c r="E44" s="309"/>
      <c r="F44" s="309" t="s">
        <v>1087</v>
      </c>
      <c r="G44" s="309" t="s">
        <v>780</v>
      </c>
      <c r="H44" s="309"/>
      <c r="I44" s="309" t="s">
        <v>1088</v>
      </c>
      <c r="J44" s="312">
        <v>6625015533137</v>
      </c>
      <c r="K44" s="299">
        <v>43161</v>
      </c>
      <c r="L44" s="310">
        <v>540</v>
      </c>
      <c r="M44" s="202">
        <f>IF(K44="cnr","CNR",IF(K44="CBU", "CBU",IF(K44="Code Out","Code Out",K44+L44)))</f>
        <v>43701</v>
      </c>
      <c r="N44" s="203">
        <f>M44</f>
        <v>43701</v>
      </c>
      <c r="O44" s="205" t="str">
        <f ca="1">IF(AJ44=1,"",IF(AH44&lt;1,"DEL",""))</f>
        <v/>
      </c>
      <c r="P44" s="299"/>
      <c r="Q44" s="313"/>
      <c r="R44" s="313"/>
      <c r="S44" s="313" t="s">
        <v>398</v>
      </c>
      <c r="T44" s="313"/>
      <c r="U44" s="298" t="s">
        <v>1526</v>
      </c>
      <c r="V44" s="320" t="s">
        <v>1530</v>
      </c>
      <c r="W44" s="172"/>
      <c r="X44" s="137"/>
      <c r="Y44" s="191">
        <f>IF(AF44,MONTH(M44),"")</f>
        <v>8</v>
      </c>
      <c r="Z44" s="192">
        <f>IF(AF44,YEAR(M44),"")</f>
        <v>2019</v>
      </c>
      <c r="AA44" s="191">
        <f>IF(AF44,MONTH(N44),"")</f>
        <v>8</v>
      </c>
      <c r="AB44" s="191">
        <f>IF(AF44,YEAR(N44),"")</f>
        <v>2019</v>
      </c>
      <c r="AC44" s="193" t="str">
        <f>CONCATENATE(Y44,Z44)</f>
        <v>82019</v>
      </c>
      <c r="AD44" s="194" t="str">
        <f>CONCATENATE(AA44,AB44)</f>
        <v>82019</v>
      </c>
      <c r="AE44" s="195">
        <f>IF(M44="CBU","",IF(M44="CNR","",IF(K44="Code Out","",MIN(M44,N44))))</f>
        <v>43701</v>
      </c>
      <c r="AF44" s="196" t="b">
        <f>--(ISNUMBER(SEARCH("lab",P44)))
=--(ISNUMBER(SEARCH("fred",A36)))</f>
        <v>1</v>
      </c>
      <c r="AG44" s="199" t="b">
        <f>IF(AE44&lt;$J$4,TRUE,FALSE)</f>
        <v>0</v>
      </c>
      <c r="AH44" s="192">
        <f ca="1">IF(K44="CBU","",IF(K44="CNR","",IF(K44="Code Out","",SUM(M44-$U$1))))</f>
        <v>421.56816122685268</v>
      </c>
      <c r="AI44" s="192">
        <f ca="1">COUNTIF(O44,"Del")</f>
        <v>0</v>
      </c>
      <c r="AJ44" s="192">
        <f>COUNTIF(P44,"*at lab*")</f>
        <v>0</v>
      </c>
      <c r="AK44" s="200">
        <f ca="1">SUM(AI44:AJ44)</f>
        <v>0</v>
      </c>
    </row>
    <row r="45" spans="1:37" s="75" customFormat="1" ht="25.5" x14ac:dyDescent="0.2">
      <c r="A45" s="207" t="s">
        <v>1095</v>
      </c>
      <c r="B45" s="315" t="s">
        <v>1096</v>
      </c>
      <c r="C45" s="309"/>
      <c r="D45" s="309" t="s">
        <v>855</v>
      </c>
      <c r="E45" s="309"/>
      <c r="F45" s="309" t="s">
        <v>1488</v>
      </c>
      <c r="G45" s="309"/>
      <c r="H45" s="309"/>
      <c r="I45" s="309" t="s">
        <v>1100</v>
      </c>
      <c r="J45" s="312">
        <v>5120009430941</v>
      </c>
      <c r="K45" s="299">
        <v>43074</v>
      </c>
      <c r="L45" s="310">
        <v>180</v>
      </c>
      <c r="M45" s="202">
        <f>IF(K45="cnr","CNR",IF(K45="CBU", "CBU",IF(K45="Code Out","Code Out",K45+L45)))</f>
        <v>43254</v>
      </c>
      <c r="N45" s="203">
        <f>M45</f>
        <v>43254</v>
      </c>
      <c r="O45" s="205" t="str">
        <f ca="1">IF(AJ45=1,"",IF(AH45&lt;1,"DEL",""))</f>
        <v>DEL</v>
      </c>
      <c r="P45" s="299" t="s">
        <v>851</v>
      </c>
      <c r="Q45" s="313"/>
      <c r="R45" s="313"/>
      <c r="S45" s="313"/>
      <c r="T45" s="313"/>
      <c r="U45" s="318" t="s">
        <v>1512</v>
      </c>
      <c r="V45" s="320" t="s">
        <v>369</v>
      </c>
      <c r="W45" s="180"/>
      <c r="X45" s="177"/>
      <c r="Y45" s="204">
        <f>IF(AF45,MONTH(M45),"")</f>
        <v>6</v>
      </c>
      <c r="Z45" s="201">
        <f>IF(AF45,YEAR(M45),"")</f>
        <v>2018</v>
      </c>
      <c r="AA45" s="191">
        <f>IF(AF45,MONTH(N45),"")</f>
        <v>6</v>
      </c>
      <c r="AB45" s="191">
        <f>IF(AF45,YEAR(N45),"")</f>
        <v>2018</v>
      </c>
      <c r="AC45" s="193" t="str">
        <f>CONCATENATE(Y45,Z45)</f>
        <v>62018</v>
      </c>
      <c r="AD45" s="194" t="str">
        <f>CONCATENATE(AA45,AB45)</f>
        <v>62018</v>
      </c>
      <c r="AE45" s="195">
        <f>IF(M45="CBU","",IF(M45="CNR","",IF(K45="Code Out","",MIN(M45,N45))))</f>
        <v>43254</v>
      </c>
      <c r="AF45" s="196" t="b">
        <f>--(ISNUMBER(SEARCH("lab",P45)))
=--(ISNUMBER(SEARCH("fred",A37)))</f>
        <v>1</v>
      </c>
      <c r="AG45" s="199" t="b">
        <f>IF(AE45&lt;$J$4,TRUE,FALSE)</f>
        <v>1</v>
      </c>
      <c r="AH45" s="192">
        <f ca="1">IF(K45="CBU","",IF(K45="CNR","",IF(K45="Code Out","",SUM(M45-$U$1))))</f>
        <v>-25.431838773147319</v>
      </c>
      <c r="AI45" s="192">
        <f ca="1">COUNTIF(O45,"Del")</f>
        <v>1</v>
      </c>
      <c r="AJ45" s="192">
        <f>COUNTIF(P45,"*at lab*")</f>
        <v>0</v>
      </c>
      <c r="AK45" s="200">
        <f ca="1">SUM(AI45:AJ45)</f>
        <v>1</v>
      </c>
    </row>
    <row r="46" spans="1:37" s="75" customFormat="1" ht="25.5" x14ac:dyDescent="0.2">
      <c r="A46" s="207" t="s">
        <v>1113</v>
      </c>
      <c r="B46" s="309" t="s">
        <v>1114</v>
      </c>
      <c r="C46" s="309" t="s">
        <v>1485</v>
      </c>
      <c r="D46" s="309" t="s">
        <v>855</v>
      </c>
      <c r="E46" s="309"/>
      <c r="F46" s="309" t="s">
        <v>1116</v>
      </c>
      <c r="G46" s="309"/>
      <c r="H46" s="309"/>
      <c r="I46" s="309" t="s">
        <v>1115</v>
      </c>
      <c r="J46" s="312">
        <v>6635015682652</v>
      </c>
      <c r="K46" s="299" t="s">
        <v>138</v>
      </c>
      <c r="L46" s="310" t="s">
        <v>138</v>
      </c>
      <c r="M46" s="202" t="str">
        <f>IF(K46="cnr","CNR",IF(K46="CBU", "CBU",IF(K46="Code Out","Code Out",K46+L46)))</f>
        <v>CNR</v>
      </c>
      <c r="N46" s="203" t="str">
        <f>(M46)</f>
        <v>CNR</v>
      </c>
      <c r="O46" s="205" t="str">
        <f>IF(AJ46=1,"",IF(AH46&lt;1,"DEL",""))</f>
        <v/>
      </c>
      <c r="P46" s="317"/>
      <c r="Q46" s="313"/>
      <c r="R46" s="313"/>
      <c r="S46" s="313"/>
      <c r="T46" s="313"/>
      <c r="U46" s="318" t="s">
        <v>1117</v>
      </c>
      <c r="V46" s="320" t="s">
        <v>373</v>
      </c>
      <c r="W46" s="172"/>
      <c r="X46" s="137"/>
      <c r="Y46" s="197" t="e">
        <f>IF(AF46,MONTH(M46),"")</f>
        <v>#VALUE!</v>
      </c>
      <c r="Z46" s="198" t="e">
        <f>IF(AF46,YEAR(M46),"")</f>
        <v>#VALUE!</v>
      </c>
      <c r="AA46" s="191" t="e">
        <f>IF(AF46,MONTH(N46),"")</f>
        <v>#VALUE!</v>
      </c>
      <c r="AB46" s="191" t="e">
        <f>IF(AF46,YEAR(N46),"")</f>
        <v>#VALUE!</v>
      </c>
      <c r="AC46" s="193" t="e">
        <f>CONCATENATE(Y46,Z46)</f>
        <v>#VALUE!</v>
      </c>
      <c r="AD46" s="194" t="e">
        <f>CONCATENATE(AA46,AB46)</f>
        <v>#VALUE!</v>
      </c>
      <c r="AE46" s="195" t="str">
        <f>IF(M46="CBU","",IF(M46="CNR","",IF(K46="Code Out","",MIN(M46,N46))))</f>
        <v/>
      </c>
      <c r="AF46" s="196" t="b">
        <f>--(ISNUMBER(SEARCH("lab",P46)))
=--(ISNUMBER(SEARCH("fred",A38)))</f>
        <v>1</v>
      </c>
      <c r="AG46" s="199" t="b">
        <f>IF(AE46&lt;$J$4,TRUE,FALSE)</f>
        <v>0</v>
      </c>
      <c r="AH46" s="192" t="str">
        <f>IF(K46="CBU","",IF(K46="CNR","",IF(K46="Code Out","",SUM(M46-$U$1))))</f>
        <v/>
      </c>
      <c r="AI46" s="192">
        <f>COUNTIF(O46,"Del")</f>
        <v>0</v>
      </c>
      <c r="AJ46" s="192">
        <f>COUNTIF(P46,"*at lab*")</f>
        <v>0</v>
      </c>
      <c r="AK46" s="200">
        <f>SUM(AI46:AJ46)</f>
        <v>0</v>
      </c>
    </row>
    <row r="47" spans="1:37" s="75" customFormat="1" ht="25.5" x14ac:dyDescent="0.2">
      <c r="A47" s="207" t="s">
        <v>1111</v>
      </c>
      <c r="B47" s="309" t="s">
        <v>1112</v>
      </c>
      <c r="C47" s="309"/>
      <c r="D47" s="309" t="s">
        <v>870</v>
      </c>
      <c r="E47" s="309"/>
      <c r="F47" s="309" t="s">
        <v>1109</v>
      </c>
      <c r="G47" s="309"/>
      <c r="H47" s="309"/>
      <c r="I47" s="309" t="s">
        <v>1110</v>
      </c>
      <c r="J47" s="312">
        <v>6635015682670</v>
      </c>
      <c r="K47" s="299" t="s">
        <v>138</v>
      </c>
      <c r="L47" s="310" t="s">
        <v>138</v>
      </c>
      <c r="M47" s="202" t="str">
        <f>IF(K47="cnr","CNR",IF(K47="CBU", "CBU",IF(K47="Code Out","Code Out",K47+L47)))</f>
        <v>CNR</v>
      </c>
      <c r="N47" s="203" t="str">
        <f>(M47)</f>
        <v>CNR</v>
      </c>
      <c r="O47" s="205" t="str">
        <f>IF(AJ47=1,"",IF(AH47&lt;1,"DEL",""))</f>
        <v/>
      </c>
      <c r="P47" s="317"/>
      <c r="Q47" s="313"/>
      <c r="R47" s="313"/>
      <c r="S47" s="313"/>
      <c r="T47" s="313"/>
      <c r="U47" s="318" t="s">
        <v>1117</v>
      </c>
      <c r="V47" s="320" t="s">
        <v>373</v>
      </c>
      <c r="W47" s="171"/>
      <c r="X47" s="140"/>
      <c r="Y47" s="197" t="e">
        <f>IF(AF47,MONTH(M47),"")</f>
        <v>#VALUE!</v>
      </c>
      <c r="Z47" s="198" t="e">
        <f>IF(AF47,YEAR(M47),"")</f>
        <v>#VALUE!</v>
      </c>
      <c r="AA47" s="191" t="e">
        <f>IF(AF47,MONTH(N47),"")</f>
        <v>#VALUE!</v>
      </c>
      <c r="AB47" s="191" t="e">
        <f>IF(AF47,YEAR(N47),"")</f>
        <v>#VALUE!</v>
      </c>
      <c r="AC47" s="193" t="e">
        <f>CONCATENATE(Y47,Z47)</f>
        <v>#VALUE!</v>
      </c>
      <c r="AD47" s="194" t="e">
        <f>CONCATENATE(AA47,AB47)</f>
        <v>#VALUE!</v>
      </c>
      <c r="AE47" s="195" t="str">
        <f>IF(M47="CBU","",IF(M47="CNR","",IF(K47="Code Out","",MIN(M47,N47))))</f>
        <v/>
      </c>
      <c r="AF47" s="196" t="b">
        <f>--(ISNUMBER(SEARCH("lab",P47)))
=--(ISNUMBER(SEARCH("fred",A39)))</f>
        <v>1</v>
      </c>
      <c r="AG47" s="199" t="b">
        <f>IF(AE47&lt;$J$4,TRUE,FALSE)</f>
        <v>0</v>
      </c>
      <c r="AH47" s="192" t="str">
        <f>IF(K47="CBU","",IF(K47="CNR","",IF(K47="Code Out","",SUM(M47-$U$1))))</f>
        <v/>
      </c>
      <c r="AI47" s="192">
        <f>COUNTIF(O47,"Del")</f>
        <v>0</v>
      </c>
      <c r="AJ47" s="192">
        <f>COUNTIF(P47,"*at lab*")</f>
        <v>0</v>
      </c>
      <c r="AK47" s="200">
        <f>SUM(AI47:AJ47)</f>
        <v>0</v>
      </c>
    </row>
    <row r="48" spans="1:37" s="75" customFormat="1" ht="56.25" customHeight="1" x14ac:dyDescent="0.2">
      <c r="A48" s="207" t="s">
        <v>1107</v>
      </c>
      <c r="B48" s="309" t="s">
        <v>1108</v>
      </c>
      <c r="C48" s="309"/>
      <c r="D48" s="309" t="s">
        <v>870</v>
      </c>
      <c r="E48" s="309"/>
      <c r="F48" s="309" t="s">
        <v>1109</v>
      </c>
      <c r="G48" s="309"/>
      <c r="H48" s="309"/>
      <c r="I48" s="309" t="s">
        <v>1110</v>
      </c>
      <c r="J48" s="312">
        <v>6635015682670</v>
      </c>
      <c r="K48" s="299" t="s">
        <v>138</v>
      </c>
      <c r="L48" s="310" t="s">
        <v>138</v>
      </c>
      <c r="M48" s="202" t="str">
        <f>IF(K48="cnr","CNR",IF(K48="CBU", "CBU",IF(K48="Code Out","Code Out",K48+L48)))</f>
        <v>CNR</v>
      </c>
      <c r="N48" s="203" t="str">
        <f>(M48)</f>
        <v>CNR</v>
      </c>
      <c r="O48" s="205" t="str">
        <f>IF(AJ48=1,"",IF(AH48&lt;1,"DEL",""))</f>
        <v/>
      </c>
      <c r="P48" s="317"/>
      <c r="Q48" s="313"/>
      <c r="R48" s="313"/>
      <c r="S48" s="313"/>
      <c r="T48" s="313"/>
      <c r="U48" s="318" t="s">
        <v>1117</v>
      </c>
      <c r="V48" s="320" t="s">
        <v>373</v>
      </c>
      <c r="W48" s="172"/>
      <c r="X48" s="137"/>
      <c r="Y48" s="197" t="e">
        <f>IF(AF48,MONTH(M48),"")</f>
        <v>#VALUE!</v>
      </c>
      <c r="Z48" s="198" t="e">
        <f>IF(AF48,YEAR(M48),"")</f>
        <v>#VALUE!</v>
      </c>
      <c r="AA48" s="191" t="e">
        <f>IF(AF48,MONTH(N48),"")</f>
        <v>#VALUE!</v>
      </c>
      <c r="AB48" s="191" t="e">
        <f>IF(AF48,YEAR(N48),"")</f>
        <v>#VALUE!</v>
      </c>
      <c r="AC48" s="193" t="e">
        <f>CONCATENATE(Y48,Z48)</f>
        <v>#VALUE!</v>
      </c>
      <c r="AD48" s="194" t="e">
        <f>CONCATENATE(AA48,AB48)</f>
        <v>#VALUE!</v>
      </c>
      <c r="AE48" s="195" t="str">
        <f>IF(M48="CBU","",IF(M48="CNR","",IF(K48="Code Out","",MIN(M48,N48))))</f>
        <v/>
      </c>
      <c r="AF48" s="196" t="b">
        <f>--(ISNUMBER(SEARCH("lab",P48)))
=--(ISNUMBER(SEARCH("fred",A40)))</f>
        <v>1</v>
      </c>
      <c r="AG48" s="199" t="b">
        <f>IF(AE48&lt;$J$4,TRUE,FALSE)</f>
        <v>0</v>
      </c>
      <c r="AH48" s="192" t="str">
        <f>IF(K48="CBU","",IF(K48="CNR","",IF(K48="Code Out","",SUM(M48-$U$1))))</f>
        <v/>
      </c>
      <c r="AI48" s="192">
        <f>COUNTIF(O48,"Del")</f>
        <v>0</v>
      </c>
      <c r="AJ48" s="192">
        <f>COUNTIF(P48,"*at lab*")</f>
        <v>0</v>
      </c>
      <c r="AK48" s="200">
        <f>SUM(AI48:AJ48)</f>
        <v>0</v>
      </c>
    </row>
    <row r="49" spans="1:37" s="75" customFormat="1" ht="25.5" x14ac:dyDescent="0.2">
      <c r="A49" s="207" t="s">
        <v>1118</v>
      </c>
      <c r="B49" s="309" t="s">
        <v>1119</v>
      </c>
      <c r="C49" s="309"/>
      <c r="D49" s="309" t="s">
        <v>855</v>
      </c>
      <c r="E49" s="309"/>
      <c r="F49" s="309" t="s">
        <v>1120</v>
      </c>
      <c r="G49" s="309"/>
      <c r="H49" s="309"/>
      <c r="I49" s="309" t="s">
        <v>1121</v>
      </c>
      <c r="J49" s="312">
        <v>6625000000000</v>
      </c>
      <c r="K49" s="299" t="s">
        <v>138</v>
      </c>
      <c r="L49" s="310" t="s">
        <v>138</v>
      </c>
      <c r="M49" s="202" t="str">
        <f>IF(K49="cnr","CNR",IF(K49="CBU", "CBU",IF(K49="Code Out","Code Out",K49+L49)))</f>
        <v>CNR</v>
      </c>
      <c r="N49" s="203" t="str">
        <f>(M49)</f>
        <v>CNR</v>
      </c>
      <c r="O49" s="205" t="str">
        <f>IF(AJ49=1,"",IF(AH49&lt;1,"DEL",""))</f>
        <v/>
      </c>
      <c r="P49" s="317"/>
      <c r="Q49" s="313"/>
      <c r="R49" s="313"/>
      <c r="S49" s="313" t="s">
        <v>1370</v>
      </c>
      <c r="T49" s="313"/>
      <c r="U49" s="318" t="s">
        <v>1400</v>
      </c>
      <c r="V49" s="320" t="s">
        <v>373</v>
      </c>
      <c r="W49" s="171"/>
      <c r="X49" s="140"/>
      <c r="Y49" s="197" t="e">
        <f>IF(AF49,MONTH(M49),"")</f>
        <v>#VALUE!</v>
      </c>
      <c r="Z49" s="198" t="e">
        <f>IF(AF49,YEAR(M49),"")</f>
        <v>#VALUE!</v>
      </c>
      <c r="AA49" s="191" t="e">
        <f>IF(AF49,MONTH(N49),"")</f>
        <v>#VALUE!</v>
      </c>
      <c r="AB49" s="191" t="e">
        <f>IF(AF49,YEAR(N49),"")</f>
        <v>#VALUE!</v>
      </c>
      <c r="AC49" s="193" t="e">
        <f>CONCATENATE(Y49,Z49)</f>
        <v>#VALUE!</v>
      </c>
      <c r="AD49" s="194" t="e">
        <f>CONCATENATE(AA49,AB49)</f>
        <v>#VALUE!</v>
      </c>
      <c r="AE49" s="195" t="str">
        <f>IF(M49="CBU","",IF(M49="CNR","",IF(K49="Code Out","",MIN(M49,N49))))</f>
        <v/>
      </c>
      <c r="AF49" s="196" t="b">
        <f>--(ISNUMBER(SEARCH("lab",P49)))
=--(ISNUMBER(SEARCH("fred",A41)))</f>
        <v>1</v>
      </c>
      <c r="AG49" s="199" t="b">
        <f>IF(AE49&lt;$J$4,TRUE,FALSE)</f>
        <v>0</v>
      </c>
      <c r="AH49" s="192" t="str">
        <f>IF(K49="CBU","",IF(K49="CNR","",IF(K49="Code Out","",SUM(M49-$U$1))))</f>
        <v/>
      </c>
      <c r="AI49" s="192">
        <f>COUNTIF(O49,"Del")</f>
        <v>0</v>
      </c>
      <c r="AJ49" s="192">
        <f>COUNTIF(P49,"*at lab*")</f>
        <v>0</v>
      </c>
      <c r="AK49" s="200">
        <f>SUM(AI49:AJ49)</f>
        <v>0</v>
      </c>
    </row>
    <row r="50" spans="1:37" s="75" customFormat="1" x14ac:dyDescent="0.2">
      <c r="A50" s="207" t="s">
        <v>1085</v>
      </c>
      <c r="B50" s="315" t="s">
        <v>932</v>
      </c>
      <c r="C50" s="309"/>
      <c r="D50" s="309" t="s">
        <v>1346</v>
      </c>
      <c r="E50" s="309"/>
      <c r="F50" s="309" t="s">
        <v>818</v>
      </c>
      <c r="G50" s="309"/>
      <c r="H50" s="309" t="s">
        <v>979</v>
      </c>
      <c r="I50" s="309" t="s">
        <v>819</v>
      </c>
      <c r="J50" s="309" t="s">
        <v>927</v>
      </c>
      <c r="K50" s="299">
        <v>42943</v>
      </c>
      <c r="L50" s="310">
        <v>720</v>
      </c>
      <c r="M50" s="202">
        <f>IF(K50="cnr","CNR",IF(K50="CBU", "CBU",IF(K50="Code Out","Code Out",K50+L50)))</f>
        <v>43663</v>
      </c>
      <c r="N50" s="203">
        <f>M50</f>
        <v>43663</v>
      </c>
      <c r="O50" s="206" t="str">
        <f ca="1">IF(AJ50=1,"",IF(AH50&lt;1,"DEL",""))</f>
        <v/>
      </c>
      <c r="P50" s="317"/>
      <c r="Q50" s="313"/>
      <c r="R50" s="313"/>
      <c r="S50" s="313" t="s">
        <v>398</v>
      </c>
      <c r="T50" s="313"/>
      <c r="U50" s="318" t="s">
        <v>1490</v>
      </c>
      <c r="V50" s="320" t="s">
        <v>373</v>
      </c>
      <c r="W50" s="172"/>
      <c r="X50" s="137"/>
      <c r="Y50" s="191">
        <f>IF(AF50,MONTH(M50),"")</f>
        <v>7</v>
      </c>
      <c r="Z50" s="192">
        <f>IF(AF50,YEAR(M50),"")</f>
        <v>2019</v>
      </c>
      <c r="AA50" s="191">
        <f>IF(AF50,MONTH(N50),"")</f>
        <v>7</v>
      </c>
      <c r="AB50" s="191">
        <f>IF(AF50,YEAR(N50),"")</f>
        <v>2019</v>
      </c>
      <c r="AC50" s="193" t="str">
        <f>CONCATENATE(Y50,Z50)</f>
        <v>72019</v>
      </c>
      <c r="AD50" s="194" t="str">
        <f>CONCATENATE(AA50,AB50)</f>
        <v>72019</v>
      </c>
      <c r="AE50" s="195">
        <f>IF(M50="CBU","",IF(M50="CNR","",IF(K50="Code Out","",MIN(M50,N50))))</f>
        <v>43663</v>
      </c>
      <c r="AF50" s="196" t="b">
        <f>--(ISNUMBER(SEARCH("lab",P50)))
=--(ISNUMBER(SEARCH("fred",A42)))</f>
        <v>1</v>
      </c>
      <c r="AG50" s="199" t="b">
        <f>IF(AE50&lt;$J$4,TRUE,FALSE)</f>
        <v>0</v>
      </c>
      <c r="AH50" s="192">
        <f ca="1">IF(K50="CBU","",IF(K50="CNR","",IF(K50="Code Out","",SUM(M50-$U$1))))</f>
        <v>383.56816122685268</v>
      </c>
      <c r="AI50" s="192">
        <f ca="1">COUNTIF(O50,"Del")</f>
        <v>0</v>
      </c>
      <c r="AJ50" s="192">
        <f>COUNTIF(P50,"*at lab*")</f>
        <v>0</v>
      </c>
      <c r="AK50" s="200">
        <f ca="1">SUM(AI50:AJ50)</f>
        <v>0</v>
      </c>
    </row>
    <row r="51" spans="1:37" s="75" customFormat="1" ht="28.5" x14ac:dyDescent="0.2">
      <c r="A51" s="207" t="s">
        <v>1070</v>
      </c>
      <c r="B51" s="315" t="s">
        <v>1074</v>
      </c>
      <c r="C51" s="309"/>
      <c r="D51" s="309" t="s">
        <v>974</v>
      </c>
      <c r="E51" s="309"/>
      <c r="F51" s="309" t="s">
        <v>1075</v>
      </c>
      <c r="G51" s="309"/>
      <c r="H51" s="309"/>
      <c r="I51" s="309" t="s">
        <v>1076</v>
      </c>
      <c r="J51" s="312">
        <v>6625015859211</v>
      </c>
      <c r="K51" s="299">
        <v>42844</v>
      </c>
      <c r="L51" s="310">
        <v>720</v>
      </c>
      <c r="M51" s="202">
        <f>IF(K51="cnr","CNR",IF(K51="CBU", "CBU",IF(K51="Code Out","Code Out",K51+L51)))</f>
        <v>43564</v>
      </c>
      <c r="N51" s="203">
        <f>M51</f>
        <v>43564</v>
      </c>
      <c r="O51" s="205" t="str">
        <f ca="1">IF(AJ51=1,"",IF(AH51&lt;1,"DEL",""))</f>
        <v/>
      </c>
      <c r="P51" s="317"/>
      <c r="Q51" s="313"/>
      <c r="R51" s="313"/>
      <c r="S51" s="313" t="s">
        <v>398</v>
      </c>
      <c r="T51" s="313"/>
      <c r="U51" s="318" t="s">
        <v>1467</v>
      </c>
      <c r="V51" s="320" t="s">
        <v>1079</v>
      </c>
      <c r="W51" s="305"/>
      <c r="X51" s="304"/>
      <c r="Y51" s="197">
        <f>IF(AF51,MONTH(M51),"")</f>
        <v>4</v>
      </c>
      <c r="Z51" s="198">
        <f>IF(AF51,YEAR(M51),"")</f>
        <v>2019</v>
      </c>
      <c r="AA51" s="191">
        <f>IF(AF51,MONTH(N51),"")</f>
        <v>4</v>
      </c>
      <c r="AB51" s="191">
        <f>IF(AF51,YEAR(N51),"")</f>
        <v>2019</v>
      </c>
      <c r="AC51" s="193" t="str">
        <f>CONCATENATE(Y51,Z51)</f>
        <v>42019</v>
      </c>
      <c r="AD51" s="194" t="str">
        <f>CONCATENATE(AA51,AB51)</f>
        <v>42019</v>
      </c>
      <c r="AE51" s="195">
        <f>IF(M51="CBU","",IF(M51="CNR","",IF(K51="Code Out","",MIN(M51,N51))))</f>
        <v>43564</v>
      </c>
      <c r="AF51" s="196" t="b">
        <f>--(ISNUMBER(SEARCH("lab",P51)))
=--(ISNUMBER(SEARCH("fred",A43)))</f>
        <v>1</v>
      </c>
      <c r="AG51" s="199" t="b">
        <f>IF(AE51&lt;$J$4,TRUE,FALSE)</f>
        <v>0</v>
      </c>
      <c r="AH51" s="192">
        <f ca="1">IF(K51="CBU","",IF(K51="CNR","",IF(K51="Code Out","",SUM(M51-$U$1))))</f>
        <v>284.56816122685268</v>
      </c>
      <c r="AI51" s="192">
        <f ca="1">COUNTIF(O51,"Del")</f>
        <v>0</v>
      </c>
      <c r="AJ51" s="192">
        <f>COUNTIF(P51,"*at lab*")</f>
        <v>0</v>
      </c>
      <c r="AK51" s="200">
        <f ca="1">SUM(AI51:AJ51)</f>
        <v>0</v>
      </c>
    </row>
    <row r="52" spans="1:37" s="75" customFormat="1" ht="25.5" x14ac:dyDescent="0.2">
      <c r="A52" s="207" t="s">
        <v>1069</v>
      </c>
      <c r="B52" s="315" t="s">
        <v>1073</v>
      </c>
      <c r="C52" s="309"/>
      <c r="D52" s="309" t="s">
        <v>974</v>
      </c>
      <c r="E52" s="309"/>
      <c r="F52" s="309" t="s">
        <v>1075</v>
      </c>
      <c r="G52" s="309"/>
      <c r="H52" s="309"/>
      <c r="I52" s="309" t="s">
        <v>1076</v>
      </c>
      <c r="J52" s="312">
        <v>6625015859211</v>
      </c>
      <c r="K52" s="299">
        <v>42844</v>
      </c>
      <c r="L52" s="310">
        <v>720</v>
      </c>
      <c r="M52" s="202">
        <f>IF(K52="cnr","CNR",IF(K52="CBU", "CBU",IF(K52="Code Out","Code Out",K52+L52)))</f>
        <v>43564</v>
      </c>
      <c r="N52" s="203">
        <f>M52</f>
        <v>43564</v>
      </c>
      <c r="O52" s="205" t="str">
        <f ca="1">IF(AJ52=1,"",IF(AH52&lt;1,"DEL",""))</f>
        <v/>
      </c>
      <c r="P52" s="317"/>
      <c r="Q52" s="313"/>
      <c r="R52" s="313"/>
      <c r="S52" s="313" t="s">
        <v>398</v>
      </c>
      <c r="T52" s="313"/>
      <c r="U52" s="318" t="s">
        <v>1467</v>
      </c>
      <c r="V52" s="320" t="s">
        <v>1079</v>
      </c>
      <c r="W52" s="172"/>
      <c r="X52" s="137"/>
      <c r="Y52" s="191">
        <f>IF(AF52,MONTH(M52),"")</f>
        <v>4</v>
      </c>
      <c r="Z52" s="192">
        <f>IF(AF52,YEAR(M52),"")</f>
        <v>2019</v>
      </c>
      <c r="AA52" s="191">
        <f>IF(AF52,MONTH(N52),"")</f>
        <v>4</v>
      </c>
      <c r="AB52" s="191">
        <f>IF(AF52,YEAR(N52),"")</f>
        <v>2019</v>
      </c>
      <c r="AC52" s="193" t="str">
        <f>CONCATENATE(Y52,Z52)</f>
        <v>42019</v>
      </c>
      <c r="AD52" s="194" t="str">
        <f>CONCATENATE(AA52,AB52)</f>
        <v>42019</v>
      </c>
      <c r="AE52" s="195">
        <f>IF(M52="CBU","",IF(M52="CNR","",IF(K52="Code Out","",MIN(M52,N52))))</f>
        <v>43564</v>
      </c>
      <c r="AF52" s="196" t="b">
        <f>--(ISNUMBER(SEARCH("lab",P52)))
=--(ISNUMBER(SEARCH("fred",A44)))</f>
        <v>1</v>
      </c>
      <c r="AG52" s="199" t="b">
        <f>IF(AE52&lt;$J$4,TRUE,FALSE)</f>
        <v>0</v>
      </c>
      <c r="AH52" s="192">
        <f ca="1">IF(K52="CBU","",IF(K52="CNR","",IF(K52="Code Out","",SUM(M52-$U$1))))</f>
        <v>284.56816122685268</v>
      </c>
      <c r="AI52" s="192">
        <f ca="1">COUNTIF(O52,"Del")</f>
        <v>0</v>
      </c>
      <c r="AJ52" s="192">
        <f>COUNTIF(P52,"*at lab*")</f>
        <v>0</v>
      </c>
      <c r="AK52" s="200">
        <f ca="1">SUM(AI52:AJ52)</f>
        <v>0</v>
      </c>
    </row>
    <row r="53" spans="1:37" s="75" customFormat="1" ht="25.5" x14ac:dyDescent="0.2">
      <c r="A53" s="207" t="s">
        <v>1068</v>
      </c>
      <c r="B53" s="315" t="s">
        <v>1072</v>
      </c>
      <c r="C53" s="309"/>
      <c r="D53" s="309" t="s">
        <v>974</v>
      </c>
      <c r="E53" s="309"/>
      <c r="F53" s="309" t="s">
        <v>1075</v>
      </c>
      <c r="G53" s="309"/>
      <c r="H53" s="309"/>
      <c r="I53" s="309" t="s">
        <v>1076</v>
      </c>
      <c r="J53" s="312">
        <v>6625015859211</v>
      </c>
      <c r="K53" s="299">
        <v>42774</v>
      </c>
      <c r="L53" s="404">
        <v>720</v>
      </c>
      <c r="M53" s="340">
        <f>IF(K53="cnr","CNR",IF(K53="CBU", "CBU",IF(K53="Code Out","Code Out",K53+L53)))</f>
        <v>43494</v>
      </c>
      <c r="N53" s="203">
        <f>M53</f>
        <v>43494</v>
      </c>
      <c r="O53" s="411" t="str">
        <f ca="1">IF(AJ53=1,"",IF(AH53&lt;1,"DEL",""))</f>
        <v/>
      </c>
      <c r="P53" s="317"/>
      <c r="Q53" s="313"/>
      <c r="R53" s="313"/>
      <c r="S53" s="313" t="s">
        <v>1432</v>
      </c>
      <c r="T53" s="313"/>
      <c r="U53" s="298" t="s">
        <v>1445</v>
      </c>
      <c r="V53" s="320" t="s">
        <v>367</v>
      </c>
      <c r="W53" s="305"/>
      <c r="X53" s="304"/>
      <c r="Y53" s="197">
        <f>IF(AF53,MONTH(M53),"")</f>
        <v>1</v>
      </c>
      <c r="Z53" s="198">
        <f>IF(AF53,YEAR(M53),"")</f>
        <v>2019</v>
      </c>
      <c r="AA53" s="191">
        <f>IF(AF53,MONTH(N53),"")</f>
        <v>1</v>
      </c>
      <c r="AB53" s="191">
        <f>IF(AF53,YEAR(N53),"")</f>
        <v>2019</v>
      </c>
      <c r="AC53" s="193" t="str">
        <f>CONCATENATE(Y53,Z53)</f>
        <v>12019</v>
      </c>
      <c r="AD53" s="194" t="str">
        <f>CONCATENATE(AA53,AB53)</f>
        <v>12019</v>
      </c>
      <c r="AE53" s="195">
        <f>IF(M53="CBU","",IF(M53="CNR","",IF(K53="Code Out","",MIN(M53,N53))))</f>
        <v>43494</v>
      </c>
      <c r="AF53" s="196" t="b">
        <f>--(ISNUMBER(SEARCH("lab",P53)))
=--(ISNUMBER(SEARCH("fred",A45)))</f>
        <v>1</v>
      </c>
      <c r="AG53" s="199" t="b">
        <f>IF(AE53&lt;$J$4,TRUE,FALSE)</f>
        <v>0</v>
      </c>
      <c r="AH53" s="192">
        <f ca="1">IF(K53="CBU","",IF(K53="CNR","",IF(K53="Code Out","",SUM(M53-$U$1))))</f>
        <v>214.56816122685268</v>
      </c>
      <c r="AI53" s="192">
        <f ca="1">COUNTIF(O53,"Del")</f>
        <v>0</v>
      </c>
      <c r="AJ53" s="192">
        <f>COUNTIF(P53,"*at lab*")</f>
        <v>0</v>
      </c>
      <c r="AK53" s="200">
        <f ca="1">SUM(AI53:AJ53)</f>
        <v>0</v>
      </c>
    </row>
    <row r="54" spans="1:37" s="75" customFormat="1" ht="25.5" x14ac:dyDescent="0.2">
      <c r="A54" s="207" t="s">
        <v>1067</v>
      </c>
      <c r="B54" s="315" t="s">
        <v>1071</v>
      </c>
      <c r="C54" s="309"/>
      <c r="D54" s="309" t="s">
        <v>974</v>
      </c>
      <c r="E54" s="309"/>
      <c r="F54" s="309" t="s">
        <v>1075</v>
      </c>
      <c r="G54" s="309"/>
      <c r="H54" s="309"/>
      <c r="I54" s="309" t="s">
        <v>1076</v>
      </c>
      <c r="J54" s="312">
        <v>6625015859211</v>
      </c>
      <c r="K54" s="299">
        <v>42774</v>
      </c>
      <c r="L54" s="310">
        <v>720</v>
      </c>
      <c r="M54" s="202">
        <f>IF(K54="cnr","CNR",IF(K54="CBU", "CBU",IF(K54="Code Out","Code Out",K54+L54)))</f>
        <v>43494</v>
      </c>
      <c r="N54" s="203">
        <f>M54</f>
        <v>43494</v>
      </c>
      <c r="O54" s="205" t="str">
        <f ca="1">IF(AJ54=1,"",IF(AH54&lt;1,"DEL",""))</f>
        <v/>
      </c>
      <c r="P54" s="317"/>
      <c r="Q54" s="387"/>
      <c r="R54" s="387"/>
      <c r="S54" s="387" t="s">
        <v>398</v>
      </c>
      <c r="T54" s="387"/>
      <c r="U54" s="388" t="s">
        <v>1524</v>
      </c>
      <c r="V54" s="320" t="s">
        <v>1522</v>
      </c>
      <c r="W54" s="172"/>
      <c r="X54" s="137"/>
      <c r="Y54" s="191">
        <f>IF(AF54,MONTH(M54),"")</f>
        <v>1</v>
      </c>
      <c r="Z54" s="192">
        <f>IF(AF54,YEAR(M54),"")</f>
        <v>2019</v>
      </c>
      <c r="AA54" s="191">
        <f>IF(AF54,MONTH(N54),"")</f>
        <v>1</v>
      </c>
      <c r="AB54" s="191">
        <f>IF(AF54,YEAR(N54),"")</f>
        <v>2019</v>
      </c>
      <c r="AC54" s="193" t="str">
        <f>CONCATENATE(Y54,Z54)</f>
        <v>12019</v>
      </c>
      <c r="AD54" s="194" t="str">
        <f>CONCATENATE(AA54,AB54)</f>
        <v>12019</v>
      </c>
      <c r="AE54" s="195">
        <f>IF(M54="CBU","",IF(M54="CNR","",IF(K54="Code Out","",MIN(M54,N54))))</f>
        <v>43494</v>
      </c>
      <c r="AF54" s="196" t="b">
        <f>--(ISNUMBER(SEARCH("lab",P54)))
=--(ISNUMBER(SEARCH("fred",A46)))</f>
        <v>1</v>
      </c>
      <c r="AG54" s="199" t="b">
        <f>IF(AE54&lt;$J$4,TRUE,FALSE)</f>
        <v>0</v>
      </c>
      <c r="AH54" s="192">
        <f ca="1">IF(K54="CBU","",IF(K54="CNR","",IF(K54="Code Out","",SUM(M54-$U$1))))</f>
        <v>214.56816122685268</v>
      </c>
      <c r="AI54" s="192">
        <f ca="1">COUNTIF(O54,"Del")</f>
        <v>0</v>
      </c>
      <c r="AJ54" s="192">
        <f>COUNTIF(P54,"*at lab*")</f>
        <v>0</v>
      </c>
      <c r="AK54" s="200">
        <f ca="1">SUM(AI54:AJ54)</f>
        <v>0</v>
      </c>
    </row>
    <row r="55" spans="1:37" s="75" customFormat="1" ht="25.5" x14ac:dyDescent="0.2">
      <c r="A55" s="207" t="s">
        <v>1077</v>
      </c>
      <c r="B55" s="315"/>
      <c r="C55" s="309"/>
      <c r="D55" s="309" t="s">
        <v>855</v>
      </c>
      <c r="E55" s="309"/>
      <c r="F55" s="309" t="s">
        <v>1078</v>
      </c>
      <c r="G55" s="309"/>
      <c r="H55" s="309"/>
      <c r="I55" s="311" t="s">
        <v>1065</v>
      </c>
      <c r="J55" s="312">
        <v>5210008265368</v>
      </c>
      <c r="K55" s="299">
        <v>43033</v>
      </c>
      <c r="L55" s="310">
        <v>1080</v>
      </c>
      <c r="M55" s="202">
        <f>IF(K55="cnr","CNR",IF(K55="CBU", "CBU",IF(K55="Code Out","Code Out",K55+L55)))</f>
        <v>44113</v>
      </c>
      <c r="N55" s="203">
        <f>M55</f>
        <v>44113</v>
      </c>
      <c r="O55" s="206" t="str">
        <f ca="1">IF(AJ55=1,"",IF(AH55&lt;1,"DEL",""))</f>
        <v/>
      </c>
      <c r="P55" s="317"/>
      <c r="Q55" s="313"/>
      <c r="R55" s="313"/>
      <c r="S55" s="313" t="s">
        <v>398</v>
      </c>
      <c r="T55" s="313"/>
      <c r="U55" s="318" t="s">
        <v>1508</v>
      </c>
      <c r="V55" s="320" t="s">
        <v>1066</v>
      </c>
      <c r="W55" s="172"/>
      <c r="X55" s="137"/>
      <c r="Y55" s="191">
        <f>IF(AF55,MONTH(M55),"")</f>
        <v>10</v>
      </c>
      <c r="Z55" s="192">
        <f>IF(AF55,YEAR(M55),"")</f>
        <v>2020</v>
      </c>
      <c r="AA55" s="191">
        <f>IF(AF55,MONTH(N55),"")</f>
        <v>10</v>
      </c>
      <c r="AB55" s="191">
        <f>IF(AF55,YEAR(N55),"")</f>
        <v>2020</v>
      </c>
      <c r="AC55" s="193" t="str">
        <f>CONCATENATE(Y55,Z55)</f>
        <v>102020</v>
      </c>
      <c r="AD55" s="194" t="str">
        <f>CONCATENATE(AA55,AB55)</f>
        <v>102020</v>
      </c>
      <c r="AE55" s="195">
        <f>IF(M55="CBU","",IF(M55="CNR","",IF(K55="Code Out","",MIN(M55,N55))))</f>
        <v>44113</v>
      </c>
      <c r="AF55" s="196" t="b">
        <f>--(ISNUMBER(SEARCH("lab",P55)))
=--(ISNUMBER(SEARCH("fred",A47)))</f>
        <v>1</v>
      </c>
      <c r="AG55" s="199" t="b">
        <f>IF(AE55&lt;$J$4,TRUE,FALSE)</f>
        <v>0</v>
      </c>
      <c r="AH55" s="192">
        <f ca="1">IF(K55="CBU","",IF(K55="CNR","",IF(K55="Code Out","",SUM(M55-$U$1))))</f>
        <v>833.56816122685268</v>
      </c>
      <c r="AI55" s="192">
        <f ca="1">COUNTIF(O55,"Del")</f>
        <v>0</v>
      </c>
      <c r="AJ55" s="192">
        <f>COUNTIF(P55,"*at lab*")</f>
        <v>0</v>
      </c>
      <c r="AK55" s="200">
        <f ca="1">SUM(AI55:AJ55)</f>
        <v>0</v>
      </c>
    </row>
    <row r="56" spans="1:37" s="75" customFormat="1" ht="28.5" x14ac:dyDescent="0.2">
      <c r="A56" s="207" t="s">
        <v>1064</v>
      </c>
      <c r="B56" s="315" t="s">
        <v>845</v>
      </c>
      <c r="C56" s="309"/>
      <c r="D56" s="311">
        <v>9</v>
      </c>
      <c r="E56" s="311"/>
      <c r="F56" s="309" t="s">
        <v>965</v>
      </c>
      <c r="G56" s="309"/>
      <c r="H56" s="309" t="s">
        <v>977</v>
      </c>
      <c r="I56" s="309" t="s">
        <v>557</v>
      </c>
      <c r="J56" s="312">
        <v>5120013390367</v>
      </c>
      <c r="K56" s="299">
        <v>43070</v>
      </c>
      <c r="L56" s="310">
        <v>180</v>
      </c>
      <c r="M56" s="202">
        <f>IF(K56="cnr","CNR",IF(K56="CBU", "CBU",IF(K56="Code Out","Code Out",K56+L56)))</f>
        <v>43250</v>
      </c>
      <c r="N56" s="203">
        <f>M56</f>
        <v>43250</v>
      </c>
      <c r="O56" s="206" t="str">
        <f ca="1">IF(AJ56=1,"",IF(AH56&lt;1,"DEL",""))</f>
        <v>DEL</v>
      </c>
      <c r="P56" s="299" t="s">
        <v>851</v>
      </c>
      <c r="Q56" s="313"/>
      <c r="R56" s="313"/>
      <c r="S56" s="313" t="s">
        <v>398</v>
      </c>
      <c r="T56" s="313"/>
      <c r="U56" s="298" t="s">
        <v>1555</v>
      </c>
      <c r="V56" s="320" t="s">
        <v>892</v>
      </c>
      <c r="W56" s="172"/>
      <c r="X56" s="137"/>
      <c r="Y56" s="191">
        <f>IF(AF56,MONTH(M56),"")</f>
        <v>5</v>
      </c>
      <c r="Z56" s="192">
        <f>IF(AF56,YEAR(M56),"")</f>
        <v>2018</v>
      </c>
      <c r="AA56" s="191">
        <f>IF(AF56,MONTH(N56),"")</f>
        <v>5</v>
      </c>
      <c r="AB56" s="191">
        <f>IF(AF56,YEAR(N56),"")</f>
        <v>2018</v>
      </c>
      <c r="AC56" s="193" t="str">
        <f>CONCATENATE(Y56,Z56)</f>
        <v>52018</v>
      </c>
      <c r="AD56" s="194" t="str">
        <f>CONCATENATE(AA56,AB56)</f>
        <v>52018</v>
      </c>
      <c r="AE56" s="195">
        <f>IF(M56="CBU","",IF(M56="CNR","",IF(K56="Code Out","",MIN(M56,N56))))</f>
        <v>43250</v>
      </c>
      <c r="AF56" s="196" t="b">
        <f>--(ISNUMBER(SEARCH("lab",P56)))
=--(ISNUMBER(SEARCH("fred",A48)))</f>
        <v>1</v>
      </c>
      <c r="AG56" s="199" t="b">
        <f>IF(AE56&lt;$J$4,TRUE,FALSE)</f>
        <v>1</v>
      </c>
      <c r="AH56" s="192">
        <f ca="1">IF(K56="CBU","",IF(K56="CNR","",IF(K56="Code Out","",SUM(M56-$U$1))))</f>
        <v>-29.431838773147319</v>
      </c>
      <c r="AI56" s="192">
        <f ca="1">COUNTIF(O56,"Del")</f>
        <v>1</v>
      </c>
      <c r="AJ56" s="192">
        <f>COUNTIF(P56,"*at lab*")</f>
        <v>0</v>
      </c>
      <c r="AK56" s="200">
        <f ca="1">SUM(AI56:AJ56)</f>
        <v>1</v>
      </c>
    </row>
    <row r="57" spans="1:37" s="82" customFormat="1" ht="25.5" x14ac:dyDescent="0.2">
      <c r="A57" s="207" t="s">
        <v>1081</v>
      </c>
      <c r="B57" s="315" t="s">
        <v>1081</v>
      </c>
      <c r="C57" s="309"/>
      <c r="D57" s="309" t="s">
        <v>973</v>
      </c>
      <c r="E57" s="309"/>
      <c r="F57" s="309" t="s">
        <v>1022</v>
      </c>
      <c r="G57" s="309"/>
      <c r="H57" s="309"/>
      <c r="I57" s="309" t="s">
        <v>1104</v>
      </c>
      <c r="J57" s="312"/>
      <c r="K57" s="299">
        <v>42795</v>
      </c>
      <c r="L57" s="310">
        <v>1080</v>
      </c>
      <c r="M57" s="202">
        <f>IF(K57="cnr","CNR",IF(K57="CBU", "CBU",IF(K57="Code Out","Code Out",K57+L57)))</f>
        <v>43875</v>
      </c>
      <c r="N57" s="202">
        <f>M57</f>
        <v>43875</v>
      </c>
      <c r="O57" s="205" t="str">
        <f ca="1">IF(AJ57=1,"",IF(AH57&lt;1,"DEL",""))</f>
        <v/>
      </c>
      <c r="P57" s="317"/>
      <c r="Q57" s="313"/>
      <c r="R57" s="313"/>
      <c r="S57" s="313" t="s">
        <v>398</v>
      </c>
      <c r="T57" s="313"/>
      <c r="U57" s="318" t="s">
        <v>1464</v>
      </c>
      <c r="V57" s="320" t="s">
        <v>1103</v>
      </c>
      <c r="W57" s="172"/>
      <c r="X57" s="137"/>
      <c r="Y57" s="191">
        <f>IF(AF57,MONTH(M57),"")</f>
        <v>2</v>
      </c>
      <c r="Z57" s="192">
        <f>IF(AF57,YEAR(M57),"")</f>
        <v>2020</v>
      </c>
      <c r="AA57" s="191">
        <f>IF(AF57,MONTH(N57),"")</f>
        <v>2</v>
      </c>
      <c r="AB57" s="191">
        <f>IF(AF57,YEAR(N57),"")</f>
        <v>2020</v>
      </c>
      <c r="AC57" s="193" t="str">
        <f>CONCATENATE(Y57,Z57)</f>
        <v>22020</v>
      </c>
      <c r="AD57" s="194" t="str">
        <f>CONCATENATE(AA57,AB57)</f>
        <v>22020</v>
      </c>
      <c r="AE57" s="195">
        <f>IF(M57="CBU","",IF(M57="CNR","",IF(K57="Code Out","",MIN(M57,N57))))</f>
        <v>43875</v>
      </c>
      <c r="AF57" s="196" t="b">
        <f>--(ISNUMBER(SEARCH("lab",P57)))
=--(ISNUMBER(SEARCH("fred",A49)))</f>
        <v>1</v>
      </c>
      <c r="AG57" s="199" t="b">
        <f>IF(AE57&lt;$J$4,TRUE,FALSE)</f>
        <v>0</v>
      </c>
      <c r="AH57" s="192">
        <f ca="1">IF(K57="CBU","",IF(K57="CNR","",IF(K57="Code Out","",SUM(M57-$U$1))))</f>
        <v>595.56816122685268</v>
      </c>
      <c r="AI57" s="192">
        <f ca="1">COUNTIF(O57,"Del")</f>
        <v>0</v>
      </c>
      <c r="AJ57" s="192">
        <f>COUNTIF(P57,"*at lab*")</f>
        <v>0</v>
      </c>
      <c r="AK57" s="200">
        <f ca="1">SUM(AI57:AJ57)</f>
        <v>0</v>
      </c>
    </row>
    <row r="58" spans="1:37" s="82" customFormat="1" ht="25.5" x14ac:dyDescent="0.2">
      <c r="A58" s="207" t="s">
        <v>1080</v>
      </c>
      <c r="B58" s="315" t="s">
        <v>1080</v>
      </c>
      <c r="C58" s="309"/>
      <c r="D58" s="309" t="s">
        <v>973</v>
      </c>
      <c r="E58" s="309"/>
      <c r="F58" s="309" t="s">
        <v>1022</v>
      </c>
      <c r="G58" s="309"/>
      <c r="H58" s="309" t="s">
        <v>973</v>
      </c>
      <c r="I58" s="309" t="s">
        <v>1104</v>
      </c>
      <c r="J58" s="312"/>
      <c r="K58" s="299">
        <v>42795</v>
      </c>
      <c r="L58" s="310">
        <v>1080</v>
      </c>
      <c r="M58" s="202">
        <f>IF(K58="cnr","CNR",IF(K58="CBU", "CBU",IF(K58="Code Out","Code Out",K58+L58)))</f>
        <v>43875</v>
      </c>
      <c r="N58" s="299">
        <v>43739</v>
      </c>
      <c r="O58" s="205" t="str">
        <f ca="1">IF(AJ58=1,"",IF(AH58&lt;1,"DEL",""))</f>
        <v/>
      </c>
      <c r="P58" s="317"/>
      <c r="Q58" s="313"/>
      <c r="R58" s="313"/>
      <c r="S58" s="313" t="s">
        <v>398</v>
      </c>
      <c r="T58" s="313"/>
      <c r="U58" s="318" t="s">
        <v>1500</v>
      </c>
      <c r="V58" s="320" t="s">
        <v>1103</v>
      </c>
      <c r="W58" s="171"/>
      <c r="X58" s="140"/>
      <c r="Y58" s="197">
        <f>IF(AF58,MONTH(M58),"")</f>
        <v>2</v>
      </c>
      <c r="Z58" s="198">
        <f>IF(AF58,YEAR(M58),"")</f>
        <v>2020</v>
      </c>
      <c r="AA58" s="191">
        <f>IF(AF58,MONTH(N58),"")</f>
        <v>10</v>
      </c>
      <c r="AB58" s="191">
        <f>IF(AF58,YEAR(N58),"")</f>
        <v>2019</v>
      </c>
      <c r="AC58" s="193" t="str">
        <f>CONCATENATE(Y58,Z58)</f>
        <v>22020</v>
      </c>
      <c r="AD58" s="194" t="str">
        <f>CONCATENATE(AA58,AB58)</f>
        <v>102019</v>
      </c>
      <c r="AE58" s="195">
        <f>IF(M58="CBU","",IF(M58="CNR","",IF(K58="Code Out","",MIN(M58,N58))))</f>
        <v>43739</v>
      </c>
      <c r="AF58" s="196" t="b">
        <f>--(ISNUMBER(SEARCH("lab",P58)))
=--(ISNUMBER(SEARCH("fred",A50)))</f>
        <v>1</v>
      </c>
      <c r="AG58" s="199" t="b">
        <f>IF(AE58&lt;$J$4,TRUE,FALSE)</f>
        <v>0</v>
      </c>
      <c r="AH58" s="192">
        <f ca="1">IF(K58="CBU","",IF(K58="CNR","",IF(K58="Code Out","",SUM(M58-$U$1))))</f>
        <v>595.56816122685268</v>
      </c>
      <c r="AI58" s="192">
        <f ca="1">COUNTIF(O58,"Del")</f>
        <v>0</v>
      </c>
      <c r="AJ58" s="192">
        <f>COUNTIF(P58,"*at lab*")</f>
        <v>0</v>
      </c>
      <c r="AK58" s="200">
        <f ca="1">SUM(AI58:AJ58)</f>
        <v>0</v>
      </c>
    </row>
    <row r="59" spans="1:37" s="75" customFormat="1" ht="28.5" x14ac:dyDescent="0.2">
      <c r="A59" s="207" t="s">
        <v>1049</v>
      </c>
      <c r="B59" s="315" t="s">
        <v>929</v>
      </c>
      <c r="C59" s="309"/>
      <c r="D59" s="309" t="s">
        <v>1346</v>
      </c>
      <c r="E59" s="309"/>
      <c r="F59" s="309" t="s">
        <v>818</v>
      </c>
      <c r="G59" s="309"/>
      <c r="H59" s="309" t="s">
        <v>979</v>
      </c>
      <c r="I59" s="309" t="s">
        <v>819</v>
      </c>
      <c r="J59" s="309" t="s">
        <v>927</v>
      </c>
      <c r="K59" s="299">
        <v>42512</v>
      </c>
      <c r="L59" s="310">
        <v>720</v>
      </c>
      <c r="M59" s="202">
        <f>IF(K59="cnr","CNR",IF(K59="CBU", "CBU",IF(K59="Code Out","Code Out",K59+L59)))</f>
        <v>43232</v>
      </c>
      <c r="N59" s="203">
        <f>M59</f>
        <v>43232</v>
      </c>
      <c r="O59" s="206" t="str">
        <f ca="1">IF(AJ59=1,"",IF(AH59&lt;1,"DEL",""))</f>
        <v>DEL</v>
      </c>
      <c r="P59" s="299"/>
      <c r="Q59" s="313"/>
      <c r="R59" s="313"/>
      <c r="S59" s="313" t="s">
        <v>1557</v>
      </c>
      <c r="T59" s="313"/>
      <c r="U59" s="318" t="s">
        <v>1556</v>
      </c>
      <c r="V59" s="320" t="s">
        <v>373</v>
      </c>
      <c r="W59" s="172"/>
      <c r="X59" s="137"/>
      <c r="Y59" s="191">
        <f>IF(AF59,MONTH(M59),"")</f>
        <v>5</v>
      </c>
      <c r="Z59" s="192">
        <f>IF(AF59,YEAR(M59),"")</f>
        <v>2018</v>
      </c>
      <c r="AA59" s="191">
        <f>IF(AF59,MONTH(N59),"")</f>
        <v>5</v>
      </c>
      <c r="AB59" s="191">
        <f>IF(AF59,YEAR(N59),"")</f>
        <v>2018</v>
      </c>
      <c r="AC59" s="193" t="str">
        <f>CONCATENATE(Y59,Z59)</f>
        <v>52018</v>
      </c>
      <c r="AD59" s="194" t="str">
        <f>CONCATENATE(AA59,AB59)</f>
        <v>52018</v>
      </c>
      <c r="AE59" s="195">
        <f>IF(M59="CBU","",IF(M59="CNR","",IF(K59="Code Out","",MIN(M59,N59))))</f>
        <v>43232</v>
      </c>
      <c r="AF59" s="196" t="b">
        <f>--(ISNUMBER(SEARCH("lab",P59)))
=--(ISNUMBER(SEARCH("fred",A51)))</f>
        <v>1</v>
      </c>
      <c r="AG59" s="199" t="b">
        <f>IF(AE59&lt;$J$4,TRUE,FALSE)</f>
        <v>1</v>
      </c>
      <c r="AH59" s="192">
        <f ca="1">IF(K59="CBU","",IF(K59="CNR","",IF(K59="Code Out","",SUM(M59-$U$1))))</f>
        <v>-47.431838773147319</v>
      </c>
      <c r="AI59" s="192">
        <f ca="1">COUNTIF(O59,"Del")</f>
        <v>1</v>
      </c>
      <c r="AJ59" s="192">
        <f>COUNTIF(P59,"*at lab*")</f>
        <v>0</v>
      </c>
      <c r="AK59" s="200">
        <f ca="1">SUM(AI59:AJ59)</f>
        <v>1</v>
      </c>
    </row>
    <row r="60" spans="1:37" s="75" customFormat="1" ht="28.5" x14ac:dyDescent="0.2">
      <c r="A60" s="207" t="s">
        <v>1045</v>
      </c>
      <c r="B60" s="315" t="s">
        <v>935</v>
      </c>
      <c r="C60" s="309"/>
      <c r="D60" s="309" t="s">
        <v>1346</v>
      </c>
      <c r="E60" s="309"/>
      <c r="F60" s="309" t="s">
        <v>818</v>
      </c>
      <c r="G60" s="309"/>
      <c r="H60" s="309" t="s">
        <v>979</v>
      </c>
      <c r="I60" s="309" t="s">
        <v>819</v>
      </c>
      <c r="J60" s="309" t="s">
        <v>927</v>
      </c>
      <c r="K60" s="299">
        <v>42512</v>
      </c>
      <c r="L60" s="310">
        <v>720</v>
      </c>
      <c r="M60" s="202">
        <f>IF(K60="cnr","CNR",IF(K60="CBU", "CBU",IF(K60="Code Out","Code Out",K60+L60)))</f>
        <v>43232</v>
      </c>
      <c r="N60" s="203">
        <f>M60</f>
        <v>43232</v>
      </c>
      <c r="O60" s="206" t="str">
        <f ca="1">IF(AJ60=1,"",IF(AH60&lt;1,"DEL",""))</f>
        <v>DEL</v>
      </c>
      <c r="P60" s="299"/>
      <c r="Q60" s="313"/>
      <c r="R60" s="313"/>
      <c r="S60" s="313" t="s">
        <v>1557</v>
      </c>
      <c r="T60" s="313"/>
      <c r="U60" s="318" t="s">
        <v>1556</v>
      </c>
      <c r="V60" s="320" t="s">
        <v>373</v>
      </c>
      <c r="W60" s="305"/>
      <c r="X60" s="304"/>
      <c r="Y60" s="197">
        <f>IF(AF60,MONTH(M60),"")</f>
        <v>5</v>
      </c>
      <c r="Z60" s="198">
        <f>IF(AF60,YEAR(M60),"")</f>
        <v>2018</v>
      </c>
      <c r="AA60" s="191">
        <f>IF(AF60,MONTH(N60),"")</f>
        <v>5</v>
      </c>
      <c r="AB60" s="191">
        <f>IF(AF60,YEAR(N60),"")</f>
        <v>2018</v>
      </c>
      <c r="AC60" s="193" t="str">
        <f>CONCATENATE(Y60,Z60)</f>
        <v>52018</v>
      </c>
      <c r="AD60" s="194" t="str">
        <f>CONCATENATE(AA60,AB60)</f>
        <v>52018</v>
      </c>
      <c r="AE60" s="195">
        <f>IF(M60="CBU","",IF(M60="CNR","",IF(K60="Code Out","",MIN(M60,N60))))</f>
        <v>43232</v>
      </c>
      <c r="AF60" s="196" t="b">
        <f>--(ISNUMBER(SEARCH("lab",P60)))
=--(ISNUMBER(SEARCH("fred",A52)))</f>
        <v>1</v>
      </c>
      <c r="AG60" s="199" t="b">
        <f>IF(AE60&lt;$J$4,TRUE,FALSE)</f>
        <v>1</v>
      </c>
      <c r="AH60" s="192">
        <f ca="1">IF(K60="CBU","",IF(K60="CNR","",IF(K60="Code Out","",SUM(M60-$U$1))))</f>
        <v>-47.431838773147319</v>
      </c>
      <c r="AI60" s="192">
        <f ca="1">COUNTIF(O60,"Del")</f>
        <v>1</v>
      </c>
      <c r="AJ60" s="192">
        <f>COUNTIF(P60,"*at lab*")</f>
        <v>0</v>
      </c>
      <c r="AK60" s="200">
        <f ca="1">SUM(AI60:AJ60)</f>
        <v>1</v>
      </c>
    </row>
    <row r="61" spans="1:37" s="75" customFormat="1" ht="25.5" x14ac:dyDescent="0.2">
      <c r="A61" s="207" t="s">
        <v>1044</v>
      </c>
      <c r="B61" s="315" t="s">
        <v>928</v>
      </c>
      <c r="C61" s="309"/>
      <c r="D61" s="309" t="s">
        <v>1346</v>
      </c>
      <c r="E61" s="309"/>
      <c r="F61" s="309" t="s">
        <v>818</v>
      </c>
      <c r="G61" s="309"/>
      <c r="H61" s="309" t="s">
        <v>979</v>
      </c>
      <c r="I61" s="309" t="s">
        <v>819</v>
      </c>
      <c r="J61" s="309" t="s">
        <v>927</v>
      </c>
      <c r="K61" s="299">
        <v>42522</v>
      </c>
      <c r="L61" s="310">
        <v>720</v>
      </c>
      <c r="M61" s="202">
        <f>IF(K61="cnr","CNR",IF(K61="CBU", "CBU",IF(K61="Code Out","Code Out",K61+L61)))</f>
        <v>43242</v>
      </c>
      <c r="N61" s="203">
        <f>M61</f>
        <v>43242</v>
      </c>
      <c r="O61" s="206" t="str">
        <f>IF(AJ61=1,"",IF(AH61&lt;1,"DEL",""))</f>
        <v/>
      </c>
      <c r="P61" s="299" t="s">
        <v>1551</v>
      </c>
      <c r="Q61" s="313"/>
      <c r="R61" s="313" t="s">
        <v>398</v>
      </c>
      <c r="S61" s="313"/>
      <c r="T61" s="313"/>
      <c r="U61" s="318" t="s">
        <v>1411</v>
      </c>
      <c r="V61" s="320" t="s">
        <v>373</v>
      </c>
      <c r="W61" s="172"/>
      <c r="X61" s="137"/>
      <c r="Y61" s="191" t="str">
        <f>IF(AF61,MONTH(M61),"")</f>
        <v/>
      </c>
      <c r="Z61" s="192" t="str">
        <f>IF(AF61,YEAR(M61),"")</f>
        <v/>
      </c>
      <c r="AA61" s="191" t="str">
        <f>IF(AF61,MONTH(N61),"")</f>
        <v/>
      </c>
      <c r="AB61" s="191" t="str">
        <f>IF(AF61,YEAR(N61),"")</f>
        <v/>
      </c>
      <c r="AC61" s="193" t="str">
        <f>CONCATENATE(Y61,Z61)</f>
        <v/>
      </c>
      <c r="AD61" s="194" t="str">
        <f>CONCATENATE(AA61,AB61)</f>
        <v/>
      </c>
      <c r="AE61" s="195">
        <f>IF(M61="CBU","",IF(M61="CNR","",IF(K61="Code Out","",MIN(M61,N61))))</f>
        <v>43242</v>
      </c>
      <c r="AF61" s="196" t="b">
        <f>--(ISNUMBER(SEARCH("lab",P61)))
=--(ISNUMBER(SEARCH("fred",A53)))</f>
        <v>0</v>
      </c>
      <c r="AG61" s="199" t="b">
        <f>IF(AE61&lt;$J$4,TRUE,FALSE)</f>
        <v>1</v>
      </c>
      <c r="AH61" s="192">
        <f ca="1">IF(K61="CBU","",IF(K61="CNR","",IF(K61="Code Out","",SUM(M61-$U$1))))</f>
        <v>-37.431838773147319</v>
      </c>
      <c r="AI61" s="192">
        <f>COUNTIF(O61,"Del")</f>
        <v>0</v>
      </c>
      <c r="AJ61" s="192">
        <f>COUNTIF(P61,"*at lab*")</f>
        <v>1</v>
      </c>
      <c r="AK61" s="200">
        <f>SUM(AI61:AJ61)</f>
        <v>1</v>
      </c>
    </row>
    <row r="62" spans="1:37" s="75" customFormat="1" ht="25.5" x14ac:dyDescent="0.2">
      <c r="A62" s="207" t="s">
        <v>1038</v>
      </c>
      <c r="B62" s="315">
        <v>13088988</v>
      </c>
      <c r="C62" s="309"/>
      <c r="D62" s="309" t="s">
        <v>974</v>
      </c>
      <c r="E62" s="309"/>
      <c r="F62" s="309" t="s">
        <v>960</v>
      </c>
      <c r="G62" s="309"/>
      <c r="H62" s="309"/>
      <c r="I62" s="309" t="s">
        <v>5</v>
      </c>
      <c r="J62" s="312"/>
      <c r="K62" s="299">
        <v>43175</v>
      </c>
      <c r="L62" s="310">
        <v>180</v>
      </c>
      <c r="M62" s="202">
        <f>IF(K62="cnr","CNR",IF(K62="CBU", "CBU",IF(K62="Code Out","Code Out",K62+L62)))</f>
        <v>43355</v>
      </c>
      <c r="N62" s="203">
        <f>M62</f>
        <v>43355</v>
      </c>
      <c r="O62" s="206" t="str">
        <f ca="1">IF(AJ62=1,"",IF(AH62&lt;1,"DEL",""))</f>
        <v/>
      </c>
      <c r="P62" s="299"/>
      <c r="Q62" s="313"/>
      <c r="R62" s="313"/>
      <c r="S62" s="313" t="s">
        <v>398</v>
      </c>
      <c r="T62" s="313"/>
      <c r="U62" s="298" t="s">
        <v>1533</v>
      </c>
      <c r="V62" s="320" t="s">
        <v>1030</v>
      </c>
      <c r="W62" s="171"/>
      <c r="X62" s="140"/>
      <c r="Y62" s="197">
        <f>IF(AF62,MONTH(M62),"")</f>
        <v>9</v>
      </c>
      <c r="Z62" s="198">
        <f>IF(AF62,YEAR(M62),"")</f>
        <v>2018</v>
      </c>
      <c r="AA62" s="191">
        <f>IF(AF62,MONTH(N62),"")</f>
        <v>9</v>
      </c>
      <c r="AB62" s="191">
        <f>IF(AF62,YEAR(N62),"")</f>
        <v>2018</v>
      </c>
      <c r="AC62" s="193" t="str">
        <f>CONCATENATE(Y62,Z62)</f>
        <v>92018</v>
      </c>
      <c r="AD62" s="194" t="str">
        <f>CONCATENATE(AA62,AB62)</f>
        <v>92018</v>
      </c>
      <c r="AE62" s="195">
        <f>IF(M62="CBU","",IF(M62="CNR","",IF(K62="Code Out","",MIN(M62,N62))))</f>
        <v>43355</v>
      </c>
      <c r="AF62" s="196" t="b">
        <f>--(ISNUMBER(SEARCH("lab",P62)))
=--(ISNUMBER(SEARCH("fred",A54)))</f>
        <v>1</v>
      </c>
      <c r="AG62" s="199" t="b">
        <f>IF(AE62&lt;$J$4,TRUE,FALSE)</f>
        <v>0</v>
      </c>
      <c r="AH62" s="192">
        <f ca="1">IF(K62="CBU","",IF(K62="CNR","",IF(K62="Code Out","",SUM(M62-$U$1))))</f>
        <v>75.568161226852681</v>
      </c>
      <c r="AI62" s="192">
        <f ca="1">COUNTIF(O62,"Del")</f>
        <v>0</v>
      </c>
      <c r="AJ62" s="192">
        <f>COUNTIF(P62,"*at lab*")</f>
        <v>0</v>
      </c>
      <c r="AK62" s="200">
        <f ca="1">SUM(AI62:AJ62)</f>
        <v>0</v>
      </c>
    </row>
    <row r="63" spans="1:37" s="75" customFormat="1" ht="25.5" x14ac:dyDescent="0.2">
      <c r="A63" s="207" t="s">
        <v>1037</v>
      </c>
      <c r="B63" s="315">
        <v>713604356</v>
      </c>
      <c r="C63" s="309"/>
      <c r="D63" s="309" t="s">
        <v>870</v>
      </c>
      <c r="E63" s="309"/>
      <c r="F63" s="309" t="s">
        <v>168</v>
      </c>
      <c r="G63" s="309"/>
      <c r="H63" s="309"/>
      <c r="I63" s="309" t="s">
        <v>5</v>
      </c>
      <c r="J63" s="312"/>
      <c r="K63" s="299">
        <v>43070</v>
      </c>
      <c r="L63" s="310">
        <v>180</v>
      </c>
      <c r="M63" s="202">
        <f>IF(K63="cnr","CNR",IF(K63="CBU", "CBU",IF(K63="Code Out","Code Out",K63+L63)))</f>
        <v>43250</v>
      </c>
      <c r="N63" s="203">
        <f>M63</f>
        <v>43250</v>
      </c>
      <c r="O63" s="206" t="str">
        <f>IF(AJ63=1,"",IF(AH63&lt;1,"DEL",""))</f>
        <v/>
      </c>
      <c r="P63" s="299" t="s">
        <v>1551</v>
      </c>
      <c r="Q63" s="313"/>
      <c r="R63" s="313" t="s">
        <v>398</v>
      </c>
      <c r="S63" s="313"/>
      <c r="T63" s="313"/>
      <c r="U63" s="318" t="s">
        <v>1512</v>
      </c>
      <c r="V63" s="320" t="s">
        <v>1032</v>
      </c>
      <c r="W63" s="171"/>
      <c r="X63" s="140"/>
      <c r="Y63" s="197" t="str">
        <f>IF(AF63,MONTH(M63),"")</f>
        <v/>
      </c>
      <c r="Z63" s="198" t="str">
        <f>IF(AF63,YEAR(M63),"")</f>
        <v/>
      </c>
      <c r="AA63" s="191" t="str">
        <f>IF(AF63,MONTH(N63),"")</f>
        <v/>
      </c>
      <c r="AB63" s="191" t="str">
        <f>IF(AF63,YEAR(N63),"")</f>
        <v/>
      </c>
      <c r="AC63" s="193" t="str">
        <f>CONCATENATE(Y63,Z63)</f>
        <v/>
      </c>
      <c r="AD63" s="194" t="str">
        <f>CONCATENATE(AA63,AB63)</f>
        <v/>
      </c>
      <c r="AE63" s="195">
        <f>IF(M63="CBU","",IF(M63="CNR","",IF(K63="Code Out","",MIN(M63,N63))))</f>
        <v>43250</v>
      </c>
      <c r="AF63" s="196" t="b">
        <f>--(ISNUMBER(SEARCH("lab",P63)))
=--(ISNUMBER(SEARCH("fred",A55)))</f>
        <v>0</v>
      </c>
      <c r="AG63" s="199" t="b">
        <f>IF(AE63&lt;$J$4,TRUE,FALSE)</f>
        <v>1</v>
      </c>
      <c r="AH63" s="192">
        <f ca="1">IF(K63="CBU","",IF(K63="CNR","",IF(K63="Code Out","",SUM(M63-$U$1))))</f>
        <v>-29.431838773147319</v>
      </c>
      <c r="AI63" s="192">
        <f>COUNTIF(O63,"Del")</f>
        <v>0</v>
      </c>
      <c r="AJ63" s="192">
        <f>COUNTIF(P63,"*at lab*")</f>
        <v>1</v>
      </c>
      <c r="AK63" s="200">
        <f>SUM(AI63:AJ63)</f>
        <v>1</v>
      </c>
    </row>
    <row r="64" spans="1:37" s="75" customFormat="1" ht="25.5" x14ac:dyDescent="0.2">
      <c r="A64" s="207" t="s">
        <v>1036</v>
      </c>
      <c r="B64" s="315">
        <v>713604400</v>
      </c>
      <c r="C64" s="310"/>
      <c r="D64" s="311">
        <v>2</v>
      </c>
      <c r="E64" s="311"/>
      <c r="F64" s="309" t="s">
        <v>168</v>
      </c>
      <c r="G64" s="309"/>
      <c r="H64" s="309"/>
      <c r="I64" s="311" t="s">
        <v>5</v>
      </c>
      <c r="J64" s="316" t="s">
        <v>860</v>
      </c>
      <c r="K64" s="299">
        <v>43175</v>
      </c>
      <c r="L64" s="316">
        <v>180</v>
      </c>
      <c r="M64" s="202">
        <f>IF(K64="cnr","CNR",IF(K64="CBU", "CBU",IF(K64="Code Out","Code Out",K64+L64)))</f>
        <v>43355</v>
      </c>
      <c r="N64" s="203">
        <f>M64</f>
        <v>43355</v>
      </c>
      <c r="O64" s="205" t="str">
        <f ca="1">IF(AJ64=1,"",IF(AH64&lt;1,"DEL",""))</f>
        <v/>
      </c>
      <c r="P64" s="299"/>
      <c r="Q64" s="313"/>
      <c r="R64" s="313"/>
      <c r="S64" s="313" t="s">
        <v>398</v>
      </c>
      <c r="T64" s="313"/>
      <c r="U64" s="298" t="s">
        <v>1533</v>
      </c>
      <c r="V64" s="314" t="s">
        <v>373</v>
      </c>
      <c r="W64" s="178"/>
      <c r="X64" s="179"/>
      <c r="Y64" s="191">
        <f>IF(AF64,MONTH(M64),"")</f>
        <v>9</v>
      </c>
      <c r="Z64" s="192">
        <f>IF(AF64,YEAR(M64),"")</f>
        <v>2018</v>
      </c>
      <c r="AA64" s="191">
        <f>IF(AF64,MONTH(N64),"")</f>
        <v>9</v>
      </c>
      <c r="AB64" s="191">
        <f>IF(AF64,YEAR(N64),"")</f>
        <v>2018</v>
      </c>
      <c r="AC64" s="193" t="str">
        <f>CONCATENATE(Y64,Z64)</f>
        <v>92018</v>
      </c>
      <c r="AD64" s="194" t="str">
        <f>CONCATENATE(AA64,AB64)</f>
        <v>92018</v>
      </c>
      <c r="AE64" s="195">
        <f>IF(M64="CBU","",IF(M64="CNR","",IF(K64="Code Out","",MIN(M64,N64))))</f>
        <v>43355</v>
      </c>
      <c r="AF64" s="196" t="b">
        <f>--(ISNUMBER(SEARCH("lab",P64)))
=--(ISNUMBER(SEARCH("fred",A56)))</f>
        <v>1</v>
      </c>
      <c r="AG64" s="199" t="b">
        <f>IF(AE64&lt;$J$4,TRUE,FALSE)</f>
        <v>0</v>
      </c>
      <c r="AH64" s="192">
        <f ca="1">IF(K64="CBU","",IF(K64="CNR","",IF(K64="Code Out","",SUM(M64-$U$1))))</f>
        <v>75.568161226852681</v>
      </c>
      <c r="AI64" s="192">
        <f ca="1">COUNTIF(O64,"Del")</f>
        <v>0</v>
      </c>
      <c r="AJ64" s="192">
        <f>COUNTIF(P64,"*at lab*")</f>
        <v>0</v>
      </c>
      <c r="AK64" s="200">
        <f ca="1">SUM(AI64:AJ64)</f>
        <v>0</v>
      </c>
    </row>
    <row r="65" spans="1:37" s="75" customFormat="1" ht="25.5" x14ac:dyDescent="0.2">
      <c r="A65" s="207" t="s">
        <v>1019</v>
      </c>
      <c r="B65" s="315" t="s">
        <v>763</v>
      </c>
      <c r="C65" s="309" t="s">
        <v>515</v>
      </c>
      <c r="D65" s="309" t="s">
        <v>973</v>
      </c>
      <c r="E65" s="309"/>
      <c r="F65" s="309" t="s">
        <v>282</v>
      </c>
      <c r="G65" s="309"/>
      <c r="H65" s="309" t="s">
        <v>973</v>
      </c>
      <c r="I65" s="309" t="s">
        <v>188</v>
      </c>
      <c r="J65" s="312">
        <v>6625012886515</v>
      </c>
      <c r="K65" s="299">
        <v>43139</v>
      </c>
      <c r="L65" s="310">
        <v>360</v>
      </c>
      <c r="M65" s="202">
        <f>IF(K65="cnr","CNR",IF(K65="CBU", "CBU",IF(K65="Code Out","Code Out",K65+L65)))</f>
        <v>43499</v>
      </c>
      <c r="N65" s="203">
        <f>M65</f>
        <v>43499</v>
      </c>
      <c r="O65" s="206" t="str">
        <f ca="1">IF(AJ65=1,"",IF(AH65&lt;1,"DEL",""))</f>
        <v/>
      </c>
      <c r="P65" s="299"/>
      <c r="Q65" s="313"/>
      <c r="R65" s="313"/>
      <c r="S65" s="313" t="s">
        <v>398</v>
      </c>
      <c r="T65" s="313"/>
      <c r="U65" s="318" t="s">
        <v>1526</v>
      </c>
      <c r="V65" s="320" t="s">
        <v>1516</v>
      </c>
      <c r="W65" s="171"/>
      <c r="X65" s="140"/>
      <c r="Y65" s="197">
        <f>IF(AF65,MONTH(M65),"")</f>
        <v>2</v>
      </c>
      <c r="Z65" s="198">
        <f>IF(AF65,YEAR(M65),"")</f>
        <v>2019</v>
      </c>
      <c r="AA65" s="191">
        <f>IF(AF65,MONTH(N65),"")</f>
        <v>2</v>
      </c>
      <c r="AB65" s="191">
        <f>IF(AF65,YEAR(N65),"")</f>
        <v>2019</v>
      </c>
      <c r="AC65" s="193" t="str">
        <f>CONCATENATE(Y65,Z65)</f>
        <v>22019</v>
      </c>
      <c r="AD65" s="194" t="str">
        <f>CONCATENATE(AA65,AB65)</f>
        <v>22019</v>
      </c>
      <c r="AE65" s="195">
        <f>IF(M65="CBU","",IF(M65="CNR","",IF(K65="Code Out","",MIN(M65,N65))))</f>
        <v>43499</v>
      </c>
      <c r="AF65" s="196" t="b">
        <f>--(ISNUMBER(SEARCH("lab",P65)))
=--(ISNUMBER(SEARCH("fred",A57)))</f>
        <v>1</v>
      </c>
      <c r="AG65" s="199" t="b">
        <f>IF(AE65&lt;$J$4,TRUE,FALSE)</f>
        <v>0</v>
      </c>
      <c r="AH65" s="192">
        <f ca="1">IF(K65="CBU","",IF(K65="CNR","",IF(K65="Code Out","",SUM(M65-$U$1))))</f>
        <v>219.56816122685268</v>
      </c>
      <c r="AI65" s="192">
        <f ca="1">COUNTIF(O65,"Del")</f>
        <v>0</v>
      </c>
      <c r="AJ65" s="192">
        <f>COUNTIF(P65,"*at lab*")</f>
        <v>0</v>
      </c>
      <c r="AK65" s="200">
        <f ca="1">SUM(AI65:AJ65)</f>
        <v>0</v>
      </c>
    </row>
    <row r="66" spans="1:37" s="75" customFormat="1" ht="25.5" x14ac:dyDescent="0.2">
      <c r="A66" s="207" t="s">
        <v>1004</v>
      </c>
      <c r="B66" s="315">
        <v>1009037146</v>
      </c>
      <c r="C66" s="310"/>
      <c r="D66" s="311">
        <v>9</v>
      </c>
      <c r="E66" s="311"/>
      <c r="F66" s="309" t="s">
        <v>964</v>
      </c>
      <c r="G66" s="309" t="s">
        <v>793</v>
      </c>
      <c r="H66" s="309" t="s">
        <v>977</v>
      </c>
      <c r="I66" s="311" t="s">
        <v>5</v>
      </c>
      <c r="J66" s="316">
        <v>5120013390367</v>
      </c>
      <c r="K66" s="299">
        <v>43138</v>
      </c>
      <c r="L66" s="310">
        <v>180</v>
      </c>
      <c r="M66" s="202">
        <f>IF(K66="cnr","CNR",IF(K66="CBU", "CBU",IF(K66="Code Out","Code Out",K66+L66)))</f>
        <v>43318</v>
      </c>
      <c r="N66" s="203">
        <f>M66</f>
        <v>43318</v>
      </c>
      <c r="O66" s="205" t="str">
        <f ca="1">IF(AJ66=1,"",IF(AH66&lt;1,"DEL",""))</f>
        <v/>
      </c>
      <c r="P66" s="299"/>
      <c r="Q66" s="313"/>
      <c r="R66" s="313"/>
      <c r="S66" s="313" t="s">
        <v>398</v>
      </c>
      <c r="T66" s="313"/>
      <c r="U66" s="298" t="s">
        <v>1526</v>
      </c>
      <c r="V66" s="314" t="s">
        <v>699</v>
      </c>
      <c r="W66" s="303"/>
      <c r="X66" s="302"/>
      <c r="Y66" s="197">
        <f>IF(AF66,MONTH(M66),"")</f>
        <v>8</v>
      </c>
      <c r="Z66" s="198">
        <f>IF(AF66,YEAR(M66),"")</f>
        <v>2018</v>
      </c>
      <c r="AA66" s="191">
        <f>IF(AF66,MONTH(N66),"")</f>
        <v>8</v>
      </c>
      <c r="AB66" s="191">
        <f>IF(AF66,YEAR(N66),"")</f>
        <v>2018</v>
      </c>
      <c r="AC66" s="193" t="str">
        <f>CONCATENATE(Y66,Z66)</f>
        <v>82018</v>
      </c>
      <c r="AD66" s="194" t="str">
        <f>CONCATENATE(AA66,AB66)</f>
        <v>82018</v>
      </c>
      <c r="AE66" s="195">
        <f>IF(M66="CBU","",IF(M66="CNR","",IF(K66="Code Out","",MIN(M66,N66))))</f>
        <v>43318</v>
      </c>
      <c r="AF66" s="196" t="b">
        <f>--(ISNUMBER(SEARCH("lab",P66)))
=--(ISNUMBER(SEARCH("fred",A58)))</f>
        <v>1</v>
      </c>
      <c r="AG66" s="199" t="b">
        <f>IF(AE66&lt;$J$4,TRUE,FALSE)</f>
        <v>0</v>
      </c>
      <c r="AH66" s="192">
        <f ca="1">IF(K66="CBU","",IF(K66="CNR","",IF(K66="Code Out","",SUM(M66-$U$1))))</f>
        <v>38.568161226852681</v>
      </c>
      <c r="AI66" s="192">
        <f ca="1">COUNTIF(O66,"Del")</f>
        <v>0</v>
      </c>
      <c r="AJ66" s="192">
        <f>COUNTIF(P66,"*at lab*")</f>
        <v>0</v>
      </c>
      <c r="AK66" s="200">
        <f ca="1">SUM(AI66:AJ66)</f>
        <v>0</v>
      </c>
    </row>
    <row r="67" spans="1:37" s="75" customFormat="1" ht="25.5" x14ac:dyDescent="0.2">
      <c r="A67" s="207" t="s">
        <v>988</v>
      </c>
      <c r="B67" s="315" t="s">
        <v>988</v>
      </c>
      <c r="C67" s="309"/>
      <c r="D67" s="309" t="s">
        <v>984</v>
      </c>
      <c r="E67" s="309"/>
      <c r="F67" s="309" t="s">
        <v>251</v>
      </c>
      <c r="G67" s="309"/>
      <c r="H67" s="309" t="s">
        <v>984</v>
      </c>
      <c r="I67" s="309" t="s">
        <v>638</v>
      </c>
      <c r="J67" s="312"/>
      <c r="K67" s="299">
        <v>43172</v>
      </c>
      <c r="L67" s="310">
        <v>840</v>
      </c>
      <c r="M67" s="202">
        <f>IF(K67="cnr","CNR",IF(K67="CBU", "CBU",IF(K67="Code Out","Code Out",K67+L67)))</f>
        <v>44012</v>
      </c>
      <c r="N67" s="203">
        <f>M67</f>
        <v>44012</v>
      </c>
      <c r="O67" s="206" t="str">
        <f ca="1">IF(AJ67=1,"",IF(AH67&lt;1,"DEL",""))</f>
        <v/>
      </c>
      <c r="P67" s="299"/>
      <c r="Q67" s="313"/>
      <c r="R67" s="313"/>
      <c r="S67" s="313" t="s">
        <v>398</v>
      </c>
      <c r="T67" s="313"/>
      <c r="U67" s="318" t="s">
        <v>1533</v>
      </c>
      <c r="V67" s="320" t="s">
        <v>1358</v>
      </c>
      <c r="W67" s="172"/>
      <c r="X67" s="137"/>
      <c r="Y67" s="191">
        <f>IF(AF67,MONTH(M67),"")</f>
        <v>6</v>
      </c>
      <c r="Z67" s="192">
        <f>IF(AF67,YEAR(M67),"")</f>
        <v>2020</v>
      </c>
      <c r="AA67" s="191">
        <f>IF(AF67,MONTH(N67),"")</f>
        <v>6</v>
      </c>
      <c r="AB67" s="191">
        <f>IF(AF67,YEAR(N67),"")</f>
        <v>2020</v>
      </c>
      <c r="AC67" s="193" t="str">
        <f>CONCATENATE(Y67,Z67)</f>
        <v>62020</v>
      </c>
      <c r="AD67" s="194" t="str">
        <f>CONCATENATE(AA67,AB67)</f>
        <v>62020</v>
      </c>
      <c r="AE67" s="195">
        <f>IF(M67="CBU","",IF(M67="CNR","",IF(K67="Code Out","",MIN(M67,N67))))</f>
        <v>44012</v>
      </c>
      <c r="AF67" s="196" t="b">
        <f>--(ISNUMBER(SEARCH("lab",P67)))
=--(ISNUMBER(SEARCH("fred",A59)))</f>
        <v>1</v>
      </c>
      <c r="AG67" s="199" t="b">
        <f>IF(AE67&lt;$J$4,TRUE,FALSE)</f>
        <v>0</v>
      </c>
      <c r="AH67" s="192">
        <f ca="1">IF(K67="CBU","",IF(K67="CNR","",IF(K67="Code Out","",SUM(M67-$U$1))))</f>
        <v>732.56816122685268</v>
      </c>
      <c r="AI67" s="192">
        <f ca="1">COUNTIF(O67,"Del")</f>
        <v>0</v>
      </c>
      <c r="AJ67" s="192">
        <f>COUNTIF(P67,"*at lab*")</f>
        <v>0</v>
      </c>
      <c r="AK67" s="200">
        <f ca="1">SUM(AI67:AJ67)</f>
        <v>0</v>
      </c>
    </row>
    <row r="68" spans="1:37" s="75" customFormat="1" ht="25.5" x14ac:dyDescent="0.2">
      <c r="A68" s="207" t="s">
        <v>989</v>
      </c>
      <c r="B68" s="315" t="s">
        <v>989</v>
      </c>
      <c r="C68" s="309"/>
      <c r="D68" s="309" t="s">
        <v>984</v>
      </c>
      <c r="E68" s="309"/>
      <c r="F68" s="309" t="s">
        <v>251</v>
      </c>
      <c r="G68" s="309"/>
      <c r="H68" s="309" t="s">
        <v>984</v>
      </c>
      <c r="I68" s="309" t="s">
        <v>638</v>
      </c>
      <c r="J68" s="312"/>
      <c r="K68" s="299">
        <v>43172</v>
      </c>
      <c r="L68" s="310">
        <v>840</v>
      </c>
      <c r="M68" s="202">
        <f>IF(K68="cnr","CNR",IF(K68="CBU", "CBU",IF(K68="Code Out","Code Out",K68+L68)))</f>
        <v>44012</v>
      </c>
      <c r="N68" s="203">
        <f>M68</f>
        <v>44012</v>
      </c>
      <c r="O68" s="206" t="str">
        <f ca="1">IF(AJ68=1,"",IF(AH68&lt;1,"DEL",""))</f>
        <v/>
      </c>
      <c r="P68" s="299"/>
      <c r="Q68" s="313"/>
      <c r="R68" s="313"/>
      <c r="S68" s="313" t="s">
        <v>1370</v>
      </c>
      <c r="T68" s="313"/>
      <c r="U68" s="318" t="s">
        <v>1533</v>
      </c>
      <c r="V68" s="320" t="s">
        <v>1357</v>
      </c>
      <c r="W68" s="305"/>
      <c r="X68" s="304"/>
      <c r="Y68" s="197">
        <f>IF(AF68,MONTH(M68),"")</f>
        <v>6</v>
      </c>
      <c r="Z68" s="198">
        <f>IF(AF68,YEAR(M68),"")</f>
        <v>2020</v>
      </c>
      <c r="AA68" s="191">
        <f>IF(AF68,MONTH(N68),"")</f>
        <v>6</v>
      </c>
      <c r="AB68" s="191">
        <f>IF(AF68,YEAR(N68),"")</f>
        <v>2020</v>
      </c>
      <c r="AC68" s="193" t="str">
        <f>CONCATENATE(Y68,Z68)</f>
        <v>62020</v>
      </c>
      <c r="AD68" s="194" t="str">
        <f>CONCATENATE(AA68,AB68)</f>
        <v>62020</v>
      </c>
      <c r="AE68" s="195">
        <f>IF(M68="CBU","",IF(M68="CNR","",IF(K68="Code Out","",MIN(M68,N68))))</f>
        <v>44012</v>
      </c>
      <c r="AF68" s="196" t="b">
        <f>--(ISNUMBER(SEARCH("lab",P68)))
=--(ISNUMBER(SEARCH("fred",A60)))</f>
        <v>1</v>
      </c>
      <c r="AG68" s="199" t="b">
        <f>IF(AE68&lt;$J$4,TRUE,FALSE)</f>
        <v>0</v>
      </c>
      <c r="AH68" s="192">
        <f ca="1">IF(K68="CBU","",IF(K68="CNR","",IF(K68="Code Out","",SUM(M68-$U$1))))</f>
        <v>732.56816122685268</v>
      </c>
      <c r="AI68" s="192">
        <f ca="1">COUNTIF(O68,"Del")</f>
        <v>0</v>
      </c>
      <c r="AJ68" s="192">
        <f>COUNTIF(P68,"*at lab*")</f>
        <v>0</v>
      </c>
      <c r="AK68" s="200">
        <f ca="1">SUM(AI68:AJ68)</f>
        <v>0</v>
      </c>
    </row>
    <row r="69" spans="1:37" s="75" customFormat="1" x14ac:dyDescent="0.2">
      <c r="A69" s="207" t="s">
        <v>990</v>
      </c>
      <c r="B69" s="309" t="s">
        <v>998</v>
      </c>
      <c r="C69" s="310"/>
      <c r="D69" s="309" t="s">
        <v>870</v>
      </c>
      <c r="E69" s="309"/>
      <c r="F69" s="309" t="s">
        <v>18</v>
      </c>
      <c r="G69" s="309" t="s">
        <v>773</v>
      </c>
      <c r="H69" s="309" t="s">
        <v>870</v>
      </c>
      <c r="I69" s="311" t="s">
        <v>5</v>
      </c>
      <c r="J69" s="312">
        <v>5120013995598</v>
      </c>
      <c r="K69" s="299">
        <v>43138</v>
      </c>
      <c r="L69" s="311">
        <v>180</v>
      </c>
      <c r="M69" s="202">
        <f>IF(K69="cnr","CNR",IF(K69="CBU", "CBU",IF(K69="Code Out","Code Out",K69+L69)))</f>
        <v>43318</v>
      </c>
      <c r="N69" s="203">
        <f>M69</f>
        <v>43318</v>
      </c>
      <c r="O69" s="205" t="str">
        <f ca="1">IF(AJ69=1,"",IF(AH69&lt;1,"DEL",""))</f>
        <v/>
      </c>
      <c r="P69" s="299"/>
      <c r="Q69" s="313"/>
      <c r="R69" s="313"/>
      <c r="S69" s="313" t="s">
        <v>398</v>
      </c>
      <c r="T69" s="313"/>
      <c r="U69" s="298" t="s">
        <v>1526</v>
      </c>
      <c r="V69" s="314" t="s">
        <v>1528</v>
      </c>
      <c r="W69" s="173"/>
      <c r="X69" s="139"/>
      <c r="Y69" s="191">
        <f>IF(AF69,MONTH(M69),"")</f>
        <v>8</v>
      </c>
      <c r="Z69" s="192">
        <f>IF(AF69,YEAR(M69),"")</f>
        <v>2018</v>
      </c>
      <c r="AA69" s="191">
        <f>IF(AF69,MONTH(N69),"")</f>
        <v>8</v>
      </c>
      <c r="AB69" s="191">
        <f>IF(AF69,YEAR(N69),"")</f>
        <v>2018</v>
      </c>
      <c r="AC69" s="193" t="str">
        <f>CONCATENATE(Y69,Z69)</f>
        <v>82018</v>
      </c>
      <c r="AD69" s="194" t="str">
        <f>CONCATENATE(AA69,AB69)</f>
        <v>82018</v>
      </c>
      <c r="AE69" s="195">
        <f>IF(M69="CBU","",IF(M69="CNR","",IF(K69="Code Out","",MIN(M69,N69))))</f>
        <v>43318</v>
      </c>
      <c r="AF69" s="196" t="b">
        <f>--(ISNUMBER(SEARCH("lab",P69)))
=--(ISNUMBER(SEARCH("fred",A61)))</f>
        <v>1</v>
      </c>
      <c r="AG69" s="199" t="b">
        <f>IF(AE69&lt;$J$4,TRUE,FALSE)</f>
        <v>0</v>
      </c>
      <c r="AH69" s="192">
        <f ca="1">IF(K69="CBU","",IF(K69="CNR","",IF(K69="Code Out","",SUM(M69-$U$1))))</f>
        <v>38.568161226852681</v>
      </c>
      <c r="AI69" s="192">
        <f ca="1">COUNTIF(O69,"Del")</f>
        <v>0</v>
      </c>
      <c r="AJ69" s="192">
        <f>COUNTIF(P69,"*at lab*")</f>
        <v>0</v>
      </c>
      <c r="AK69" s="200">
        <f ca="1">SUM(AI69:AJ69)</f>
        <v>0</v>
      </c>
    </row>
    <row r="70" spans="1:37" s="75" customFormat="1" ht="25.5" x14ac:dyDescent="0.2">
      <c r="A70" s="207" t="s">
        <v>982</v>
      </c>
      <c r="B70" s="315" t="s">
        <v>925</v>
      </c>
      <c r="C70" s="309"/>
      <c r="D70" s="309" t="s">
        <v>1346</v>
      </c>
      <c r="E70" s="309"/>
      <c r="F70" s="309" t="s">
        <v>818</v>
      </c>
      <c r="G70" s="309"/>
      <c r="H70" s="309" t="s">
        <v>979</v>
      </c>
      <c r="I70" s="309" t="s">
        <v>819</v>
      </c>
      <c r="J70" s="309" t="s">
        <v>927</v>
      </c>
      <c r="K70" s="299">
        <v>42943</v>
      </c>
      <c r="L70" s="310">
        <v>720</v>
      </c>
      <c r="M70" s="202">
        <f>IF(K70="cnr","CNR",IF(K70="CBU", "CBU",IF(K70="Code Out","Code Out",K70+L70)))</f>
        <v>43663</v>
      </c>
      <c r="N70" s="203">
        <f>M70</f>
        <v>43663</v>
      </c>
      <c r="O70" s="206" t="str">
        <f ca="1">IF(AJ70=1,"",IF(AH70&lt;1,"DEL",""))</f>
        <v/>
      </c>
      <c r="P70" s="317"/>
      <c r="Q70" s="313"/>
      <c r="R70" s="313"/>
      <c r="S70" s="313" t="s">
        <v>398</v>
      </c>
      <c r="T70" s="313"/>
      <c r="U70" s="326" t="s">
        <v>1534</v>
      </c>
      <c r="V70" s="320" t="s">
        <v>983</v>
      </c>
      <c r="W70" s="171"/>
      <c r="X70" s="140"/>
      <c r="Y70" s="197">
        <f>IF(AF70,MONTH(M70),"")</f>
        <v>7</v>
      </c>
      <c r="Z70" s="198">
        <f>IF(AF70,YEAR(M70),"")</f>
        <v>2019</v>
      </c>
      <c r="AA70" s="191">
        <f>IF(AF70,MONTH(N70),"")</f>
        <v>7</v>
      </c>
      <c r="AB70" s="191">
        <f>IF(AF70,YEAR(N70),"")</f>
        <v>2019</v>
      </c>
      <c r="AC70" s="193" t="str">
        <f>CONCATENATE(Y70,Z70)</f>
        <v>72019</v>
      </c>
      <c r="AD70" s="194" t="str">
        <f>CONCATENATE(AA70,AB70)</f>
        <v>72019</v>
      </c>
      <c r="AE70" s="195">
        <f>IF(M70="CBU","",IF(M70="CNR","",IF(K70="Code Out","",MIN(M70,N70))))</f>
        <v>43663</v>
      </c>
      <c r="AF70" s="196" t="b">
        <f>--(ISNUMBER(SEARCH("lab",P70)))
=--(ISNUMBER(SEARCH("fred",A62)))</f>
        <v>1</v>
      </c>
      <c r="AG70" s="199" t="b">
        <f>IF(AE70&lt;$J$4,TRUE,FALSE)</f>
        <v>0</v>
      </c>
      <c r="AH70" s="192">
        <f ca="1">IF(K70="CBU","",IF(K70="CNR","",IF(K70="Code Out","",SUM(M70-$U$1))))</f>
        <v>383.56816122685268</v>
      </c>
      <c r="AI70" s="192">
        <f ca="1">COUNTIF(O70,"Del")</f>
        <v>0</v>
      </c>
      <c r="AJ70" s="192">
        <f>COUNTIF(P70,"*at lab*")</f>
        <v>0</v>
      </c>
      <c r="AK70" s="200">
        <f ca="1">SUM(AI70:AJ70)</f>
        <v>0</v>
      </c>
    </row>
    <row r="71" spans="1:37" s="75" customFormat="1" ht="25.5" x14ac:dyDescent="0.2">
      <c r="A71" s="207" t="s">
        <v>981</v>
      </c>
      <c r="B71" s="315" t="s">
        <v>926</v>
      </c>
      <c r="C71" s="309"/>
      <c r="D71" s="309" t="s">
        <v>1346</v>
      </c>
      <c r="E71" s="309"/>
      <c r="F71" s="309" t="s">
        <v>818</v>
      </c>
      <c r="G71" s="309"/>
      <c r="H71" s="309" t="s">
        <v>979</v>
      </c>
      <c r="I71" s="309" t="s">
        <v>819</v>
      </c>
      <c r="J71" s="309" t="s">
        <v>927</v>
      </c>
      <c r="K71" s="299">
        <v>42696</v>
      </c>
      <c r="L71" s="310">
        <v>720</v>
      </c>
      <c r="M71" s="202">
        <f>IF(K71="cnr","CNR",IF(K71="CBU", "CBU",IF(K71="Code Out","Code Out",K71+L71)))</f>
        <v>43416</v>
      </c>
      <c r="N71" s="203">
        <f>M71</f>
        <v>43416</v>
      </c>
      <c r="O71" s="206" t="str">
        <f ca="1">IF(AJ71=1,"",IF(AH71&lt;1,"DEL",""))</f>
        <v/>
      </c>
      <c r="P71" s="317"/>
      <c r="Q71" s="313"/>
      <c r="R71" s="313"/>
      <c r="S71" s="313" t="s">
        <v>398</v>
      </c>
      <c r="T71" s="313"/>
      <c r="U71" s="326" t="s">
        <v>1441</v>
      </c>
      <c r="V71" s="320" t="s">
        <v>1364</v>
      </c>
      <c r="W71" s="172"/>
      <c r="X71" s="137"/>
      <c r="Y71" s="191">
        <f>IF(AF71,MONTH(M71),"")</f>
        <v>11</v>
      </c>
      <c r="Z71" s="192">
        <f>IF(AF71,YEAR(M71),"")</f>
        <v>2018</v>
      </c>
      <c r="AA71" s="191">
        <f>IF(AF71,MONTH(N71),"")</f>
        <v>11</v>
      </c>
      <c r="AB71" s="191">
        <f>IF(AF71,YEAR(N71),"")</f>
        <v>2018</v>
      </c>
      <c r="AC71" s="193" t="str">
        <f>CONCATENATE(Y71,Z71)</f>
        <v>112018</v>
      </c>
      <c r="AD71" s="194" t="str">
        <f>CONCATENATE(AA71,AB71)</f>
        <v>112018</v>
      </c>
      <c r="AE71" s="195">
        <f>IF(M71="CBU","",IF(M71="CNR","",IF(K71="Code Out","",MIN(M71,N71))))</f>
        <v>43416</v>
      </c>
      <c r="AF71" s="196" t="b">
        <f>--(ISNUMBER(SEARCH("lab",P71)))
=--(ISNUMBER(SEARCH("fred",A63)))</f>
        <v>1</v>
      </c>
      <c r="AG71" s="199" t="b">
        <f>IF(AE71&lt;$J$4,TRUE,FALSE)</f>
        <v>0</v>
      </c>
      <c r="AH71" s="192">
        <f ca="1">IF(K71="CBU","",IF(K71="CNR","",IF(K71="Code Out","",SUM(M71-$U$1))))</f>
        <v>136.56816122685268</v>
      </c>
      <c r="AI71" s="192">
        <f ca="1">COUNTIF(O71,"Del")</f>
        <v>0</v>
      </c>
      <c r="AJ71" s="192">
        <f>COUNTIF(P71,"*at lab*")</f>
        <v>0</v>
      </c>
      <c r="AK71" s="200">
        <f ca="1">SUM(AI71:AJ71)</f>
        <v>0</v>
      </c>
    </row>
    <row r="72" spans="1:37" s="75" customFormat="1" ht="25.5" x14ac:dyDescent="0.2">
      <c r="A72" s="207" t="s">
        <v>961</v>
      </c>
      <c r="B72" s="315" t="s">
        <v>959</v>
      </c>
      <c r="C72" s="309"/>
      <c r="D72" s="309" t="s">
        <v>974</v>
      </c>
      <c r="E72" s="309"/>
      <c r="F72" s="309" t="s">
        <v>960</v>
      </c>
      <c r="G72" s="309"/>
      <c r="H72" s="309" t="s">
        <v>870</v>
      </c>
      <c r="I72" s="309" t="s">
        <v>5</v>
      </c>
      <c r="J72" s="312"/>
      <c r="K72" s="299">
        <v>43046</v>
      </c>
      <c r="L72" s="310">
        <v>180</v>
      </c>
      <c r="M72" s="202">
        <f>IF(K72="cnr","CNR",IF(K72="CBU", "CBU",IF(K72="Code Out","Code Out",K72+L72)))</f>
        <v>43226</v>
      </c>
      <c r="N72" s="203">
        <f>M72</f>
        <v>43226</v>
      </c>
      <c r="O72" s="206" t="str">
        <f>IF(AJ72=1,"",IF(AH72&lt;1,"DEL",""))</f>
        <v/>
      </c>
      <c r="P72" s="299" t="s">
        <v>1551</v>
      </c>
      <c r="Q72" s="313"/>
      <c r="R72" s="313" t="s">
        <v>398</v>
      </c>
      <c r="S72" s="313"/>
      <c r="T72" s="313"/>
      <c r="U72" s="318" t="s">
        <v>1512</v>
      </c>
      <c r="V72" s="320" t="s">
        <v>968</v>
      </c>
      <c r="W72" s="305"/>
      <c r="X72" s="304"/>
      <c r="Y72" s="197" t="str">
        <f>IF(AF72,MONTH(M72),"")</f>
        <v/>
      </c>
      <c r="Z72" s="198" t="str">
        <f>IF(AF72,YEAR(M72),"")</f>
        <v/>
      </c>
      <c r="AA72" s="191" t="str">
        <f>IF(AF72,MONTH(N72),"")</f>
        <v/>
      </c>
      <c r="AB72" s="191" t="str">
        <f>IF(AF72,YEAR(N72),"")</f>
        <v/>
      </c>
      <c r="AC72" s="193" t="str">
        <f>CONCATENATE(Y72,Z72)</f>
        <v/>
      </c>
      <c r="AD72" s="194" t="str">
        <f>CONCATENATE(AA72,AB72)</f>
        <v/>
      </c>
      <c r="AE72" s="195">
        <f>IF(M72="CBU","",IF(M72="CNR","",IF(K72="Code Out","",MIN(M72,N72))))</f>
        <v>43226</v>
      </c>
      <c r="AF72" s="196" t="b">
        <f>--(ISNUMBER(SEARCH("lab",P72)))
=--(ISNUMBER(SEARCH("fred",A64)))</f>
        <v>0</v>
      </c>
      <c r="AG72" s="199" t="b">
        <f>IF(AE72&lt;$J$4,TRUE,FALSE)</f>
        <v>1</v>
      </c>
      <c r="AH72" s="192">
        <f ca="1">IF(K72="CBU","",IF(K72="CNR","",IF(K72="Code Out","",SUM(M72-$U$1))))</f>
        <v>-53.431838773147319</v>
      </c>
      <c r="AI72" s="192">
        <f>COUNTIF(O72,"Del")</f>
        <v>0</v>
      </c>
      <c r="AJ72" s="192">
        <f>COUNTIF(P72,"*at lab*")</f>
        <v>1</v>
      </c>
      <c r="AK72" s="200">
        <f>SUM(AI72:AJ72)</f>
        <v>1</v>
      </c>
    </row>
    <row r="73" spans="1:37" s="75" customFormat="1" ht="25.5" x14ac:dyDescent="0.2">
      <c r="A73" s="207" t="s">
        <v>956</v>
      </c>
      <c r="B73" s="315" t="s">
        <v>930</v>
      </c>
      <c r="C73" s="309"/>
      <c r="D73" s="309" t="s">
        <v>1346</v>
      </c>
      <c r="E73" s="309"/>
      <c r="F73" s="309" t="s">
        <v>818</v>
      </c>
      <c r="G73" s="309"/>
      <c r="H73" s="309" t="s">
        <v>979</v>
      </c>
      <c r="I73" s="309" t="s">
        <v>819</v>
      </c>
      <c r="J73" s="309" t="s">
        <v>927</v>
      </c>
      <c r="K73" s="299">
        <v>42551</v>
      </c>
      <c r="L73" s="310">
        <v>720</v>
      </c>
      <c r="M73" s="202">
        <f>IF(K73="cnr","CNR",IF(K73="CBU", "CBU",IF(K73="Code Out","Code Out",K73+L73)))</f>
        <v>43271</v>
      </c>
      <c r="N73" s="203">
        <f>M73</f>
        <v>43271</v>
      </c>
      <c r="O73" s="206" t="str">
        <f ca="1">IF(AJ73=1,"",IF(AH73&lt;1,"DEL",""))</f>
        <v>DEL</v>
      </c>
      <c r="P73" s="299" t="s">
        <v>851</v>
      </c>
      <c r="Q73" s="313"/>
      <c r="R73" s="313"/>
      <c r="S73" s="313" t="s">
        <v>398</v>
      </c>
      <c r="T73" s="313"/>
      <c r="U73" s="318" t="s">
        <v>1420</v>
      </c>
      <c r="V73" s="320" t="s">
        <v>373</v>
      </c>
      <c r="W73" s="172"/>
      <c r="X73" s="137"/>
      <c r="Y73" s="191">
        <f>IF(AF73,MONTH(M73),"")</f>
        <v>6</v>
      </c>
      <c r="Z73" s="192">
        <f>IF(AF73,YEAR(M73),"")</f>
        <v>2018</v>
      </c>
      <c r="AA73" s="191">
        <f>IF(AF73,MONTH(N73),"")</f>
        <v>6</v>
      </c>
      <c r="AB73" s="191">
        <f>IF(AF73,YEAR(N73),"")</f>
        <v>2018</v>
      </c>
      <c r="AC73" s="193" t="str">
        <f>CONCATENATE(Y73,Z73)</f>
        <v>62018</v>
      </c>
      <c r="AD73" s="194" t="str">
        <f>CONCATENATE(AA73,AB73)</f>
        <v>62018</v>
      </c>
      <c r="AE73" s="195">
        <f>IF(M73="CBU","",IF(M73="CNR","",IF(K73="Code Out","",MIN(M73,N73))))</f>
        <v>43271</v>
      </c>
      <c r="AF73" s="196" t="b">
        <f>--(ISNUMBER(SEARCH("lab",P73)))
=--(ISNUMBER(SEARCH("fred",A65)))</f>
        <v>1</v>
      </c>
      <c r="AG73" s="199" t="b">
        <f>IF(AE73&lt;$J$4,TRUE,FALSE)</f>
        <v>1</v>
      </c>
      <c r="AH73" s="192">
        <f ca="1">IF(K73="CBU","",IF(K73="CNR","",IF(K73="Code Out","",SUM(M73-$U$1))))</f>
        <v>-8.4318387731473194</v>
      </c>
      <c r="AI73" s="192">
        <f ca="1">COUNTIF(O73,"Del")</f>
        <v>1</v>
      </c>
      <c r="AJ73" s="192">
        <f>COUNTIF(P73,"*at lab*")</f>
        <v>0</v>
      </c>
      <c r="AK73" s="200">
        <f ca="1">SUM(AI73:AJ73)</f>
        <v>1</v>
      </c>
    </row>
    <row r="74" spans="1:37" s="75" customFormat="1" ht="25.5" x14ac:dyDescent="0.2">
      <c r="A74" s="207" t="s">
        <v>957</v>
      </c>
      <c r="B74" s="315" t="s">
        <v>931</v>
      </c>
      <c r="C74" s="309"/>
      <c r="D74" s="309" t="s">
        <v>1346</v>
      </c>
      <c r="E74" s="309"/>
      <c r="F74" s="309" t="s">
        <v>818</v>
      </c>
      <c r="G74" s="309"/>
      <c r="H74" s="309" t="s">
        <v>979</v>
      </c>
      <c r="I74" s="309" t="s">
        <v>819</v>
      </c>
      <c r="J74" s="309" t="s">
        <v>927</v>
      </c>
      <c r="K74" s="299">
        <v>42522</v>
      </c>
      <c r="L74" s="310">
        <v>720</v>
      </c>
      <c r="M74" s="202">
        <f>IF(K74="cnr","CNR",IF(K74="CBU", "CBU",IF(K74="Code Out","Code Out",K74+L74)))</f>
        <v>43242</v>
      </c>
      <c r="N74" s="203">
        <f>M74</f>
        <v>43242</v>
      </c>
      <c r="O74" s="206" t="str">
        <f>IF(AJ74=1,"",IF(AH74&lt;1,"DEL",""))</f>
        <v/>
      </c>
      <c r="P74" s="299" t="s">
        <v>1551</v>
      </c>
      <c r="Q74" s="313"/>
      <c r="R74" s="313" t="s">
        <v>398</v>
      </c>
      <c r="S74" s="313"/>
      <c r="T74" s="313"/>
      <c r="U74" s="318" t="s">
        <v>1411</v>
      </c>
      <c r="V74" s="320" t="s">
        <v>373</v>
      </c>
      <c r="W74" s="171"/>
      <c r="X74" s="140"/>
      <c r="Y74" s="197" t="str">
        <f>IF(AF74,MONTH(M74),"")</f>
        <v/>
      </c>
      <c r="Z74" s="198" t="str">
        <f>IF(AF74,YEAR(M74),"")</f>
        <v/>
      </c>
      <c r="AA74" s="191" t="str">
        <f>IF(AF74,MONTH(N74),"")</f>
        <v/>
      </c>
      <c r="AB74" s="191" t="str">
        <f>IF(AF74,YEAR(N74),"")</f>
        <v/>
      </c>
      <c r="AC74" s="193" t="str">
        <f>CONCATENATE(Y74,Z74)</f>
        <v/>
      </c>
      <c r="AD74" s="194" t="str">
        <f>CONCATENATE(AA74,AB74)</f>
        <v/>
      </c>
      <c r="AE74" s="195">
        <f>IF(M74="CBU","",IF(M74="CNR","",IF(K74="Code Out","",MIN(M74,N74))))</f>
        <v>43242</v>
      </c>
      <c r="AF74" s="196" t="b">
        <f>--(ISNUMBER(SEARCH("lab",P74)))
=--(ISNUMBER(SEARCH("fred",A66)))</f>
        <v>0</v>
      </c>
      <c r="AG74" s="199" t="b">
        <f>IF(AE74&lt;$J$4,TRUE,FALSE)</f>
        <v>1</v>
      </c>
      <c r="AH74" s="192">
        <f ca="1">IF(K74="CBU","",IF(K74="CNR","",IF(K74="Code Out","",SUM(M74-$U$1))))</f>
        <v>-37.431838773147319</v>
      </c>
      <c r="AI74" s="192">
        <f>COUNTIF(O74,"Del")</f>
        <v>0</v>
      </c>
      <c r="AJ74" s="192">
        <f>COUNTIF(P74,"*at lab*")</f>
        <v>1</v>
      </c>
      <c r="AK74" s="200">
        <f>SUM(AI74:AJ74)</f>
        <v>1</v>
      </c>
    </row>
    <row r="75" spans="1:37" s="75" customFormat="1" ht="25.5" x14ac:dyDescent="0.2">
      <c r="A75" s="207" t="s">
        <v>919</v>
      </c>
      <c r="B75" s="315" t="s">
        <v>910</v>
      </c>
      <c r="C75" s="309"/>
      <c r="D75" s="309" t="s">
        <v>974</v>
      </c>
      <c r="E75" s="309"/>
      <c r="F75" s="309" t="s">
        <v>963</v>
      </c>
      <c r="G75" s="309"/>
      <c r="H75" s="309" t="s">
        <v>870</v>
      </c>
      <c r="I75" s="309" t="s">
        <v>5</v>
      </c>
      <c r="J75" s="312">
        <v>5120013741938</v>
      </c>
      <c r="K75" s="299">
        <v>43046</v>
      </c>
      <c r="L75" s="310">
        <v>180</v>
      </c>
      <c r="M75" s="202">
        <f>IF(K75="cnr","CNR",IF(K75="CBU", "CBU",IF(K75="Code Out","Code Out",K75+L75)))</f>
        <v>43226</v>
      </c>
      <c r="N75" s="203">
        <f>M75</f>
        <v>43226</v>
      </c>
      <c r="O75" s="206" t="str">
        <f>IF(AJ75=1,"",IF(AH75&lt;1,"DEL",""))</f>
        <v/>
      </c>
      <c r="P75" s="299" t="s">
        <v>1551</v>
      </c>
      <c r="Q75" s="313"/>
      <c r="R75" s="313" t="s">
        <v>398</v>
      </c>
      <c r="S75" s="313"/>
      <c r="T75" s="313"/>
      <c r="U75" s="298" t="s">
        <v>1512</v>
      </c>
      <c r="V75" s="320" t="s">
        <v>1528</v>
      </c>
      <c r="W75" s="305"/>
      <c r="X75" s="304"/>
      <c r="Y75" s="197" t="str">
        <f>IF(AF75,MONTH(M75),"")</f>
        <v/>
      </c>
      <c r="Z75" s="198" t="str">
        <f>IF(AF75,YEAR(M75),"")</f>
        <v/>
      </c>
      <c r="AA75" s="191" t="str">
        <f>IF(AF75,MONTH(N75),"")</f>
        <v/>
      </c>
      <c r="AB75" s="191" t="str">
        <f>IF(AF75,YEAR(N75),"")</f>
        <v/>
      </c>
      <c r="AC75" s="193" t="str">
        <f>CONCATENATE(Y75,Z75)</f>
        <v/>
      </c>
      <c r="AD75" s="194" t="str">
        <f>CONCATENATE(AA75,AB75)</f>
        <v/>
      </c>
      <c r="AE75" s="195">
        <f>IF(M75="CBU","",IF(M75="CNR","",IF(K75="Code Out","",MIN(M75,N75))))</f>
        <v>43226</v>
      </c>
      <c r="AF75" s="196" t="b">
        <f>--(ISNUMBER(SEARCH("lab",P75)))
=--(ISNUMBER(SEARCH("fred",A67)))</f>
        <v>0</v>
      </c>
      <c r="AG75" s="199" t="b">
        <f>IF(AE75&lt;$J$4,TRUE,FALSE)</f>
        <v>1</v>
      </c>
      <c r="AH75" s="192">
        <f ca="1">IF(K75="CBU","",IF(K75="CNR","",IF(K75="Code Out","",SUM(M75-$U$1))))</f>
        <v>-53.431838773147319</v>
      </c>
      <c r="AI75" s="192">
        <f>COUNTIF(O75,"Del")</f>
        <v>0</v>
      </c>
      <c r="AJ75" s="192">
        <f>COUNTIF(P75,"*at lab*")</f>
        <v>1</v>
      </c>
      <c r="AK75" s="200">
        <f>SUM(AI75:AJ75)</f>
        <v>1</v>
      </c>
    </row>
    <row r="76" spans="1:37" s="75" customFormat="1" ht="28.5" x14ac:dyDescent="0.2">
      <c r="A76" s="207" t="s">
        <v>918</v>
      </c>
      <c r="B76" s="315" t="s">
        <v>904</v>
      </c>
      <c r="C76" s="309" t="s">
        <v>1486</v>
      </c>
      <c r="D76" s="309" t="s">
        <v>855</v>
      </c>
      <c r="E76" s="309"/>
      <c r="F76" s="309" t="s">
        <v>905</v>
      </c>
      <c r="G76" s="309"/>
      <c r="H76" s="309" t="s">
        <v>855</v>
      </c>
      <c r="I76" s="309" t="s">
        <v>100</v>
      </c>
      <c r="J76" s="312">
        <v>6625015658789</v>
      </c>
      <c r="K76" s="299">
        <v>42880</v>
      </c>
      <c r="L76" s="310">
        <v>840</v>
      </c>
      <c r="M76" s="202">
        <f>IF(K76="cnr","CNR",IF(K76="CBU", "CBU",IF(K76="Code Out","Code Out",K76+L76)))</f>
        <v>43720</v>
      </c>
      <c r="N76" s="203">
        <f>M76</f>
        <v>43720</v>
      </c>
      <c r="O76" s="206" t="str">
        <f ca="1">IF(AJ76=1,"",IF(AH76&lt;1,"DEL",""))</f>
        <v/>
      </c>
      <c r="P76" s="317"/>
      <c r="Q76" s="313"/>
      <c r="R76" s="313"/>
      <c r="S76" s="313" t="s">
        <v>1470</v>
      </c>
      <c r="T76" s="313"/>
      <c r="U76" s="318" t="s">
        <v>1471</v>
      </c>
      <c r="V76" s="320" t="s">
        <v>367</v>
      </c>
      <c r="W76" s="171"/>
      <c r="X76" s="140"/>
      <c r="Y76" s="197">
        <f>IF(AF76,MONTH(M76),"")</f>
        <v>9</v>
      </c>
      <c r="Z76" s="198">
        <f>IF(AF76,YEAR(M76),"")</f>
        <v>2019</v>
      </c>
      <c r="AA76" s="191">
        <f>IF(AF76,MONTH(N76),"")</f>
        <v>9</v>
      </c>
      <c r="AB76" s="191">
        <f>IF(AF76,YEAR(N76),"")</f>
        <v>2019</v>
      </c>
      <c r="AC76" s="193" t="str">
        <f>CONCATENATE(Y76,Z76)</f>
        <v>92019</v>
      </c>
      <c r="AD76" s="194" t="str">
        <f>CONCATENATE(AA76,AB76)</f>
        <v>92019</v>
      </c>
      <c r="AE76" s="195">
        <f>IF(M76="CBU","",IF(M76="CNR","",IF(K76="Code Out","",MIN(M76,N76))))</f>
        <v>43720</v>
      </c>
      <c r="AF76" s="196" t="b">
        <f>--(ISNUMBER(SEARCH("lab",P76)))
=--(ISNUMBER(SEARCH("fred",A68)))</f>
        <v>1</v>
      </c>
      <c r="AG76" s="199" t="b">
        <f>IF(AE76&lt;$J$4,TRUE,FALSE)</f>
        <v>0</v>
      </c>
      <c r="AH76" s="192">
        <f ca="1">IF(K76="CBU","",IF(K76="CNR","",IF(K76="Code Out","",SUM(M76-$U$1))))</f>
        <v>440.56816122685268</v>
      </c>
      <c r="AI76" s="192">
        <f ca="1">COUNTIF(O76,"Del")</f>
        <v>0</v>
      </c>
      <c r="AJ76" s="192">
        <f>COUNTIF(P76,"*at lab*")</f>
        <v>0</v>
      </c>
      <c r="AK76" s="200">
        <f ca="1">SUM(AI76:AJ76)</f>
        <v>0</v>
      </c>
    </row>
    <row r="77" spans="1:37" s="75" customFormat="1" ht="28.5" x14ac:dyDescent="0.2">
      <c r="A77" s="207" t="s">
        <v>880</v>
      </c>
      <c r="B77" s="315" t="s">
        <v>881</v>
      </c>
      <c r="C77" s="309"/>
      <c r="D77" s="309" t="s">
        <v>855</v>
      </c>
      <c r="E77" s="309"/>
      <c r="F77" s="309" t="s">
        <v>877</v>
      </c>
      <c r="G77" s="309"/>
      <c r="H77" s="309" t="s">
        <v>855</v>
      </c>
      <c r="I77" s="309" t="s">
        <v>878</v>
      </c>
      <c r="J77" s="312">
        <v>4920000000000</v>
      </c>
      <c r="K77" s="299">
        <v>43181</v>
      </c>
      <c r="L77" s="310">
        <v>360</v>
      </c>
      <c r="M77" s="202">
        <f>IF(K77="cnr","CNR",IF(K77="CBU", "CBU",IF(K77="Code Out","Code Out",K77+L77)))</f>
        <v>43541</v>
      </c>
      <c r="N77" s="203">
        <f>M77</f>
        <v>43541</v>
      </c>
      <c r="O77" s="206" t="str">
        <f>IF(AJ77=1,"",IF(AH77&lt;1,"DEL",""))</f>
        <v/>
      </c>
      <c r="P77" s="299" t="s">
        <v>1527</v>
      </c>
      <c r="Q77" s="313"/>
      <c r="R77" s="313" t="s">
        <v>398</v>
      </c>
      <c r="S77" s="313"/>
      <c r="T77" s="313"/>
      <c r="U77" s="318" t="s">
        <v>1536</v>
      </c>
      <c r="V77" s="320" t="s">
        <v>879</v>
      </c>
      <c r="W77" s="172"/>
      <c r="X77" s="137"/>
      <c r="Y77" s="191" t="str">
        <f>IF(AF77,MONTH(M77),"")</f>
        <v/>
      </c>
      <c r="Z77" s="192" t="str">
        <f>IF(AF77,YEAR(M77),"")</f>
        <v/>
      </c>
      <c r="AA77" s="191" t="str">
        <f>IF(AF77,MONTH(N77),"")</f>
        <v/>
      </c>
      <c r="AB77" s="191" t="str">
        <f>IF(AF77,YEAR(N77),"")</f>
        <v/>
      </c>
      <c r="AC77" s="193" t="str">
        <f>CONCATENATE(Y77,Z77)</f>
        <v/>
      </c>
      <c r="AD77" s="194" t="str">
        <f>CONCATENATE(AA77,AB77)</f>
        <v/>
      </c>
      <c r="AE77" s="195">
        <f>IF(M77="CBU","",IF(M77="CNR","",IF(K77="Code Out","",MIN(M77,N77))))</f>
        <v>43541</v>
      </c>
      <c r="AF77" s="196" t="b">
        <f>--(ISNUMBER(SEARCH("lab",P77)))
=--(ISNUMBER(SEARCH("fred",A69)))</f>
        <v>0</v>
      </c>
      <c r="AG77" s="199" t="b">
        <f>IF(AE77&lt;$J$4,TRUE,FALSE)</f>
        <v>0</v>
      </c>
      <c r="AH77" s="192">
        <f ca="1">IF(K77="CBU","",IF(K77="CNR","",IF(K77="Code Out","",SUM(M77-$U$1))))</f>
        <v>261.56816122685268</v>
      </c>
      <c r="AI77" s="192">
        <f>COUNTIF(O77,"Del")</f>
        <v>0</v>
      </c>
      <c r="AJ77" s="192">
        <f>COUNTIF(P77,"*at lab*")</f>
        <v>1</v>
      </c>
      <c r="AK77" s="200">
        <f>SUM(AI77:AJ77)</f>
        <v>1</v>
      </c>
    </row>
    <row r="78" spans="1:37" s="75" customFormat="1" ht="25.5" x14ac:dyDescent="0.2">
      <c r="A78" s="207" t="s">
        <v>849</v>
      </c>
      <c r="B78" s="315" t="s">
        <v>846</v>
      </c>
      <c r="C78" s="309"/>
      <c r="D78" s="309" t="s">
        <v>855</v>
      </c>
      <c r="E78" s="309"/>
      <c r="F78" s="309" t="s">
        <v>847</v>
      </c>
      <c r="G78" s="309"/>
      <c r="H78" s="309" t="s">
        <v>855</v>
      </c>
      <c r="I78" s="309" t="s">
        <v>848</v>
      </c>
      <c r="J78" s="312">
        <v>6695015908393</v>
      </c>
      <c r="K78" s="299">
        <v>43175</v>
      </c>
      <c r="L78" s="310">
        <v>480</v>
      </c>
      <c r="M78" s="202">
        <f>IF(K78="cnr","CNR",IF(K78="CBU", "CBU",IF(K78="Code Out","Code Out",K78+L78)))</f>
        <v>43655</v>
      </c>
      <c r="N78" s="203">
        <f>M78</f>
        <v>43655</v>
      </c>
      <c r="O78" s="206" t="str">
        <f ca="1">IF(AJ78=1,"",IF(AH78&lt;1,"DEL",""))</f>
        <v/>
      </c>
      <c r="P78" s="299"/>
      <c r="Q78" s="313"/>
      <c r="R78" s="313"/>
      <c r="S78" s="313" t="s">
        <v>398</v>
      </c>
      <c r="T78" s="313"/>
      <c r="U78" s="298" t="s">
        <v>1533</v>
      </c>
      <c r="V78" s="314" t="s">
        <v>369</v>
      </c>
      <c r="W78" s="173"/>
      <c r="X78" s="139"/>
      <c r="Y78" s="191">
        <f>IF(AF78,MONTH(M78),"")</f>
        <v>7</v>
      </c>
      <c r="Z78" s="192">
        <f>IF(AF78,YEAR(M78),"")</f>
        <v>2019</v>
      </c>
      <c r="AA78" s="191">
        <f>IF(AF78,MONTH(N78),"")</f>
        <v>7</v>
      </c>
      <c r="AB78" s="191">
        <f>IF(AF78,YEAR(N78),"")</f>
        <v>2019</v>
      </c>
      <c r="AC78" s="193" t="str">
        <f>CONCATENATE(Y78,Z78)</f>
        <v>72019</v>
      </c>
      <c r="AD78" s="194" t="str">
        <f>CONCATENATE(AA78,AB78)</f>
        <v>72019</v>
      </c>
      <c r="AE78" s="195">
        <f>IF(M78="CBU","",IF(M78="CNR","",IF(K78="Code Out","",MIN(M78,N78))))</f>
        <v>43655</v>
      </c>
      <c r="AF78" s="196" t="b">
        <f>--(ISNUMBER(SEARCH("lab",P78)))
=--(ISNUMBER(SEARCH("fred",A70)))</f>
        <v>1</v>
      </c>
      <c r="AG78" s="199" t="b">
        <f>IF(AE78&lt;$J$4,TRUE,FALSE)</f>
        <v>0</v>
      </c>
      <c r="AH78" s="192">
        <f ca="1">IF(K78="CBU","",IF(K78="CNR","",IF(K78="Code Out","",SUM(M78-$U$1))))</f>
        <v>375.56816122685268</v>
      </c>
      <c r="AI78" s="192">
        <f ca="1">COUNTIF(O78,"Del")</f>
        <v>0</v>
      </c>
      <c r="AJ78" s="192">
        <f>COUNTIF(P78,"*at lab*")</f>
        <v>0</v>
      </c>
      <c r="AK78" s="200">
        <f ca="1">SUM(AI78:AJ78)</f>
        <v>0</v>
      </c>
    </row>
    <row r="79" spans="1:37" s="75" customFormat="1" x14ac:dyDescent="0.2">
      <c r="A79" s="207" t="s">
        <v>898</v>
      </c>
      <c r="B79" s="315" t="s">
        <v>899</v>
      </c>
      <c r="C79" s="309"/>
      <c r="D79" s="309" t="s">
        <v>974</v>
      </c>
      <c r="E79" s="309"/>
      <c r="F79" s="309" t="s">
        <v>405</v>
      </c>
      <c r="G79" s="309"/>
      <c r="H79" s="309"/>
      <c r="I79" s="311" t="s">
        <v>1394</v>
      </c>
      <c r="J79" s="312">
        <v>6695013253391</v>
      </c>
      <c r="K79" s="299">
        <v>42305</v>
      </c>
      <c r="L79" s="310">
        <v>1080</v>
      </c>
      <c r="M79" s="202">
        <f>IF(K79="cnr","CNR",IF(K79="CBU", "CBU",IF(K79="Code Out","Code Out",K79+L79)))</f>
        <v>43385</v>
      </c>
      <c r="N79" s="203">
        <f>M79</f>
        <v>43385</v>
      </c>
      <c r="O79" s="206" t="str">
        <f>IF(AJ79=1,"",IF(AH79&lt;1,"DEL",""))</f>
        <v/>
      </c>
      <c r="P79" s="299" t="s">
        <v>1551</v>
      </c>
      <c r="Q79" s="313"/>
      <c r="R79" s="313" t="s">
        <v>398</v>
      </c>
      <c r="S79" s="313"/>
      <c r="T79" s="313"/>
      <c r="U79" s="318" t="s">
        <v>1502</v>
      </c>
      <c r="V79" s="320" t="s">
        <v>1366</v>
      </c>
      <c r="W79" s="305"/>
      <c r="X79" s="304"/>
      <c r="Y79" s="197" t="str">
        <f>IF(AF79,MONTH(M79),"")</f>
        <v/>
      </c>
      <c r="Z79" s="198" t="str">
        <f>IF(AF79,YEAR(M79),"")</f>
        <v/>
      </c>
      <c r="AA79" s="191" t="str">
        <f>IF(AF79,MONTH(N79),"")</f>
        <v/>
      </c>
      <c r="AB79" s="191" t="str">
        <f>IF(AF79,YEAR(N79),"")</f>
        <v/>
      </c>
      <c r="AC79" s="193" t="str">
        <f>CONCATENATE(Y79,Z79)</f>
        <v/>
      </c>
      <c r="AD79" s="194" t="str">
        <f>CONCATENATE(AA79,AB79)</f>
        <v/>
      </c>
      <c r="AE79" s="195">
        <f>IF(M79="CBU","",IF(M79="CNR","",IF(K79="Code Out","",MIN(M79,N79))))</f>
        <v>43385</v>
      </c>
      <c r="AF79" s="196" t="b">
        <f>--(ISNUMBER(SEARCH("lab",P79)))
=--(ISNUMBER(SEARCH("fred",A71)))</f>
        <v>0</v>
      </c>
      <c r="AG79" s="199" t="b">
        <f>IF(AE79&lt;$J$4,TRUE,FALSE)</f>
        <v>0</v>
      </c>
      <c r="AH79" s="192">
        <f ca="1">IF(K79="CBU","",IF(K79="CNR","",IF(K79="Code Out","",SUM(M79-$U$1))))</f>
        <v>105.56816122685268</v>
      </c>
      <c r="AI79" s="192">
        <f>COUNTIF(O79,"Del")</f>
        <v>0</v>
      </c>
      <c r="AJ79" s="192">
        <f>COUNTIF(P79,"*at lab*")</f>
        <v>1</v>
      </c>
      <c r="AK79" s="200">
        <f>SUM(AI79:AJ79)</f>
        <v>1</v>
      </c>
    </row>
    <row r="80" spans="1:37" s="75" customFormat="1" ht="25.5" x14ac:dyDescent="0.2">
      <c r="A80" s="207" t="s">
        <v>900</v>
      </c>
      <c r="B80" s="315"/>
      <c r="C80" s="309"/>
      <c r="D80" s="309" t="s">
        <v>984</v>
      </c>
      <c r="E80" s="309"/>
      <c r="F80" s="309" t="s">
        <v>251</v>
      </c>
      <c r="G80" s="309"/>
      <c r="H80" s="309" t="s">
        <v>984</v>
      </c>
      <c r="I80" s="309" t="s">
        <v>638</v>
      </c>
      <c r="J80" s="312">
        <v>670014074073</v>
      </c>
      <c r="K80" s="299">
        <v>43145</v>
      </c>
      <c r="L80" s="310">
        <v>840</v>
      </c>
      <c r="M80" s="202">
        <f>IF(K80="cnr","CNR",IF(K80="CBU", "CBU",IF(K80="Code Out","Code Out",K80+L80)))</f>
        <v>43985</v>
      </c>
      <c r="N80" s="203">
        <f>M80</f>
        <v>43985</v>
      </c>
      <c r="O80" s="206" t="str">
        <f ca="1">IF(AJ80=1,"",IF(AH80&lt;1,"DEL",""))</f>
        <v/>
      </c>
      <c r="P80" s="299"/>
      <c r="Q80" s="313"/>
      <c r="R80" s="313"/>
      <c r="S80" s="313" t="s">
        <v>398</v>
      </c>
      <c r="T80" s="313"/>
      <c r="U80" s="318" t="s">
        <v>1526</v>
      </c>
      <c r="V80" s="320" t="s">
        <v>901</v>
      </c>
      <c r="W80" s="172"/>
      <c r="X80" s="137"/>
      <c r="Y80" s="191">
        <f>IF(AF80,MONTH(M80),"")</f>
        <v>6</v>
      </c>
      <c r="Z80" s="192">
        <f>IF(AF80,YEAR(M80),"")</f>
        <v>2020</v>
      </c>
      <c r="AA80" s="191">
        <f>IF(AF80,MONTH(N80),"")</f>
        <v>6</v>
      </c>
      <c r="AB80" s="191">
        <f>IF(AF80,YEAR(N80),"")</f>
        <v>2020</v>
      </c>
      <c r="AC80" s="193" t="str">
        <f>CONCATENATE(Y80,Z80)</f>
        <v>62020</v>
      </c>
      <c r="AD80" s="194" t="str">
        <f>CONCATENATE(AA80,AB80)</f>
        <v>62020</v>
      </c>
      <c r="AE80" s="195">
        <f>IF(M80="CBU","",IF(M80="CNR","",IF(K80="Code Out","",MIN(M80,N80))))</f>
        <v>43985</v>
      </c>
      <c r="AF80" s="196" t="b">
        <f>--(ISNUMBER(SEARCH("lab",P80)))
=--(ISNUMBER(SEARCH("fred",A72)))</f>
        <v>1</v>
      </c>
      <c r="AG80" s="199" t="b">
        <f>IF(AE80&lt;$J$4,TRUE,FALSE)</f>
        <v>0</v>
      </c>
      <c r="AH80" s="192">
        <f ca="1">IF(K80="CBU","",IF(K80="CNR","",IF(K80="Code Out","",SUM(M80-$U$1))))</f>
        <v>705.56816122685268</v>
      </c>
      <c r="AI80" s="192">
        <f ca="1">COUNTIF(O80,"Del")</f>
        <v>0</v>
      </c>
      <c r="AJ80" s="192">
        <f>COUNTIF(P80,"*at lab*")</f>
        <v>0</v>
      </c>
      <c r="AK80" s="200">
        <f ca="1">SUM(AI80:AJ80)</f>
        <v>0</v>
      </c>
    </row>
    <row r="81" spans="1:37" s="75" customFormat="1" ht="25.5" x14ac:dyDescent="0.2">
      <c r="A81" s="207" t="s">
        <v>826</v>
      </c>
      <c r="B81" s="315" t="s">
        <v>827</v>
      </c>
      <c r="C81" s="309"/>
      <c r="D81" s="309"/>
      <c r="E81" s="309"/>
      <c r="F81" s="309" t="s">
        <v>405</v>
      </c>
      <c r="G81" s="309"/>
      <c r="H81" s="309"/>
      <c r="I81" s="311" t="s">
        <v>1394</v>
      </c>
      <c r="J81" s="312"/>
      <c r="K81" s="299">
        <v>42305</v>
      </c>
      <c r="L81" s="310">
        <v>1080</v>
      </c>
      <c r="M81" s="202">
        <f>IF(K81="cnr","CNR",IF(K81="CBU", "CBU",IF(K81="Code Out","Code Out",K81+L81)))</f>
        <v>43385</v>
      </c>
      <c r="N81" s="203">
        <f>M81</f>
        <v>43385</v>
      </c>
      <c r="O81" s="206" t="str">
        <f ca="1">IF(AJ81=1,"",IF(AH81&lt;1,"DEL",""))</f>
        <v/>
      </c>
      <c r="P81" s="317"/>
      <c r="Q81" s="313"/>
      <c r="R81" s="313"/>
      <c r="S81" s="313" t="s">
        <v>1370</v>
      </c>
      <c r="T81" s="313"/>
      <c r="U81" s="325" t="s">
        <v>1356</v>
      </c>
      <c r="V81" s="320" t="s">
        <v>373</v>
      </c>
      <c r="W81" s="172"/>
      <c r="X81" s="137"/>
      <c r="Y81" s="191">
        <f>IF(AF81,MONTH(M81),"")</f>
        <v>10</v>
      </c>
      <c r="Z81" s="192">
        <f>IF(AF81,YEAR(M81),"")</f>
        <v>2018</v>
      </c>
      <c r="AA81" s="191">
        <f>IF(AF81,MONTH(N81),"")</f>
        <v>10</v>
      </c>
      <c r="AB81" s="191">
        <f>IF(AF81,YEAR(N81),"")</f>
        <v>2018</v>
      </c>
      <c r="AC81" s="193" t="str">
        <f>CONCATENATE(Y81,Z81)</f>
        <v>102018</v>
      </c>
      <c r="AD81" s="194" t="str">
        <f>CONCATENATE(AA81,AB81)</f>
        <v>102018</v>
      </c>
      <c r="AE81" s="195">
        <f>IF(M81="CBU","",IF(M81="CNR","",IF(K81="Code Out","",MIN(M81,N81))))</f>
        <v>43385</v>
      </c>
      <c r="AF81" s="196" t="b">
        <f>--(ISNUMBER(SEARCH("lab",P81)))
=--(ISNUMBER(SEARCH("fred",A73)))</f>
        <v>1</v>
      </c>
      <c r="AG81" s="199" t="b">
        <f>IF(AE81&lt;$J$4,TRUE,FALSE)</f>
        <v>0</v>
      </c>
      <c r="AH81" s="192">
        <f ca="1">IF(K81="CBU","",IF(K81="CNR","",IF(K81="Code Out","",SUM(M81-$U$1))))</f>
        <v>105.56816122685268</v>
      </c>
      <c r="AI81" s="192">
        <f ca="1">COUNTIF(O81,"Del")</f>
        <v>0</v>
      </c>
      <c r="AJ81" s="192">
        <f>COUNTIF(P81,"*at lab*")</f>
        <v>0</v>
      </c>
      <c r="AK81" s="200">
        <f ca="1">SUM(AI81:AJ81)</f>
        <v>0</v>
      </c>
    </row>
    <row r="82" spans="1:37" s="75" customFormat="1" ht="25.5" x14ac:dyDescent="0.2">
      <c r="A82" s="207" t="s">
        <v>811</v>
      </c>
      <c r="B82" s="315" t="s">
        <v>806</v>
      </c>
      <c r="C82" s="309"/>
      <c r="D82" s="309" t="s">
        <v>855</v>
      </c>
      <c r="E82" s="309"/>
      <c r="F82" s="309" t="s">
        <v>807</v>
      </c>
      <c r="G82" s="309"/>
      <c r="H82" s="309" t="s">
        <v>855</v>
      </c>
      <c r="I82" s="309" t="s">
        <v>808</v>
      </c>
      <c r="J82" s="312">
        <v>6685013288051</v>
      </c>
      <c r="K82" s="299" t="s">
        <v>138</v>
      </c>
      <c r="L82" s="310" t="s">
        <v>138</v>
      </c>
      <c r="M82" s="202" t="str">
        <f>IF(K82="cnr","CNR",IF(K82="CBU", "CBU",IF(K82="Code Out","Code Out",K82+L82)))</f>
        <v>CNR</v>
      </c>
      <c r="N82" s="203" t="str">
        <f>M82</f>
        <v>CNR</v>
      </c>
      <c r="O82" s="206" t="str">
        <f>IF(AJ82=1,"",IF(AH82&lt;1,"DEL",""))</f>
        <v/>
      </c>
      <c r="P82" s="317"/>
      <c r="Q82" s="313"/>
      <c r="R82" s="313"/>
      <c r="S82" s="313" t="s">
        <v>398</v>
      </c>
      <c r="T82" s="313"/>
      <c r="U82" s="318" t="s">
        <v>962</v>
      </c>
      <c r="V82" s="320" t="s">
        <v>809</v>
      </c>
      <c r="W82" s="172"/>
      <c r="X82" s="137"/>
      <c r="Y82" s="197" t="e">
        <f>IF(AF82,MONTH(M82),"")</f>
        <v>#VALUE!</v>
      </c>
      <c r="Z82" s="198" t="e">
        <f>IF(AF82,YEAR(M82),"")</f>
        <v>#VALUE!</v>
      </c>
      <c r="AA82" s="191" t="e">
        <f>IF(AF82,MONTH(N82),"")</f>
        <v>#VALUE!</v>
      </c>
      <c r="AB82" s="191" t="e">
        <f>IF(AF82,YEAR(N82),"")</f>
        <v>#VALUE!</v>
      </c>
      <c r="AC82" s="193" t="e">
        <f>CONCATENATE(Y82,Z82)</f>
        <v>#VALUE!</v>
      </c>
      <c r="AD82" s="194" t="e">
        <f>CONCATENATE(AA82,AB82)</f>
        <v>#VALUE!</v>
      </c>
      <c r="AE82" s="195" t="str">
        <f>IF(M82="CBU","",IF(M82="CNR","",IF(K82="Code Out","",MIN(M82,N82))))</f>
        <v/>
      </c>
      <c r="AF82" s="196" t="b">
        <f>--(ISNUMBER(SEARCH("lab",P82)))
=--(ISNUMBER(SEARCH("fred",A74)))</f>
        <v>1</v>
      </c>
      <c r="AG82" s="199" t="b">
        <f>IF(AE82&lt;$J$4,TRUE,FALSE)</f>
        <v>0</v>
      </c>
      <c r="AH82" s="192" t="str">
        <f>IF(K82="CBU","",IF(K82="CNR","",IF(K82="Code Out","",SUM(M82-$U$1))))</f>
        <v/>
      </c>
      <c r="AI82" s="192">
        <f>COUNTIF(O82,"Del")</f>
        <v>0</v>
      </c>
      <c r="AJ82" s="192">
        <f>COUNTIF(P82,"*at lab*")</f>
        <v>0</v>
      </c>
      <c r="AK82" s="200">
        <f>SUM(AI82:AJ82)</f>
        <v>0</v>
      </c>
    </row>
    <row r="83" spans="1:37" s="75" customFormat="1" ht="25.5" x14ac:dyDescent="0.2">
      <c r="A83" s="207" t="s">
        <v>816</v>
      </c>
      <c r="B83" s="315" t="s">
        <v>817</v>
      </c>
      <c r="C83" s="309"/>
      <c r="D83" s="309" t="s">
        <v>1346</v>
      </c>
      <c r="E83" s="309"/>
      <c r="F83" s="309" t="s">
        <v>818</v>
      </c>
      <c r="G83" s="309"/>
      <c r="H83" s="309" t="s">
        <v>979</v>
      </c>
      <c r="I83" s="309" t="s">
        <v>819</v>
      </c>
      <c r="J83" s="309" t="s">
        <v>927</v>
      </c>
      <c r="K83" s="299">
        <v>42696</v>
      </c>
      <c r="L83" s="310">
        <v>720</v>
      </c>
      <c r="M83" s="202">
        <f>IF(K83="cnr","CNR",IF(K83="CBU", "CBU",IF(K83="Code Out","Code Out",K83+L83)))</f>
        <v>43416</v>
      </c>
      <c r="N83" s="203">
        <f>M83</f>
        <v>43416</v>
      </c>
      <c r="O83" s="206" t="str">
        <f ca="1">IF(AJ83=1,"",IF(AH83&lt;1,"DEL",""))</f>
        <v/>
      </c>
      <c r="P83" s="317"/>
      <c r="Q83" s="313"/>
      <c r="R83" s="313"/>
      <c r="S83" s="313" t="s">
        <v>398</v>
      </c>
      <c r="T83" s="313"/>
      <c r="U83" s="326" t="s">
        <v>1441</v>
      </c>
      <c r="V83" s="320" t="s">
        <v>1364</v>
      </c>
      <c r="W83" s="171"/>
      <c r="X83" s="140"/>
      <c r="Y83" s="197">
        <f>IF(AF83,MONTH(M83),"")</f>
        <v>11</v>
      </c>
      <c r="Z83" s="198">
        <f>IF(AF83,YEAR(M83),"")</f>
        <v>2018</v>
      </c>
      <c r="AA83" s="191">
        <f>IF(AF83,MONTH(N83),"")</f>
        <v>11</v>
      </c>
      <c r="AB83" s="191">
        <f>IF(AF83,YEAR(N83),"")</f>
        <v>2018</v>
      </c>
      <c r="AC83" s="193" t="str">
        <f>CONCATENATE(Y83,Z83)</f>
        <v>112018</v>
      </c>
      <c r="AD83" s="194" t="str">
        <f>CONCATENATE(AA83,AB83)</f>
        <v>112018</v>
      </c>
      <c r="AE83" s="195">
        <f>IF(M83="CBU","",IF(M83="CNR","",IF(K83="Code Out","",MIN(M83,N83))))</f>
        <v>43416</v>
      </c>
      <c r="AF83" s="196" t="b">
        <f>--(ISNUMBER(SEARCH("lab",P83)))
=--(ISNUMBER(SEARCH("fred",A75)))</f>
        <v>1</v>
      </c>
      <c r="AG83" s="199" t="b">
        <f>IF(AE83&lt;$J$4,TRUE,FALSE)</f>
        <v>0</v>
      </c>
      <c r="AH83" s="192">
        <f ca="1">IF(K83="CBU","",IF(K83="CNR","",IF(K83="Code Out","",SUM(M83-$U$1))))</f>
        <v>136.56816122685268</v>
      </c>
      <c r="AI83" s="192">
        <f ca="1">COUNTIF(O83,"Del")</f>
        <v>0</v>
      </c>
      <c r="AJ83" s="192">
        <f>COUNTIF(P83,"*at lab*")</f>
        <v>0</v>
      </c>
      <c r="AK83" s="200">
        <f ca="1">SUM(AI83:AJ83)</f>
        <v>0</v>
      </c>
    </row>
    <row r="84" spans="1:37" s="75" customFormat="1" ht="25.5" x14ac:dyDescent="0.2">
      <c r="A84" s="207" t="s">
        <v>820</v>
      </c>
      <c r="B84" s="315" t="s">
        <v>821</v>
      </c>
      <c r="C84" s="309"/>
      <c r="D84" s="309" t="s">
        <v>1346</v>
      </c>
      <c r="E84" s="309"/>
      <c r="F84" s="309" t="s">
        <v>818</v>
      </c>
      <c r="G84" s="309"/>
      <c r="H84" s="309" t="s">
        <v>979</v>
      </c>
      <c r="I84" s="309" t="s">
        <v>819</v>
      </c>
      <c r="J84" s="309" t="s">
        <v>927</v>
      </c>
      <c r="K84" s="299">
        <v>42696</v>
      </c>
      <c r="L84" s="310">
        <v>720</v>
      </c>
      <c r="M84" s="202">
        <f>IF(K84="cnr","CNR",IF(K84="CBU", "CBU",IF(K84="Code Out","Code Out",K84+L84)))</f>
        <v>43416</v>
      </c>
      <c r="N84" s="203">
        <f>M84</f>
        <v>43416</v>
      </c>
      <c r="O84" s="206" t="str">
        <f ca="1">IF(AJ84=1,"",IF(AH84&lt;1,"DEL",""))</f>
        <v/>
      </c>
      <c r="P84" s="317"/>
      <c r="Q84" s="313"/>
      <c r="R84" s="313"/>
      <c r="S84" s="313" t="s">
        <v>398</v>
      </c>
      <c r="T84" s="313"/>
      <c r="U84" s="326" t="s">
        <v>1441</v>
      </c>
      <c r="V84" s="320" t="s">
        <v>1364</v>
      </c>
      <c r="W84" s="172"/>
      <c r="X84" s="137"/>
      <c r="Y84" s="191">
        <f>IF(AF84,MONTH(M84),"")</f>
        <v>11</v>
      </c>
      <c r="Z84" s="192">
        <f>IF(AF84,YEAR(M84),"")</f>
        <v>2018</v>
      </c>
      <c r="AA84" s="191">
        <f>IF(AF84,MONTH(N84),"")</f>
        <v>11</v>
      </c>
      <c r="AB84" s="191">
        <f>IF(AF84,YEAR(N84),"")</f>
        <v>2018</v>
      </c>
      <c r="AC84" s="193" t="str">
        <f>CONCATENATE(Y84,Z84)</f>
        <v>112018</v>
      </c>
      <c r="AD84" s="194" t="str">
        <f>CONCATENATE(AA84,AB84)</f>
        <v>112018</v>
      </c>
      <c r="AE84" s="195">
        <f>IF(M84="CBU","",IF(M84="CNR","",IF(K84="Code Out","",MIN(M84,N84))))</f>
        <v>43416</v>
      </c>
      <c r="AF84" s="196" t="b">
        <f>--(ISNUMBER(SEARCH("lab",P84)))
=--(ISNUMBER(SEARCH("fred",A76)))</f>
        <v>1</v>
      </c>
      <c r="AG84" s="199" t="b">
        <f>IF(AE84&lt;$J$4,TRUE,FALSE)</f>
        <v>0</v>
      </c>
      <c r="AH84" s="192">
        <f ca="1">IF(K84="CBU","",IF(K84="CNR","",IF(K84="Code Out","",SUM(M84-$U$1))))</f>
        <v>136.56816122685268</v>
      </c>
      <c r="AI84" s="192">
        <f ca="1">COUNTIF(O84,"Del")</f>
        <v>0</v>
      </c>
      <c r="AJ84" s="192">
        <f>COUNTIF(P84,"*at lab*")</f>
        <v>0</v>
      </c>
      <c r="AK84" s="200">
        <f ca="1">SUM(AI84:AJ84)</f>
        <v>0</v>
      </c>
    </row>
    <row r="85" spans="1:37" s="75" customFormat="1" ht="25.5" x14ac:dyDescent="0.2">
      <c r="A85" s="207" t="s">
        <v>769</v>
      </c>
      <c r="B85" s="315" t="s">
        <v>768</v>
      </c>
      <c r="C85" s="309" t="s">
        <v>522</v>
      </c>
      <c r="D85" s="309" t="s">
        <v>870</v>
      </c>
      <c r="E85" s="309"/>
      <c r="F85" s="309" t="s">
        <v>140</v>
      </c>
      <c r="G85" s="309"/>
      <c r="H85" s="309" t="s">
        <v>870</v>
      </c>
      <c r="I85" s="309" t="s">
        <v>179</v>
      </c>
      <c r="J85" s="312">
        <v>6130005426385</v>
      </c>
      <c r="K85" s="299" t="s">
        <v>138</v>
      </c>
      <c r="L85" s="310" t="s">
        <v>138</v>
      </c>
      <c r="M85" s="202" t="str">
        <f>IF(K85="cnr","CNR",IF(K85="CBU", "CBU",IF(K85="Code Out","Code Out",K85+L85)))</f>
        <v>CNR</v>
      </c>
      <c r="N85" s="203" t="str">
        <f>M85</f>
        <v>CNR</v>
      </c>
      <c r="O85" s="206" t="str">
        <f>IF(AJ85=1,"",IF(AH85&lt;1,"DEL",""))</f>
        <v/>
      </c>
      <c r="P85" s="317"/>
      <c r="Q85" s="313"/>
      <c r="R85" s="313"/>
      <c r="S85" s="313" t="s">
        <v>398</v>
      </c>
      <c r="T85" s="313"/>
      <c r="U85" s="318"/>
      <c r="V85" s="320" t="s">
        <v>367</v>
      </c>
      <c r="W85" s="171"/>
      <c r="X85" s="140"/>
      <c r="Y85" s="197" t="e">
        <f>IF(AF85,MONTH(M85),"")</f>
        <v>#VALUE!</v>
      </c>
      <c r="Z85" s="198" t="e">
        <f>IF(AF85,YEAR(M85),"")</f>
        <v>#VALUE!</v>
      </c>
      <c r="AA85" s="191" t="e">
        <f>IF(AF85,MONTH(N85),"")</f>
        <v>#VALUE!</v>
      </c>
      <c r="AB85" s="191" t="e">
        <f>IF(AF85,YEAR(N85),"")</f>
        <v>#VALUE!</v>
      </c>
      <c r="AC85" s="193" t="e">
        <f>CONCATENATE(Y85,Z85)</f>
        <v>#VALUE!</v>
      </c>
      <c r="AD85" s="194" t="e">
        <f>CONCATENATE(AA85,AB85)</f>
        <v>#VALUE!</v>
      </c>
      <c r="AE85" s="195" t="str">
        <f>IF(M85="CBU","",IF(M85="CNR","",IF(K85="Code Out","",MIN(M85,N85))))</f>
        <v/>
      </c>
      <c r="AF85" s="196" t="b">
        <f>--(ISNUMBER(SEARCH("lab",P85)))
=--(ISNUMBER(SEARCH("fred",A77)))</f>
        <v>1</v>
      </c>
      <c r="AG85" s="199" t="b">
        <f>IF(AE85&lt;$J$4,TRUE,FALSE)</f>
        <v>0</v>
      </c>
      <c r="AH85" s="192" t="str">
        <f>IF(K85="CBU","",IF(K85="CNR","",IF(K85="Code Out","",SUM(M85-$U$1))))</f>
        <v/>
      </c>
      <c r="AI85" s="192">
        <f>COUNTIF(O85,"Del")</f>
        <v>0</v>
      </c>
      <c r="AJ85" s="192">
        <f>COUNTIF(P85,"*at lab*")</f>
        <v>0</v>
      </c>
      <c r="AK85" s="200">
        <f>SUM(AI85:AJ85)</f>
        <v>0</v>
      </c>
    </row>
    <row r="86" spans="1:37" s="75" customFormat="1" ht="25.5" x14ac:dyDescent="0.2">
      <c r="A86" s="207" t="s">
        <v>766</v>
      </c>
      <c r="B86" s="315" t="s">
        <v>760</v>
      </c>
      <c r="C86" s="309" t="s">
        <v>761</v>
      </c>
      <c r="D86" s="309" t="s">
        <v>855</v>
      </c>
      <c r="E86" s="309"/>
      <c r="F86" s="309" t="s">
        <v>1352</v>
      </c>
      <c r="G86" s="309"/>
      <c r="H86" s="309" t="s">
        <v>855</v>
      </c>
      <c r="I86" s="309" t="s">
        <v>762</v>
      </c>
      <c r="J86" s="312">
        <v>6625012740836</v>
      </c>
      <c r="K86" s="299" t="s">
        <v>138</v>
      </c>
      <c r="L86" s="310" t="s">
        <v>138</v>
      </c>
      <c r="M86" s="202" t="str">
        <f>IF(K86="cnr","CNR",IF(K86="CBU", "CBU",IF(K86="Code Out","Code Out",K86+L86)))</f>
        <v>CNR</v>
      </c>
      <c r="N86" s="203" t="str">
        <f>M86</f>
        <v>CNR</v>
      </c>
      <c r="O86" s="206" t="str">
        <f>IF(AJ86=1,"",IF(AH86&lt;1,"DEL",""))</f>
        <v/>
      </c>
      <c r="P86" s="317"/>
      <c r="Q86" s="313"/>
      <c r="R86" s="313"/>
      <c r="S86" s="313" t="s">
        <v>398</v>
      </c>
      <c r="T86" s="313"/>
      <c r="U86" s="318" t="s">
        <v>767</v>
      </c>
      <c r="V86" s="320" t="s">
        <v>367</v>
      </c>
      <c r="W86" s="172"/>
      <c r="X86" s="137"/>
      <c r="Y86" s="197" t="e">
        <f>IF(AF86,MONTH(M86),"")</f>
        <v>#VALUE!</v>
      </c>
      <c r="Z86" s="198" t="e">
        <f>IF(AF86,YEAR(M86),"")</f>
        <v>#VALUE!</v>
      </c>
      <c r="AA86" s="191" t="e">
        <f>IF(AF86,MONTH(N86),"")</f>
        <v>#VALUE!</v>
      </c>
      <c r="AB86" s="191" t="e">
        <f>IF(AF86,YEAR(N86),"")</f>
        <v>#VALUE!</v>
      </c>
      <c r="AC86" s="193" t="e">
        <f>CONCATENATE(Y86,Z86)</f>
        <v>#VALUE!</v>
      </c>
      <c r="AD86" s="194" t="e">
        <f>CONCATENATE(AA86,AB86)</f>
        <v>#VALUE!</v>
      </c>
      <c r="AE86" s="195" t="str">
        <f>IF(M86="CBU","",IF(M86="CNR","",IF(K86="Code Out","",MIN(M86,N86))))</f>
        <v/>
      </c>
      <c r="AF86" s="196" t="b">
        <f>--(ISNUMBER(SEARCH("lab",P86)))
=--(ISNUMBER(SEARCH("fred",A78)))</f>
        <v>1</v>
      </c>
      <c r="AG86" s="199" t="b">
        <f>IF(AE86&lt;$J$4,TRUE,FALSE)</f>
        <v>0</v>
      </c>
      <c r="AH86" s="192" t="str">
        <f>IF(K86="CBU","",IF(K86="CNR","",IF(K86="Code Out","",SUM(M86-$U$1))))</f>
        <v/>
      </c>
      <c r="AI86" s="192">
        <f>COUNTIF(O86,"Del")</f>
        <v>0</v>
      </c>
      <c r="AJ86" s="192">
        <f>COUNTIF(P86,"*at lab*")</f>
        <v>0</v>
      </c>
      <c r="AK86" s="200">
        <f>SUM(AI86:AJ86)</f>
        <v>0</v>
      </c>
    </row>
    <row r="87" spans="1:37" s="75" customFormat="1" ht="38.25" x14ac:dyDescent="0.2">
      <c r="A87" s="207" t="s">
        <v>733</v>
      </c>
      <c r="B87" s="309" t="s">
        <v>734</v>
      </c>
      <c r="C87" s="309"/>
      <c r="D87" s="309" t="s">
        <v>984</v>
      </c>
      <c r="E87" s="309"/>
      <c r="F87" s="309" t="s">
        <v>251</v>
      </c>
      <c r="G87" s="309"/>
      <c r="H87" s="309" t="s">
        <v>984</v>
      </c>
      <c r="I87" s="309" t="s">
        <v>638</v>
      </c>
      <c r="J87" s="312">
        <v>6670014074073</v>
      </c>
      <c r="K87" s="299">
        <v>42408</v>
      </c>
      <c r="L87" s="310">
        <v>840</v>
      </c>
      <c r="M87" s="202">
        <f>IF(K87="cnr","CNR",IF(K87="CBU", "CBU",IF(K87="Code Out","Code Out",K87+L87)))</f>
        <v>43248</v>
      </c>
      <c r="N87" s="203">
        <f>M87</f>
        <v>43248</v>
      </c>
      <c r="O87" s="206" t="str">
        <f>IF(AJ87=1,"",IF(AH87&lt;1,"DEL",""))</f>
        <v/>
      </c>
      <c r="P87" s="299" t="s">
        <v>1551</v>
      </c>
      <c r="Q87" s="313"/>
      <c r="R87" s="313" t="s">
        <v>398</v>
      </c>
      <c r="S87" s="313"/>
      <c r="T87" s="313"/>
      <c r="U87" s="298" t="s">
        <v>1385</v>
      </c>
      <c r="V87" s="320" t="s">
        <v>737</v>
      </c>
      <c r="W87" s="305"/>
      <c r="X87" s="304"/>
      <c r="Y87" s="197" t="str">
        <f>IF(AF87,MONTH(M87),"")</f>
        <v/>
      </c>
      <c r="Z87" s="198" t="str">
        <f>IF(AF87,YEAR(M87),"")</f>
        <v/>
      </c>
      <c r="AA87" s="191" t="str">
        <f>IF(AF87,MONTH(N87),"")</f>
        <v/>
      </c>
      <c r="AB87" s="191" t="str">
        <f>IF(AF87,YEAR(N87),"")</f>
        <v/>
      </c>
      <c r="AC87" s="193" t="str">
        <f>CONCATENATE(Y87,Z87)</f>
        <v/>
      </c>
      <c r="AD87" s="194" t="str">
        <f>CONCATENATE(AA87,AB87)</f>
        <v/>
      </c>
      <c r="AE87" s="195">
        <f>IF(M87="CBU","",IF(M87="CNR","",IF(K87="Code Out","",MIN(M87,N87))))</f>
        <v>43248</v>
      </c>
      <c r="AF87" s="196" t="b">
        <f>--(ISNUMBER(SEARCH("lab",P87)))
=--(ISNUMBER(SEARCH("fred",A79)))</f>
        <v>0</v>
      </c>
      <c r="AG87" s="199" t="b">
        <f>IF(AE87&lt;$J$4,TRUE,FALSE)</f>
        <v>1</v>
      </c>
      <c r="AH87" s="192">
        <f ca="1">IF(K87="CBU","",IF(K87="CNR","",IF(K87="Code Out","",SUM(M87-$U$1))))</f>
        <v>-31.431838773147319</v>
      </c>
      <c r="AI87" s="192">
        <f>COUNTIF(O87,"Del")</f>
        <v>0</v>
      </c>
      <c r="AJ87" s="192">
        <f>COUNTIF(P87,"*at lab*")</f>
        <v>1</v>
      </c>
      <c r="AK87" s="200">
        <f>SUM(AI87:AJ87)</f>
        <v>1</v>
      </c>
    </row>
    <row r="88" spans="1:37" s="75" customFormat="1" ht="25.5" x14ac:dyDescent="0.2">
      <c r="A88" s="207" t="s">
        <v>640</v>
      </c>
      <c r="B88" s="315" t="s">
        <v>630</v>
      </c>
      <c r="C88" s="309"/>
      <c r="D88" s="309" t="s">
        <v>870</v>
      </c>
      <c r="E88" s="309"/>
      <c r="F88" s="309" t="s">
        <v>631</v>
      </c>
      <c r="G88" s="309"/>
      <c r="H88" s="309" t="s">
        <v>870</v>
      </c>
      <c r="I88" s="309" t="s">
        <v>98</v>
      </c>
      <c r="J88" s="312">
        <v>6625014091017</v>
      </c>
      <c r="K88" s="299">
        <v>42297</v>
      </c>
      <c r="L88" s="310">
        <v>1080</v>
      </c>
      <c r="M88" s="202">
        <f>IF(K88="cnr","CNR",IF(K88="CBU", "CBU",IF(K88="Code Out","Code Out",K88+L88)))</f>
        <v>43377</v>
      </c>
      <c r="N88" s="203">
        <f>M88</f>
        <v>43377</v>
      </c>
      <c r="O88" s="206" t="str">
        <f ca="1">IF(AJ88=1,"",IF(AH88&lt;1,"DEL",""))</f>
        <v/>
      </c>
      <c r="P88" s="317"/>
      <c r="Q88" s="313"/>
      <c r="R88" s="313"/>
      <c r="S88" s="313" t="s">
        <v>1370</v>
      </c>
      <c r="T88" s="313"/>
      <c r="U88" s="298" t="s">
        <v>1356</v>
      </c>
      <c r="V88" s="314" t="s">
        <v>373</v>
      </c>
      <c r="W88" s="173"/>
      <c r="X88" s="139"/>
      <c r="Y88" s="191">
        <f>IF(AF88,MONTH(M88),"")</f>
        <v>10</v>
      </c>
      <c r="Z88" s="192">
        <f>IF(AF88,YEAR(M88),"")</f>
        <v>2018</v>
      </c>
      <c r="AA88" s="191">
        <f>IF(AF88,MONTH(N88),"")</f>
        <v>10</v>
      </c>
      <c r="AB88" s="191">
        <f>IF(AF88,YEAR(N88),"")</f>
        <v>2018</v>
      </c>
      <c r="AC88" s="193" t="str">
        <f>CONCATENATE(Y88,Z88)</f>
        <v>102018</v>
      </c>
      <c r="AD88" s="194" t="str">
        <f>CONCATENATE(AA88,AB88)</f>
        <v>102018</v>
      </c>
      <c r="AE88" s="195">
        <f>IF(M88="CBU","",IF(M88="CNR","",IF(K88="Code Out","",MIN(M88,N88))))</f>
        <v>43377</v>
      </c>
      <c r="AF88" s="196" t="b">
        <f>--(ISNUMBER(SEARCH("lab",P88)))
=--(ISNUMBER(SEARCH("fred",A80)))</f>
        <v>1</v>
      </c>
      <c r="AG88" s="199" t="b">
        <f>IF(AE88&lt;$J$4,TRUE,FALSE)</f>
        <v>0</v>
      </c>
      <c r="AH88" s="192">
        <f ca="1">IF(K88="CBU","",IF(K88="CNR","",IF(K88="Code Out","",SUM(M88-$U$1))))</f>
        <v>97.568161226852681</v>
      </c>
      <c r="AI88" s="192">
        <f ca="1">COUNTIF(O88,"Del")</f>
        <v>0</v>
      </c>
      <c r="AJ88" s="192">
        <f>COUNTIF(P88,"*at lab*")</f>
        <v>0</v>
      </c>
      <c r="AK88" s="200">
        <f ca="1">SUM(AI88:AJ88)</f>
        <v>0</v>
      </c>
    </row>
    <row r="89" spans="1:37" s="75" customFormat="1" x14ac:dyDescent="0.2">
      <c r="A89" s="207" t="s">
        <v>641</v>
      </c>
      <c r="B89" s="315" t="s">
        <v>707</v>
      </c>
      <c r="C89" s="309"/>
      <c r="D89" s="309" t="s">
        <v>870</v>
      </c>
      <c r="E89" s="309"/>
      <c r="F89" s="309" t="s">
        <v>631</v>
      </c>
      <c r="G89" s="309"/>
      <c r="H89" s="309" t="s">
        <v>870</v>
      </c>
      <c r="I89" s="309" t="s">
        <v>98</v>
      </c>
      <c r="J89" s="312" t="s">
        <v>701</v>
      </c>
      <c r="K89" s="299">
        <v>42436</v>
      </c>
      <c r="L89" s="310">
        <v>1080</v>
      </c>
      <c r="M89" s="202">
        <f>IF(K89="cnr","CNR",IF(K89="CBU", "CBU",IF(K89="Code Out","Code Out",K89+L89)))</f>
        <v>43516</v>
      </c>
      <c r="N89" s="203">
        <f>M89</f>
        <v>43516</v>
      </c>
      <c r="O89" s="206" t="str">
        <f ca="1">IF(AJ89=1,"",IF(AH89&lt;1,"DEL",""))</f>
        <v/>
      </c>
      <c r="P89" s="317"/>
      <c r="Q89" s="313"/>
      <c r="R89" s="313"/>
      <c r="S89" s="313" t="s">
        <v>1370</v>
      </c>
      <c r="T89" s="313"/>
      <c r="U89" s="325" t="s">
        <v>1400</v>
      </c>
      <c r="V89" s="320" t="s">
        <v>369</v>
      </c>
      <c r="W89" s="305"/>
      <c r="X89" s="304"/>
      <c r="Y89" s="197">
        <f>IF(AF89,MONTH(M89),"")</f>
        <v>2</v>
      </c>
      <c r="Z89" s="198">
        <f>IF(AF89,YEAR(M89),"")</f>
        <v>2019</v>
      </c>
      <c r="AA89" s="191">
        <f>IF(AF89,MONTH(N89),"")</f>
        <v>2</v>
      </c>
      <c r="AB89" s="191">
        <f>IF(AF89,YEAR(N89),"")</f>
        <v>2019</v>
      </c>
      <c r="AC89" s="193" t="str">
        <f>CONCATENATE(Y89,Z89)</f>
        <v>22019</v>
      </c>
      <c r="AD89" s="194" t="str">
        <f>CONCATENATE(AA89,AB89)</f>
        <v>22019</v>
      </c>
      <c r="AE89" s="195">
        <f>IF(M89="CBU","",IF(M89="CNR","",IF(K89="Code Out","",MIN(M89,N89))))</f>
        <v>43516</v>
      </c>
      <c r="AF89" s="196" t="b">
        <f>--(ISNUMBER(SEARCH("lab",P89)))
=--(ISNUMBER(SEARCH("fred",A81)))</f>
        <v>1</v>
      </c>
      <c r="AG89" s="199" t="b">
        <f>IF(AE89&lt;$J$4,TRUE,FALSE)</f>
        <v>0</v>
      </c>
      <c r="AH89" s="192">
        <f ca="1">IF(K89="CBU","",IF(K89="CNR","",IF(K89="Code Out","",SUM(M89-$U$1))))</f>
        <v>236.56816122685268</v>
      </c>
      <c r="AI89" s="192">
        <f ca="1">COUNTIF(O89,"Del")</f>
        <v>0</v>
      </c>
      <c r="AJ89" s="192">
        <f>COUNTIF(P89,"*at lab*")</f>
        <v>0</v>
      </c>
      <c r="AK89" s="200">
        <f ca="1">SUM(AI89:AJ89)</f>
        <v>0</v>
      </c>
    </row>
    <row r="90" spans="1:37" s="75" customFormat="1" ht="25.5" x14ac:dyDescent="0.2">
      <c r="A90" s="207" t="s">
        <v>588</v>
      </c>
      <c r="B90" s="315" t="s">
        <v>567</v>
      </c>
      <c r="C90" s="309"/>
      <c r="D90" s="311">
        <v>9</v>
      </c>
      <c r="E90" s="311"/>
      <c r="F90" s="309" t="s">
        <v>964</v>
      </c>
      <c r="G90" s="309" t="s">
        <v>791</v>
      </c>
      <c r="H90" s="309" t="s">
        <v>977</v>
      </c>
      <c r="I90" s="309" t="s">
        <v>557</v>
      </c>
      <c r="J90" s="312">
        <v>5120000000000</v>
      </c>
      <c r="K90" s="299">
        <v>43138</v>
      </c>
      <c r="L90" s="310">
        <v>180</v>
      </c>
      <c r="M90" s="202">
        <f>IF(K90="cnr","CNR",IF(K90="CBU", "CBU",IF(K90="Code Out","Code Out",K90+L90)))</f>
        <v>43318</v>
      </c>
      <c r="N90" s="203">
        <f>M90</f>
        <v>43318</v>
      </c>
      <c r="O90" s="206" t="str">
        <f ca="1">IF(AJ90=1,"",IF(AH90&lt;1,"DEL",""))</f>
        <v/>
      </c>
      <c r="P90" s="299"/>
      <c r="Q90" s="313"/>
      <c r="R90" s="313"/>
      <c r="S90" s="313" t="s">
        <v>398</v>
      </c>
      <c r="T90" s="313"/>
      <c r="U90" s="298" t="s">
        <v>1526</v>
      </c>
      <c r="V90" s="314" t="s">
        <v>664</v>
      </c>
      <c r="W90" s="170"/>
      <c r="X90" s="138"/>
      <c r="Y90" s="197">
        <f>IF(AF90,MONTH(M90),"")</f>
        <v>8</v>
      </c>
      <c r="Z90" s="198">
        <f>IF(AF90,YEAR(M90),"")</f>
        <v>2018</v>
      </c>
      <c r="AA90" s="191">
        <f>IF(AF90,MONTH(N90),"")</f>
        <v>8</v>
      </c>
      <c r="AB90" s="191">
        <f>IF(AF90,YEAR(N90),"")</f>
        <v>2018</v>
      </c>
      <c r="AC90" s="193" t="str">
        <f>CONCATENATE(Y90,Z90)</f>
        <v>82018</v>
      </c>
      <c r="AD90" s="194" t="str">
        <f>CONCATENATE(AA90,AB90)</f>
        <v>82018</v>
      </c>
      <c r="AE90" s="195">
        <f>IF(M90="CBU","",IF(M90="CNR","",IF(K90="Code Out","",MIN(M90,N90))))</f>
        <v>43318</v>
      </c>
      <c r="AF90" s="196" t="b">
        <f>--(ISNUMBER(SEARCH("lab",P90)))
=--(ISNUMBER(SEARCH("fred",A82)))</f>
        <v>1</v>
      </c>
      <c r="AG90" s="199" t="b">
        <f>IF(AE90&lt;$J$4,TRUE,FALSE)</f>
        <v>0</v>
      </c>
      <c r="AH90" s="192">
        <f ca="1">IF(K90="CBU","",IF(K90="CNR","",IF(K90="Code Out","",SUM(M90-$U$1))))</f>
        <v>38.568161226852681</v>
      </c>
      <c r="AI90" s="192">
        <f ca="1">COUNTIF(O90,"Del")</f>
        <v>0</v>
      </c>
      <c r="AJ90" s="192">
        <f>COUNTIF(P90,"*at lab*")</f>
        <v>0</v>
      </c>
      <c r="AK90" s="200">
        <f ca="1">SUM(AI90:AJ90)</f>
        <v>0</v>
      </c>
    </row>
    <row r="91" spans="1:37" s="75" customFormat="1" ht="25.5" x14ac:dyDescent="0.2">
      <c r="A91" s="207" t="s">
        <v>596</v>
      </c>
      <c r="B91" s="309" t="s">
        <v>644</v>
      </c>
      <c r="C91" s="309"/>
      <c r="D91" s="309" t="s">
        <v>974</v>
      </c>
      <c r="E91" s="309"/>
      <c r="F91" s="309" t="s">
        <v>572</v>
      </c>
      <c r="G91" s="309" t="s">
        <v>778</v>
      </c>
      <c r="H91" s="309" t="s">
        <v>974</v>
      </c>
      <c r="I91" s="309" t="s">
        <v>557</v>
      </c>
      <c r="J91" s="312">
        <v>5120000000000</v>
      </c>
      <c r="K91" s="299">
        <v>43138</v>
      </c>
      <c r="L91" s="311">
        <v>180</v>
      </c>
      <c r="M91" s="202">
        <f>IF(K91="cnr","CNR",IF(K91="CBU", "CBU",IF(K91="Code Out","Code Out",K91+L91)))</f>
        <v>43318</v>
      </c>
      <c r="N91" s="203">
        <f>M91</f>
        <v>43318</v>
      </c>
      <c r="O91" s="206" t="str">
        <f ca="1">IF(AJ91=1,"",IF(AH91&lt;1,"DEL",""))</f>
        <v/>
      </c>
      <c r="P91" s="299"/>
      <c r="Q91" s="313"/>
      <c r="R91" s="313"/>
      <c r="S91" s="313" t="s">
        <v>398</v>
      </c>
      <c r="T91" s="313"/>
      <c r="U91" s="298" t="s">
        <v>1526</v>
      </c>
      <c r="V91" s="314" t="s">
        <v>663</v>
      </c>
      <c r="W91" s="173"/>
      <c r="X91" s="139"/>
      <c r="Y91" s="191">
        <f>IF(AF91,MONTH(M91),"")</f>
        <v>8</v>
      </c>
      <c r="Z91" s="192">
        <f>IF(AF91,YEAR(M91),"")</f>
        <v>2018</v>
      </c>
      <c r="AA91" s="191">
        <f>IF(AF91,MONTH(N91),"")</f>
        <v>8</v>
      </c>
      <c r="AB91" s="191">
        <f>IF(AF91,YEAR(N91),"")</f>
        <v>2018</v>
      </c>
      <c r="AC91" s="193" t="str">
        <f>CONCATENATE(Y91,Z91)</f>
        <v>82018</v>
      </c>
      <c r="AD91" s="194" t="str">
        <f>CONCATENATE(AA91,AB91)</f>
        <v>82018</v>
      </c>
      <c r="AE91" s="195">
        <f>IF(M91="CBU","",IF(M91="CNR","",IF(K91="Code Out","",MIN(M91,N91))))</f>
        <v>43318</v>
      </c>
      <c r="AF91" s="196" t="b">
        <f>--(ISNUMBER(SEARCH("lab",P91)))
=--(ISNUMBER(SEARCH("fred",A83)))</f>
        <v>1</v>
      </c>
      <c r="AG91" s="199" t="b">
        <f>IF(AE91&lt;$J$4,TRUE,FALSE)</f>
        <v>0</v>
      </c>
      <c r="AH91" s="192">
        <f ca="1">IF(K91="CBU","",IF(K91="CNR","",IF(K91="Code Out","",SUM(M91-$U$1))))</f>
        <v>38.568161226852681</v>
      </c>
      <c r="AI91" s="192">
        <f ca="1">COUNTIF(O91,"Del")</f>
        <v>0</v>
      </c>
      <c r="AJ91" s="192">
        <f>COUNTIF(P91,"*at lab*")</f>
        <v>0</v>
      </c>
      <c r="AK91" s="200">
        <f ca="1">SUM(AI91:AJ91)</f>
        <v>0</v>
      </c>
    </row>
    <row r="92" spans="1:37" s="75" customFormat="1" ht="25.5" x14ac:dyDescent="0.2">
      <c r="A92" s="207" t="s">
        <v>589</v>
      </c>
      <c r="B92" s="315" t="s">
        <v>571</v>
      </c>
      <c r="C92" s="309"/>
      <c r="D92" s="309" t="s">
        <v>974</v>
      </c>
      <c r="E92" s="309"/>
      <c r="F92" s="309" t="s">
        <v>572</v>
      </c>
      <c r="G92" s="309" t="s">
        <v>777</v>
      </c>
      <c r="H92" s="309" t="s">
        <v>974</v>
      </c>
      <c r="I92" s="309" t="s">
        <v>557</v>
      </c>
      <c r="J92" s="312">
        <v>5120000000000</v>
      </c>
      <c r="K92" s="299">
        <v>43138</v>
      </c>
      <c r="L92" s="311">
        <v>180</v>
      </c>
      <c r="M92" s="202">
        <f>IF(K92="cnr","CNR",IF(K92="CBU", "CBU",IF(K92="Code Out","Code Out",K92+L92)))</f>
        <v>43318</v>
      </c>
      <c r="N92" s="203">
        <f>M92</f>
        <v>43318</v>
      </c>
      <c r="O92" s="206" t="str">
        <f ca="1">IF(AJ92=1,"",IF(AH92&lt;1,"DEL",""))</f>
        <v/>
      </c>
      <c r="P92" s="299"/>
      <c r="Q92" s="313"/>
      <c r="R92" s="313"/>
      <c r="S92" s="313" t="s">
        <v>398</v>
      </c>
      <c r="T92" s="313"/>
      <c r="U92" s="298" t="s">
        <v>1526</v>
      </c>
      <c r="V92" s="314" t="s">
        <v>664</v>
      </c>
      <c r="W92" s="173"/>
      <c r="X92" s="139"/>
      <c r="Y92" s="191">
        <f>IF(AF92,MONTH(M92),"")</f>
        <v>8</v>
      </c>
      <c r="Z92" s="192">
        <f>IF(AF92,YEAR(M92),"")</f>
        <v>2018</v>
      </c>
      <c r="AA92" s="191">
        <f>IF(AF92,MONTH(N92),"")</f>
        <v>8</v>
      </c>
      <c r="AB92" s="191">
        <f>IF(AF92,YEAR(N92),"")</f>
        <v>2018</v>
      </c>
      <c r="AC92" s="193" t="str">
        <f>CONCATENATE(Y92,Z92)</f>
        <v>82018</v>
      </c>
      <c r="AD92" s="194" t="str">
        <f>CONCATENATE(AA92,AB92)</f>
        <v>82018</v>
      </c>
      <c r="AE92" s="195">
        <f>IF(M92="CBU","",IF(M92="CNR","",IF(K92="Code Out","",MIN(M92,N92))))</f>
        <v>43318</v>
      </c>
      <c r="AF92" s="196" t="b">
        <f>--(ISNUMBER(SEARCH("lab",P92)))
=--(ISNUMBER(SEARCH("fred",A84)))</f>
        <v>1</v>
      </c>
      <c r="AG92" s="199" t="b">
        <f>IF(AE92&lt;$J$4,TRUE,FALSE)</f>
        <v>0</v>
      </c>
      <c r="AH92" s="192">
        <f ca="1">IF(K92="CBU","",IF(K92="CNR","",IF(K92="Code Out","",SUM(M92-$U$1))))</f>
        <v>38.568161226852681</v>
      </c>
      <c r="AI92" s="192">
        <f ca="1">COUNTIF(O92,"Del")</f>
        <v>0</v>
      </c>
      <c r="AJ92" s="192">
        <f>COUNTIF(P92,"*at lab*")</f>
        <v>0</v>
      </c>
      <c r="AK92" s="200">
        <f ca="1">SUM(AI92:AJ92)</f>
        <v>0</v>
      </c>
    </row>
    <row r="93" spans="1:37" s="75" customFormat="1" ht="25.5" x14ac:dyDescent="0.2">
      <c r="A93" s="207" t="s">
        <v>594</v>
      </c>
      <c r="B93" s="315" t="s">
        <v>573</v>
      </c>
      <c r="C93" s="309"/>
      <c r="D93" s="309" t="s">
        <v>974</v>
      </c>
      <c r="E93" s="309"/>
      <c r="F93" s="309" t="s">
        <v>572</v>
      </c>
      <c r="G93" s="309" t="s">
        <v>779</v>
      </c>
      <c r="H93" s="309" t="s">
        <v>974</v>
      </c>
      <c r="I93" s="309" t="s">
        <v>557</v>
      </c>
      <c r="J93" s="312">
        <v>5120000000000</v>
      </c>
      <c r="K93" s="299">
        <v>43046</v>
      </c>
      <c r="L93" s="311">
        <v>180</v>
      </c>
      <c r="M93" s="202">
        <f>IF(K93="cnr","CNR",IF(K93="CBU", "CBU",IF(K93="Code Out","Code Out",K93+L93)))</f>
        <v>43226</v>
      </c>
      <c r="N93" s="203">
        <f>M93</f>
        <v>43226</v>
      </c>
      <c r="O93" s="206" t="str">
        <f>IF(AJ93=1,"",IF(AH93&lt;1,"DEL",""))</f>
        <v/>
      </c>
      <c r="P93" s="299" t="s">
        <v>1551</v>
      </c>
      <c r="Q93" s="313"/>
      <c r="R93" s="313" t="s">
        <v>398</v>
      </c>
      <c r="S93" s="313"/>
      <c r="T93" s="313"/>
      <c r="U93" s="318" t="s">
        <v>1512</v>
      </c>
      <c r="V93" s="314" t="s">
        <v>664</v>
      </c>
      <c r="W93" s="173"/>
      <c r="X93" s="139"/>
      <c r="Y93" s="191" t="str">
        <f>IF(AF93,MONTH(M93),"")</f>
        <v/>
      </c>
      <c r="Z93" s="192" t="str">
        <f>IF(AF93,YEAR(M93),"")</f>
        <v/>
      </c>
      <c r="AA93" s="191" t="str">
        <f>IF(AF93,MONTH(N93),"")</f>
        <v/>
      </c>
      <c r="AB93" s="191" t="str">
        <f>IF(AF93,YEAR(N93),"")</f>
        <v/>
      </c>
      <c r="AC93" s="193" t="str">
        <f>CONCATENATE(Y93,Z93)</f>
        <v/>
      </c>
      <c r="AD93" s="194" t="str">
        <f>CONCATENATE(AA93,AB93)</f>
        <v/>
      </c>
      <c r="AE93" s="195">
        <f>IF(M93="CBU","",IF(M93="CNR","",IF(K93="Code Out","",MIN(M93,N93))))</f>
        <v>43226</v>
      </c>
      <c r="AF93" s="196" t="b">
        <f>--(ISNUMBER(SEARCH("lab",P93)))
=--(ISNUMBER(SEARCH("fred",A85)))</f>
        <v>0</v>
      </c>
      <c r="AG93" s="199" t="b">
        <f>IF(AE93&lt;$J$4,TRUE,FALSE)</f>
        <v>1</v>
      </c>
      <c r="AH93" s="192">
        <f ca="1">IF(K93="CBU","",IF(K93="CNR","",IF(K93="Code Out","",SUM(M93-$U$1))))</f>
        <v>-53.431838773147319</v>
      </c>
      <c r="AI93" s="192">
        <f>COUNTIF(O93,"Del")</f>
        <v>0</v>
      </c>
      <c r="AJ93" s="192">
        <f>COUNTIF(P93,"*at lab*")</f>
        <v>1</v>
      </c>
      <c r="AK93" s="200">
        <f>SUM(AI93:AJ93)</f>
        <v>1</v>
      </c>
    </row>
    <row r="94" spans="1:37" s="75" customFormat="1" x14ac:dyDescent="0.2">
      <c r="A94" s="409" t="s">
        <v>592</v>
      </c>
      <c r="B94" s="315" t="s">
        <v>570</v>
      </c>
      <c r="C94" s="309"/>
      <c r="D94" s="311">
        <v>9</v>
      </c>
      <c r="E94" s="311"/>
      <c r="F94" s="309" t="s">
        <v>964</v>
      </c>
      <c r="G94" s="309" t="s">
        <v>790</v>
      </c>
      <c r="H94" s="309" t="s">
        <v>977</v>
      </c>
      <c r="I94" s="309" t="s">
        <v>557</v>
      </c>
      <c r="J94" s="312">
        <v>5120000000000</v>
      </c>
      <c r="K94" s="299">
        <v>43175</v>
      </c>
      <c r="L94" s="310">
        <v>180</v>
      </c>
      <c r="M94" s="202">
        <f>IF(K94="cnr","CNR",IF(K94="CBU", "CBU",IF(K94="Code Out","Code Out",K94+L94)))</f>
        <v>43355</v>
      </c>
      <c r="N94" s="203">
        <f>M94</f>
        <v>43355</v>
      </c>
      <c r="O94" s="206" t="str">
        <f ca="1">IF(AJ94=1,"",IF(AH94&lt;1,"DEL",""))</f>
        <v/>
      </c>
      <c r="P94" s="299"/>
      <c r="Q94" s="313"/>
      <c r="R94" s="313"/>
      <c r="S94" s="313" t="s">
        <v>398</v>
      </c>
      <c r="T94" s="313"/>
      <c r="U94" s="298" t="s">
        <v>1533</v>
      </c>
      <c r="V94" s="314" t="s">
        <v>663</v>
      </c>
      <c r="W94" s="173"/>
      <c r="X94" s="139"/>
      <c r="Y94" s="191">
        <f>IF(AF94,MONTH(M94),"")</f>
        <v>9</v>
      </c>
      <c r="Z94" s="192">
        <f>IF(AF94,YEAR(M94),"")</f>
        <v>2018</v>
      </c>
      <c r="AA94" s="191">
        <f>IF(AF94,MONTH(N94),"")</f>
        <v>9</v>
      </c>
      <c r="AB94" s="191">
        <f>IF(AF94,YEAR(N94),"")</f>
        <v>2018</v>
      </c>
      <c r="AC94" s="193" t="str">
        <f>CONCATENATE(Y94,Z94)</f>
        <v>92018</v>
      </c>
      <c r="AD94" s="194" t="str">
        <f>CONCATENATE(AA94,AB94)</f>
        <v>92018</v>
      </c>
      <c r="AE94" s="195">
        <f>IF(M94="CBU","",IF(M94="CNR","",IF(K94="Code Out","",MIN(M94,N94))))</f>
        <v>43355</v>
      </c>
      <c r="AF94" s="196" t="b">
        <f>--(ISNUMBER(SEARCH("lab",P94)))
=--(ISNUMBER(SEARCH("fred",A86)))</f>
        <v>1</v>
      </c>
      <c r="AG94" s="199" t="b">
        <f>IF(AE94&lt;$J$4,TRUE,FALSE)</f>
        <v>0</v>
      </c>
      <c r="AH94" s="192">
        <f ca="1">IF(K94="CBU","",IF(K94="CNR","",IF(K94="Code Out","",SUM(M94-$U$1))))</f>
        <v>75.568161226852681</v>
      </c>
      <c r="AI94" s="192">
        <f ca="1">COUNTIF(O94,"Del")</f>
        <v>0</v>
      </c>
      <c r="AJ94" s="192">
        <f>COUNTIF(P94,"*at lab*")</f>
        <v>0</v>
      </c>
      <c r="AK94" s="200">
        <f ca="1">SUM(AI94:AJ94)</f>
        <v>0</v>
      </c>
    </row>
    <row r="95" spans="1:37" s="75" customFormat="1" ht="25.5" x14ac:dyDescent="0.2">
      <c r="A95" s="409" t="s">
        <v>604</v>
      </c>
      <c r="B95" s="315" t="s">
        <v>604</v>
      </c>
      <c r="C95" s="309"/>
      <c r="D95" s="309" t="s">
        <v>973</v>
      </c>
      <c r="E95" s="309"/>
      <c r="F95" s="309" t="s">
        <v>602</v>
      </c>
      <c r="G95" s="309"/>
      <c r="H95" s="309" t="s">
        <v>973</v>
      </c>
      <c r="I95" s="309" t="s">
        <v>466</v>
      </c>
      <c r="J95" s="312"/>
      <c r="K95" s="299">
        <v>42753</v>
      </c>
      <c r="L95" s="310">
        <v>1080</v>
      </c>
      <c r="M95" s="202">
        <f>IF(K95="cnr","CNR",IF(K95="CBU", "CBU",IF(K95="Code Out","Code Out",K95+L95)))</f>
        <v>43833</v>
      </c>
      <c r="N95" s="203">
        <f>M95</f>
        <v>43833</v>
      </c>
      <c r="O95" s="206" t="str">
        <f ca="1">IF(AJ95=1,"",IF(AH95&lt;1,"DEL",""))</f>
        <v/>
      </c>
      <c r="P95" s="317"/>
      <c r="Q95" s="313"/>
      <c r="R95" s="313"/>
      <c r="S95" s="313" t="s">
        <v>1432</v>
      </c>
      <c r="T95" s="313"/>
      <c r="U95" s="298" t="s">
        <v>1442</v>
      </c>
      <c r="V95" s="314" t="s">
        <v>663</v>
      </c>
      <c r="W95" s="303"/>
      <c r="X95" s="302"/>
      <c r="Y95" s="197">
        <f>IF(AF95,MONTH(M95),"")</f>
        <v>1</v>
      </c>
      <c r="Z95" s="198">
        <f>IF(AF95,YEAR(M95),"")</f>
        <v>2020</v>
      </c>
      <c r="AA95" s="191">
        <f>IF(AF95,MONTH(N95),"")</f>
        <v>1</v>
      </c>
      <c r="AB95" s="191">
        <f>IF(AF95,YEAR(N95),"")</f>
        <v>2020</v>
      </c>
      <c r="AC95" s="193" t="str">
        <f>CONCATENATE(Y95,Z95)</f>
        <v>12020</v>
      </c>
      <c r="AD95" s="194" t="str">
        <f>CONCATENATE(AA95,AB95)</f>
        <v>12020</v>
      </c>
      <c r="AE95" s="195">
        <f>IF(M95="CBU","",IF(M95="CNR","",IF(K95="Code Out","",MIN(M95,N95))))</f>
        <v>43833</v>
      </c>
      <c r="AF95" s="196" t="b">
        <f>--(ISNUMBER(SEARCH("lab",P95)))
=--(ISNUMBER(SEARCH("fred",A87)))</f>
        <v>1</v>
      </c>
      <c r="AG95" s="199" t="b">
        <f>IF(AE95&lt;$J$4,TRUE,FALSE)</f>
        <v>0</v>
      </c>
      <c r="AH95" s="192">
        <f ca="1">IF(K95="CBU","",IF(K95="CNR","",IF(K95="Code Out","",SUM(M95-$U$1))))</f>
        <v>553.56816122685268</v>
      </c>
      <c r="AI95" s="192">
        <f ca="1">COUNTIF(O95,"Del")</f>
        <v>0</v>
      </c>
      <c r="AJ95" s="192">
        <f>COUNTIF(P95,"*at lab*")</f>
        <v>0</v>
      </c>
      <c r="AK95" s="200">
        <f ca="1">SUM(AI95:AJ95)</f>
        <v>0</v>
      </c>
    </row>
    <row r="96" spans="1:37" s="75" customFormat="1" ht="63.75" x14ac:dyDescent="0.2">
      <c r="A96" s="409" t="s">
        <v>608</v>
      </c>
      <c r="B96" s="315" t="s">
        <v>608</v>
      </c>
      <c r="C96" s="309"/>
      <c r="D96" s="309" t="s">
        <v>973</v>
      </c>
      <c r="E96" s="309"/>
      <c r="F96" s="309" t="s">
        <v>566</v>
      </c>
      <c r="G96" s="309"/>
      <c r="H96" s="309" t="s">
        <v>973</v>
      </c>
      <c r="I96" s="309" t="s">
        <v>1404</v>
      </c>
      <c r="J96" s="312">
        <v>6670002405821</v>
      </c>
      <c r="K96" s="299">
        <v>43042</v>
      </c>
      <c r="L96" s="310">
        <v>1080</v>
      </c>
      <c r="M96" s="202">
        <f>IF(K96="cnr","CNR",IF(K96="CBU", "CBU",IF(K96="Code Out","Code Out",K96+L96)))</f>
        <v>44122</v>
      </c>
      <c r="N96" s="203">
        <f>M96</f>
        <v>44122</v>
      </c>
      <c r="O96" s="206" t="str">
        <f ca="1">IF(AJ96=1,"",IF(AH96&lt;1,"DEL",""))</f>
        <v/>
      </c>
      <c r="P96" s="317"/>
      <c r="Q96" s="313"/>
      <c r="R96" s="313"/>
      <c r="S96" s="313"/>
      <c r="T96" s="313"/>
      <c r="U96" s="318" t="s">
        <v>1512</v>
      </c>
      <c r="V96" s="314" t="s">
        <v>664</v>
      </c>
      <c r="W96" s="170"/>
      <c r="X96" s="138"/>
      <c r="Y96" s="197">
        <f>IF(AF96,MONTH(M96),"")</f>
        <v>10</v>
      </c>
      <c r="Z96" s="198">
        <f>IF(AF96,YEAR(M96),"")</f>
        <v>2020</v>
      </c>
      <c r="AA96" s="191">
        <f>IF(AF96,MONTH(N96),"")</f>
        <v>10</v>
      </c>
      <c r="AB96" s="191">
        <f>IF(AF96,YEAR(N96),"")</f>
        <v>2020</v>
      </c>
      <c r="AC96" s="193" t="str">
        <f>CONCATENATE(Y96,Z96)</f>
        <v>102020</v>
      </c>
      <c r="AD96" s="194" t="str">
        <f>CONCATENATE(AA96,AB96)</f>
        <v>102020</v>
      </c>
      <c r="AE96" s="195">
        <f>IF(M96="CBU","",IF(M96="CNR","",IF(K96="Code Out","",MIN(M96,N96))))</f>
        <v>44122</v>
      </c>
      <c r="AF96" s="196" t="b">
        <f>--(ISNUMBER(SEARCH("lab",P96)))
=--(ISNUMBER(SEARCH("fred",A88)))</f>
        <v>1</v>
      </c>
      <c r="AG96" s="199" t="b">
        <f>IF(AE96&lt;$J$4,TRUE,FALSE)</f>
        <v>0</v>
      </c>
      <c r="AH96" s="192">
        <f ca="1">IF(K96="CBU","",IF(K96="CNR","",IF(K96="Code Out","",SUM(M96-$U$1))))</f>
        <v>842.56816122685268</v>
      </c>
      <c r="AI96" s="192">
        <f ca="1">COUNTIF(O96,"Del")</f>
        <v>0</v>
      </c>
      <c r="AJ96" s="192">
        <f>COUNTIF(P96,"*at lab*")</f>
        <v>0</v>
      </c>
      <c r="AK96" s="200">
        <f ca="1">SUM(AI96:AJ96)</f>
        <v>0</v>
      </c>
    </row>
    <row r="97" spans="1:37" s="75" customFormat="1" ht="51" x14ac:dyDescent="0.2">
      <c r="A97" s="409" t="s">
        <v>603</v>
      </c>
      <c r="B97" s="315" t="s">
        <v>603</v>
      </c>
      <c r="C97" s="309"/>
      <c r="D97" s="309" t="s">
        <v>973</v>
      </c>
      <c r="E97" s="309"/>
      <c r="F97" s="309" t="s">
        <v>602</v>
      </c>
      <c r="G97" s="309"/>
      <c r="H97" s="309" t="s">
        <v>973</v>
      </c>
      <c r="I97" s="309" t="s">
        <v>466</v>
      </c>
      <c r="J97" s="312"/>
      <c r="K97" s="299">
        <v>43042</v>
      </c>
      <c r="L97" s="310">
        <v>1080</v>
      </c>
      <c r="M97" s="202">
        <f>IF(K97="cnr","CNR",IF(K97="CBU", "CBU",IF(K97="Code Out","Code Out",K97+L97)))</f>
        <v>44122</v>
      </c>
      <c r="N97" s="203">
        <f>M97</f>
        <v>44122</v>
      </c>
      <c r="O97" s="206" t="str">
        <f ca="1">IF(AJ97=1,"",IF(AH97&lt;1,"DEL",""))</f>
        <v/>
      </c>
      <c r="P97" s="317"/>
      <c r="Q97" s="313"/>
      <c r="R97" s="313"/>
      <c r="S97" s="313"/>
      <c r="T97" s="313"/>
      <c r="U97" s="318" t="s">
        <v>1512</v>
      </c>
      <c r="V97" s="314" t="s">
        <v>664</v>
      </c>
      <c r="W97" s="173"/>
      <c r="X97" s="139"/>
      <c r="Y97" s="191">
        <f>IF(AF97,MONTH(M97),"")</f>
        <v>10</v>
      </c>
      <c r="Z97" s="192">
        <f>IF(AF97,YEAR(M97),"")</f>
        <v>2020</v>
      </c>
      <c r="AA97" s="191">
        <f>IF(AF97,MONTH(N97),"")</f>
        <v>10</v>
      </c>
      <c r="AB97" s="191">
        <f>IF(AF97,YEAR(N97),"")</f>
        <v>2020</v>
      </c>
      <c r="AC97" s="193" t="str">
        <f>CONCATENATE(Y97,Z97)</f>
        <v>102020</v>
      </c>
      <c r="AD97" s="194" t="str">
        <f>CONCATENATE(AA97,AB97)</f>
        <v>102020</v>
      </c>
      <c r="AE97" s="195">
        <f>IF(M97="CBU","",IF(M97="CNR","",IF(K97="Code Out","",MIN(M97,N97))))</f>
        <v>44122</v>
      </c>
      <c r="AF97" s="196" t="b">
        <f>--(ISNUMBER(SEARCH("lab",P97)))
=--(ISNUMBER(SEARCH("fred",A89)))</f>
        <v>1</v>
      </c>
      <c r="AG97" s="199" t="b">
        <f>IF(AE97&lt;$J$4,TRUE,FALSE)</f>
        <v>0</v>
      </c>
      <c r="AH97" s="192">
        <f ca="1">IF(K97="CBU","",IF(K97="CNR","",IF(K97="Code Out","",SUM(M97-$U$1))))</f>
        <v>842.56816122685268</v>
      </c>
      <c r="AI97" s="192">
        <f ca="1">COUNTIF(O97,"Del")</f>
        <v>0</v>
      </c>
      <c r="AJ97" s="192">
        <f>COUNTIF(P97,"*at lab*")</f>
        <v>0</v>
      </c>
      <c r="AK97" s="200">
        <f ca="1">SUM(AI97:AJ97)</f>
        <v>0</v>
      </c>
    </row>
    <row r="98" spans="1:37" s="75" customFormat="1" ht="51" x14ac:dyDescent="0.2">
      <c r="A98" s="409" t="s">
        <v>607</v>
      </c>
      <c r="B98" s="315" t="s">
        <v>607</v>
      </c>
      <c r="C98" s="309"/>
      <c r="D98" s="309" t="s">
        <v>973</v>
      </c>
      <c r="E98" s="309"/>
      <c r="F98" s="309" t="s">
        <v>566</v>
      </c>
      <c r="G98" s="309"/>
      <c r="H98" s="309" t="s">
        <v>973</v>
      </c>
      <c r="I98" s="309" t="s">
        <v>1404</v>
      </c>
      <c r="J98" s="312">
        <v>6670002405821</v>
      </c>
      <c r="K98" s="299">
        <v>42909</v>
      </c>
      <c r="L98" s="310">
        <v>1080</v>
      </c>
      <c r="M98" s="202">
        <f>IF(K98="cnr","CNR",IF(K98="CBU", "CBU",IF(K98="Code Out","Code Out",K98+L98)))</f>
        <v>43989</v>
      </c>
      <c r="N98" s="203">
        <f>M98</f>
        <v>43989</v>
      </c>
      <c r="O98" s="206" t="str">
        <f ca="1">IF(AJ98=1,"",IF(AH98&lt;1,"DEL",""))</f>
        <v/>
      </c>
      <c r="P98" s="317"/>
      <c r="Q98" s="313"/>
      <c r="R98" s="313"/>
      <c r="S98" s="313" t="s">
        <v>398</v>
      </c>
      <c r="T98" s="313"/>
      <c r="U98" s="318" t="s">
        <v>1473</v>
      </c>
      <c r="V98" s="314" t="s">
        <v>663</v>
      </c>
      <c r="W98" s="173"/>
      <c r="X98" s="139"/>
      <c r="Y98" s="191">
        <f>IF(AF98,MONTH(M98),"")</f>
        <v>6</v>
      </c>
      <c r="Z98" s="192">
        <f>IF(AF98,YEAR(M98),"")</f>
        <v>2020</v>
      </c>
      <c r="AA98" s="191">
        <f>IF(AF98,MONTH(N98),"")</f>
        <v>6</v>
      </c>
      <c r="AB98" s="191">
        <f>IF(AF98,YEAR(N98),"")</f>
        <v>2020</v>
      </c>
      <c r="AC98" s="193" t="str">
        <f>CONCATENATE(Y98,Z98)</f>
        <v>62020</v>
      </c>
      <c r="AD98" s="194" t="str">
        <f>CONCATENATE(AA98,AB98)</f>
        <v>62020</v>
      </c>
      <c r="AE98" s="195">
        <f>IF(M98="CBU","",IF(M98="CNR","",IF(K98="Code Out","",MIN(M98,N98))))</f>
        <v>43989</v>
      </c>
      <c r="AF98" s="196" t="b">
        <f>--(ISNUMBER(SEARCH("lab",P98)))
=--(ISNUMBER(SEARCH("fred",A90)))</f>
        <v>1</v>
      </c>
      <c r="AG98" s="199" t="b">
        <f>IF(AE98&lt;$J$4,TRUE,FALSE)</f>
        <v>0</v>
      </c>
      <c r="AH98" s="192">
        <f ca="1">IF(K98="CBU","",IF(K98="CNR","",IF(K98="Code Out","",SUM(M98-$U$1))))</f>
        <v>709.56816122685268</v>
      </c>
      <c r="AI98" s="192">
        <f ca="1">COUNTIF(O98,"Del")</f>
        <v>0</v>
      </c>
      <c r="AJ98" s="192">
        <f>COUNTIF(P98,"*at lab*")</f>
        <v>0</v>
      </c>
      <c r="AK98" s="200">
        <f ca="1">SUM(AI98:AJ98)</f>
        <v>0</v>
      </c>
    </row>
    <row r="99" spans="1:37" s="75" customFormat="1" ht="51" x14ac:dyDescent="0.2">
      <c r="A99" s="409" t="s">
        <v>582</v>
      </c>
      <c r="B99" s="315" t="s">
        <v>562</v>
      </c>
      <c r="C99" s="309"/>
      <c r="D99" s="309" t="s">
        <v>975</v>
      </c>
      <c r="E99" s="309"/>
      <c r="F99" s="309" t="s">
        <v>585</v>
      </c>
      <c r="G99" s="309" t="s">
        <v>776</v>
      </c>
      <c r="H99" s="309" t="s">
        <v>975</v>
      </c>
      <c r="I99" s="309" t="s">
        <v>557</v>
      </c>
      <c r="J99" s="312">
        <v>5120000000000</v>
      </c>
      <c r="K99" s="299">
        <v>43138</v>
      </c>
      <c r="L99" s="311">
        <v>180</v>
      </c>
      <c r="M99" s="202">
        <f>IF(K99="cnr","CNR",IF(K99="CBU", "CBU",IF(K99="Code Out","Code Out",K99+L99)))</f>
        <v>43318</v>
      </c>
      <c r="N99" s="203">
        <f>M99</f>
        <v>43318</v>
      </c>
      <c r="O99" s="206" t="str">
        <f ca="1">IF(AJ99=1,"",IF(AH99&lt;1,"DEL",""))</f>
        <v/>
      </c>
      <c r="P99" s="299"/>
      <c r="Q99" s="313"/>
      <c r="R99" s="313"/>
      <c r="S99" s="313" t="s">
        <v>398</v>
      </c>
      <c r="T99" s="313"/>
      <c r="U99" s="298" t="s">
        <v>1526</v>
      </c>
      <c r="V99" s="314" t="s">
        <v>664</v>
      </c>
      <c r="W99" s="173"/>
      <c r="X99" s="139"/>
      <c r="Y99" s="191">
        <f>IF(AF99,MONTH(M99),"")</f>
        <v>8</v>
      </c>
      <c r="Z99" s="192">
        <f>IF(AF99,YEAR(M99),"")</f>
        <v>2018</v>
      </c>
      <c r="AA99" s="191">
        <f>IF(AF99,MONTH(N99),"")</f>
        <v>8</v>
      </c>
      <c r="AB99" s="191">
        <f>IF(AF99,YEAR(N99),"")</f>
        <v>2018</v>
      </c>
      <c r="AC99" s="193" t="str">
        <f>CONCATENATE(Y99,Z99)</f>
        <v>82018</v>
      </c>
      <c r="AD99" s="194" t="str">
        <f>CONCATENATE(AA99,AB99)</f>
        <v>82018</v>
      </c>
      <c r="AE99" s="195">
        <f>IF(M99="CBU","",IF(M99="CNR","",IF(K99="Code Out","",MIN(M99,N99))))</f>
        <v>43318</v>
      </c>
      <c r="AF99" s="196" t="b">
        <f>--(ISNUMBER(SEARCH("lab",P99)))
=--(ISNUMBER(SEARCH("fred",A91)))</f>
        <v>1</v>
      </c>
      <c r="AG99" s="199" t="b">
        <f>IF(AE99&lt;$J$4,TRUE,FALSE)</f>
        <v>0</v>
      </c>
      <c r="AH99" s="192">
        <f ca="1">IF(K99="CBU","",IF(K99="CNR","",IF(K99="Code Out","",SUM(M99-$U$1))))</f>
        <v>38.568161226852681</v>
      </c>
      <c r="AI99" s="192">
        <f ca="1">COUNTIF(O99,"Del")</f>
        <v>0</v>
      </c>
      <c r="AJ99" s="192">
        <f>COUNTIF(P99,"*at lab*")</f>
        <v>0</v>
      </c>
      <c r="AK99" s="200">
        <f ca="1">SUM(AI99:AJ99)</f>
        <v>0</v>
      </c>
    </row>
    <row r="100" spans="1:37" s="75" customFormat="1" ht="25.5" x14ac:dyDescent="0.2">
      <c r="A100" s="409" t="s">
        <v>606</v>
      </c>
      <c r="B100" s="315" t="s">
        <v>606</v>
      </c>
      <c r="C100" s="309"/>
      <c r="D100" s="311">
        <v>3</v>
      </c>
      <c r="E100" s="311"/>
      <c r="F100" s="309" t="s">
        <v>560</v>
      </c>
      <c r="G100" s="309"/>
      <c r="H100" s="309" t="s">
        <v>974</v>
      </c>
      <c r="I100" s="309" t="s">
        <v>559</v>
      </c>
      <c r="J100" s="312">
        <v>5120007104359</v>
      </c>
      <c r="K100" s="299">
        <v>43033</v>
      </c>
      <c r="L100" s="310">
        <v>1080</v>
      </c>
      <c r="M100" s="202">
        <f>IF(K100="cnr","CNR",IF(K100="CBU", "CBU",IF(K100="Code Out","Code Out",K100+L100)))</f>
        <v>44113</v>
      </c>
      <c r="N100" s="203">
        <f>(M100)</f>
        <v>44113</v>
      </c>
      <c r="O100" s="206" t="str">
        <f ca="1">IF(AJ100=1,"",IF(AH100&lt;1,"DEL",""))</f>
        <v/>
      </c>
      <c r="P100" s="317"/>
      <c r="Q100" s="313"/>
      <c r="R100" s="313"/>
      <c r="S100" s="313" t="s">
        <v>398</v>
      </c>
      <c r="T100" s="313"/>
      <c r="U100" s="318" t="s">
        <v>1508</v>
      </c>
      <c r="V100" s="314" t="s">
        <v>664</v>
      </c>
      <c r="W100" s="170"/>
      <c r="X100" s="138"/>
      <c r="Y100" s="197">
        <f>IF(AF100,MONTH(M100),"")</f>
        <v>10</v>
      </c>
      <c r="Z100" s="198">
        <f>IF(AF100,YEAR(M100),"")</f>
        <v>2020</v>
      </c>
      <c r="AA100" s="191">
        <f>IF(AF100,MONTH(N100),"")</f>
        <v>10</v>
      </c>
      <c r="AB100" s="191">
        <f>IF(AF100,YEAR(N100),"")</f>
        <v>2020</v>
      </c>
      <c r="AC100" s="193" t="str">
        <f>CONCATENATE(Y100,Z100)</f>
        <v>102020</v>
      </c>
      <c r="AD100" s="194" t="str">
        <f>CONCATENATE(AA100,AB100)</f>
        <v>102020</v>
      </c>
      <c r="AE100" s="195">
        <f>IF(M100="CBU","",IF(M100="CNR","",IF(K100="Code Out","",MIN(M100,N100))))</f>
        <v>44113</v>
      </c>
      <c r="AF100" s="196" t="b">
        <f>--(ISNUMBER(SEARCH("lab",P100)))
=--(ISNUMBER(SEARCH("fred",A92)))</f>
        <v>1</v>
      </c>
      <c r="AG100" s="199" t="b">
        <f>IF(AE100&lt;$J$4,TRUE,FALSE)</f>
        <v>0</v>
      </c>
      <c r="AH100" s="192">
        <f ca="1">IF(K100="CBU","",IF(K100="CNR","",IF(K100="Code Out","",SUM(M100-$U$1))))</f>
        <v>833.56816122685268</v>
      </c>
      <c r="AI100" s="192">
        <f ca="1">COUNTIF(O100,"Del")</f>
        <v>0</v>
      </c>
      <c r="AJ100" s="192">
        <f>COUNTIF(P100,"*at lab*")</f>
        <v>0</v>
      </c>
      <c r="AK100" s="200">
        <f ca="1">SUM(AI100:AJ100)</f>
        <v>0</v>
      </c>
    </row>
    <row r="101" spans="1:37" s="75" customFormat="1" x14ac:dyDescent="0.2">
      <c r="A101" s="409" t="s">
        <v>595</v>
      </c>
      <c r="B101" s="315" t="s">
        <v>574</v>
      </c>
      <c r="C101" s="309"/>
      <c r="D101" s="309" t="s">
        <v>974</v>
      </c>
      <c r="E101" s="309"/>
      <c r="F101" s="309" t="s">
        <v>572</v>
      </c>
      <c r="G101" s="309" t="s">
        <v>775</v>
      </c>
      <c r="H101" s="309" t="s">
        <v>974</v>
      </c>
      <c r="I101" s="309" t="s">
        <v>557</v>
      </c>
      <c r="J101" s="312">
        <v>5120000000000</v>
      </c>
      <c r="K101" s="299">
        <v>43046</v>
      </c>
      <c r="L101" s="311">
        <v>180</v>
      </c>
      <c r="M101" s="202">
        <f>IF(K101="cnr","CNR",IF(K101="CBU", "CBU",IF(K101="Code Out","Code Out",K101+L101)))</f>
        <v>43226</v>
      </c>
      <c r="N101" s="203">
        <f>M101</f>
        <v>43226</v>
      </c>
      <c r="O101" s="206" t="str">
        <f>IF(AJ101=1,"",IF(AH101&lt;1,"DEL",""))</f>
        <v/>
      </c>
      <c r="P101" s="299" t="s">
        <v>1551</v>
      </c>
      <c r="Q101" s="313"/>
      <c r="R101" s="313" t="s">
        <v>398</v>
      </c>
      <c r="S101" s="313"/>
      <c r="T101" s="313"/>
      <c r="U101" s="318" t="s">
        <v>1512</v>
      </c>
      <c r="V101" s="314" t="s">
        <v>663</v>
      </c>
      <c r="W101" s="170"/>
      <c r="X101" s="138"/>
      <c r="Y101" s="197" t="str">
        <f>IF(AF101,MONTH(M101),"")</f>
        <v/>
      </c>
      <c r="Z101" s="198" t="str">
        <f>IF(AF101,YEAR(M101),"")</f>
        <v/>
      </c>
      <c r="AA101" s="191" t="str">
        <f>IF(AF101,MONTH(N101),"")</f>
        <v/>
      </c>
      <c r="AB101" s="191" t="str">
        <f>IF(AF101,YEAR(N101),"")</f>
        <v/>
      </c>
      <c r="AC101" s="193" t="str">
        <f>CONCATENATE(Y101,Z101)</f>
        <v/>
      </c>
      <c r="AD101" s="194" t="str">
        <f>CONCATENATE(AA101,AB101)</f>
        <v/>
      </c>
      <c r="AE101" s="195">
        <f>IF(M101="CBU","",IF(M101="CNR","",IF(K101="Code Out","",MIN(M101,N101))))</f>
        <v>43226</v>
      </c>
      <c r="AF101" s="196" t="b">
        <f>--(ISNUMBER(SEARCH("lab",P101)))
=--(ISNUMBER(SEARCH("fred",A93)))</f>
        <v>0</v>
      </c>
      <c r="AG101" s="199" t="b">
        <f>IF(AE101&lt;$J$4,TRUE,FALSE)</f>
        <v>1</v>
      </c>
      <c r="AH101" s="192">
        <f ca="1">IF(K101="CBU","",IF(K101="CNR","",IF(K101="Code Out","",SUM(M101-$U$1))))</f>
        <v>-53.431838773147319</v>
      </c>
      <c r="AI101" s="192">
        <f>COUNTIF(O101,"Del")</f>
        <v>0</v>
      </c>
      <c r="AJ101" s="192">
        <f>COUNTIF(P101,"*at lab*")</f>
        <v>1</v>
      </c>
      <c r="AK101" s="200">
        <f>SUM(AI101:AJ101)</f>
        <v>1</v>
      </c>
    </row>
    <row r="102" spans="1:37" s="75" customFormat="1" x14ac:dyDescent="0.2">
      <c r="A102" s="409" t="s">
        <v>593</v>
      </c>
      <c r="B102" s="309" t="s">
        <v>643</v>
      </c>
      <c r="C102" s="309"/>
      <c r="D102" s="311">
        <v>9</v>
      </c>
      <c r="E102" s="311"/>
      <c r="F102" s="309" t="s">
        <v>964</v>
      </c>
      <c r="G102" s="309" t="s">
        <v>789</v>
      </c>
      <c r="H102" s="309" t="s">
        <v>977</v>
      </c>
      <c r="I102" s="309" t="s">
        <v>557</v>
      </c>
      <c r="J102" s="312">
        <v>5120000000000</v>
      </c>
      <c r="K102" s="299">
        <v>43175</v>
      </c>
      <c r="L102" s="310">
        <v>180</v>
      </c>
      <c r="M102" s="202">
        <f>IF(K102="cnr","CNR",IF(K102="CBU", "CBU",IF(K102="Code Out","Code Out",K102+L102)))</f>
        <v>43355</v>
      </c>
      <c r="N102" s="203">
        <f>M102</f>
        <v>43355</v>
      </c>
      <c r="O102" s="206" t="str">
        <f ca="1">IF(AJ102=1,"",IF(AH102&lt;1,"DEL",""))</f>
        <v/>
      </c>
      <c r="P102" s="299"/>
      <c r="Q102" s="313"/>
      <c r="R102" s="359"/>
      <c r="S102" s="313" t="s">
        <v>398</v>
      </c>
      <c r="T102" s="313"/>
      <c r="U102" s="298" t="s">
        <v>1533</v>
      </c>
      <c r="V102" s="314" t="s">
        <v>663</v>
      </c>
      <c r="W102" s="303"/>
      <c r="X102" s="302"/>
      <c r="Y102" s="197">
        <f>IF(AF102,MONTH(M102),"")</f>
        <v>9</v>
      </c>
      <c r="Z102" s="198">
        <f>IF(AF102,YEAR(M102),"")</f>
        <v>2018</v>
      </c>
      <c r="AA102" s="191">
        <f>IF(AF102,MONTH(N102),"")</f>
        <v>9</v>
      </c>
      <c r="AB102" s="191">
        <f>IF(AF102,YEAR(N102),"")</f>
        <v>2018</v>
      </c>
      <c r="AC102" s="193" t="str">
        <f>CONCATENATE(Y102,Z102)</f>
        <v>92018</v>
      </c>
      <c r="AD102" s="194" t="str">
        <f>CONCATENATE(AA102,AB102)</f>
        <v>92018</v>
      </c>
      <c r="AE102" s="195">
        <f>IF(M102="CBU","",IF(M102="CNR","",IF(K102="Code Out","",MIN(M102,N102))))</f>
        <v>43355</v>
      </c>
      <c r="AF102" s="196" t="b">
        <f>--(ISNUMBER(SEARCH("lab",P102)))
=--(ISNUMBER(SEARCH("fred",A94)))</f>
        <v>1</v>
      </c>
      <c r="AG102" s="199" t="b">
        <f>IF(AE102&lt;$J$4,TRUE,FALSE)</f>
        <v>0</v>
      </c>
      <c r="AH102" s="192">
        <f ca="1">IF(K102="CBU","",IF(K102="CNR","",IF(K102="Code Out","",SUM(M102-$U$1))))</f>
        <v>75.568161226852681</v>
      </c>
      <c r="AI102" s="192">
        <f ca="1">COUNTIF(O102,"Del")</f>
        <v>0</v>
      </c>
      <c r="AJ102" s="192">
        <f>COUNTIF(P102,"*at lab*")</f>
        <v>0</v>
      </c>
      <c r="AK102" s="200">
        <f ca="1">SUM(AI102:AJ102)</f>
        <v>0</v>
      </c>
    </row>
    <row r="103" spans="1:37" s="75" customFormat="1" x14ac:dyDescent="0.2">
      <c r="A103" s="409" t="s">
        <v>586</v>
      </c>
      <c r="B103" s="315" t="s">
        <v>563</v>
      </c>
      <c r="C103" s="309"/>
      <c r="D103" s="309" t="s">
        <v>975</v>
      </c>
      <c r="E103" s="309"/>
      <c r="F103" s="309" t="s">
        <v>585</v>
      </c>
      <c r="G103" s="309" t="s">
        <v>775</v>
      </c>
      <c r="H103" s="309" t="s">
        <v>975</v>
      </c>
      <c r="I103" s="309" t="s">
        <v>557</v>
      </c>
      <c r="J103" s="312">
        <v>5120000000000</v>
      </c>
      <c r="K103" s="299">
        <v>43046</v>
      </c>
      <c r="L103" s="311">
        <v>180</v>
      </c>
      <c r="M103" s="202">
        <f>IF(K103="cnr","CNR",IF(K103="CBU", "CBU",IF(K103="Code Out","Code Out",K103+L103)))</f>
        <v>43226</v>
      </c>
      <c r="N103" s="203">
        <f>(M103)</f>
        <v>43226</v>
      </c>
      <c r="O103" s="206" t="str">
        <f>IF(AJ103=1,"",IF(AH103&lt;1,"DEL",""))</f>
        <v/>
      </c>
      <c r="P103" s="299" t="s">
        <v>1551</v>
      </c>
      <c r="Q103" s="313"/>
      <c r="R103" s="313" t="s">
        <v>398</v>
      </c>
      <c r="S103" s="313"/>
      <c r="T103" s="313"/>
      <c r="U103" s="298" t="s">
        <v>1512</v>
      </c>
      <c r="V103" s="314" t="s">
        <v>663</v>
      </c>
      <c r="W103" s="173"/>
      <c r="X103" s="139"/>
      <c r="Y103" s="191" t="str">
        <f>IF(AF103,MONTH(M103),"")</f>
        <v/>
      </c>
      <c r="Z103" s="192" t="str">
        <f>IF(AF103,YEAR(M103),"")</f>
        <v/>
      </c>
      <c r="AA103" s="191" t="str">
        <f>IF(AF103,MONTH(N103),"")</f>
        <v/>
      </c>
      <c r="AB103" s="191" t="str">
        <f>IF(AF103,YEAR(N103),"")</f>
        <v/>
      </c>
      <c r="AC103" s="193" t="str">
        <f>CONCATENATE(Y103,Z103)</f>
        <v/>
      </c>
      <c r="AD103" s="194" t="str">
        <f>CONCATENATE(AA103,AB103)</f>
        <v/>
      </c>
      <c r="AE103" s="195">
        <f>IF(M103="CBU","",IF(M103="CNR","",IF(K103="Code Out","",MIN(M103,N103))))</f>
        <v>43226</v>
      </c>
      <c r="AF103" s="196" t="b">
        <f>--(ISNUMBER(SEARCH("lab",P103)))
=--(ISNUMBER(SEARCH("fred",A95)))</f>
        <v>0</v>
      </c>
      <c r="AG103" s="199" t="b">
        <f>IF(AE103&lt;$J$4,TRUE,FALSE)</f>
        <v>1</v>
      </c>
      <c r="AH103" s="192">
        <f ca="1">IF(K103="CBU","",IF(K103="CNR","",IF(K103="Code Out","",SUM(M103-$U$1))))</f>
        <v>-53.431838773147319</v>
      </c>
      <c r="AI103" s="192">
        <f>COUNTIF(O103,"Del")</f>
        <v>0</v>
      </c>
      <c r="AJ103" s="192">
        <f>COUNTIF(P103,"*at lab*")</f>
        <v>1</v>
      </c>
      <c r="AK103" s="200">
        <f>SUM(AI103:AJ103)</f>
        <v>1</v>
      </c>
    </row>
    <row r="104" spans="1:37" s="75" customFormat="1" ht="25.5" x14ac:dyDescent="0.2">
      <c r="A104" s="402" t="s">
        <v>600</v>
      </c>
      <c r="B104" s="397" t="s">
        <v>600</v>
      </c>
      <c r="C104" s="366"/>
      <c r="D104" s="366" t="s">
        <v>974</v>
      </c>
      <c r="E104" s="366"/>
      <c r="F104" s="366" t="s">
        <v>561</v>
      </c>
      <c r="G104" s="366"/>
      <c r="H104" s="366" t="s">
        <v>974</v>
      </c>
      <c r="I104" s="398" t="s">
        <v>91</v>
      </c>
      <c r="J104" s="399">
        <v>5210010104522</v>
      </c>
      <c r="K104" s="400">
        <v>43026</v>
      </c>
      <c r="L104" s="310">
        <v>1080</v>
      </c>
      <c r="M104" s="202">
        <f>IF(K104="cnr","CNR",IF(K104="CBU", "CBU",IF(K104="Code Out","Code Out",K104+L104)))</f>
        <v>44106</v>
      </c>
      <c r="N104" s="203">
        <f>(M104)</f>
        <v>44106</v>
      </c>
      <c r="O104" s="206" t="str">
        <f>IF(AJ104=1,"",IF(AH104&lt;1,"DEL",""))</f>
        <v/>
      </c>
      <c r="P104" s="317" t="s">
        <v>1491</v>
      </c>
      <c r="Q104" s="313"/>
      <c r="R104" s="313" t="s">
        <v>398</v>
      </c>
      <c r="S104" s="313"/>
      <c r="T104" s="313"/>
      <c r="U104" s="388" t="s">
        <v>1544</v>
      </c>
      <c r="V104" s="314" t="s">
        <v>664</v>
      </c>
      <c r="W104" s="170"/>
      <c r="X104" s="138"/>
      <c r="Y104" s="197" t="str">
        <f>IF(AF104,MONTH(M104),"")</f>
        <v/>
      </c>
      <c r="Z104" s="198" t="str">
        <f>IF(AF104,YEAR(M104),"")</f>
        <v/>
      </c>
      <c r="AA104" s="191" t="str">
        <f>IF(AF104,MONTH(N104),"")</f>
        <v/>
      </c>
      <c r="AB104" s="191" t="str">
        <f>IF(AF104,YEAR(N104),"")</f>
        <v/>
      </c>
      <c r="AC104" s="193" t="str">
        <f>CONCATENATE(Y104,Z104)</f>
        <v/>
      </c>
      <c r="AD104" s="194" t="str">
        <f>CONCATENATE(AA104,AB104)</f>
        <v/>
      </c>
      <c r="AE104" s="195">
        <f>IF(M104="CBU","",IF(M104="CNR","",IF(K104="Code Out","",MIN(M104,N104))))</f>
        <v>44106</v>
      </c>
      <c r="AF104" s="196" t="b">
        <f>--(ISNUMBER(SEARCH("lab",P104)))
=--(ISNUMBER(SEARCH("fred",A96)))</f>
        <v>0</v>
      </c>
      <c r="AG104" s="199" t="b">
        <f>IF(AE104&lt;$J$4,TRUE,FALSE)</f>
        <v>0</v>
      </c>
      <c r="AH104" s="192">
        <f ca="1">IF(K104="CBU","",IF(K104="CNR","",IF(K104="Code Out","",SUM(M104-$U$1))))</f>
        <v>826.56816122685268</v>
      </c>
      <c r="AI104" s="192">
        <f>COUNTIF(O104,"Del")</f>
        <v>0</v>
      </c>
      <c r="AJ104" s="192">
        <f>COUNTIF(P104,"*at lab*")</f>
        <v>1</v>
      </c>
      <c r="AK104" s="200">
        <f>SUM(AI104:AJ104)</f>
        <v>1</v>
      </c>
    </row>
    <row r="105" spans="1:37" s="75" customFormat="1" x14ac:dyDescent="0.2">
      <c r="A105" s="409" t="s">
        <v>601</v>
      </c>
      <c r="B105" s="315" t="s">
        <v>601</v>
      </c>
      <c r="C105" s="309"/>
      <c r="D105" s="309" t="s">
        <v>974</v>
      </c>
      <c r="E105" s="309"/>
      <c r="F105" s="309" t="s">
        <v>561</v>
      </c>
      <c r="G105" s="309"/>
      <c r="H105" s="309" t="s">
        <v>974</v>
      </c>
      <c r="I105" s="311" t="s">
        <v>91</v>
      </c>
      <c r="J105" s="312">
        <v>5210010104522</v>
      </c>
      <c r="K105" s="299">
        <v>42958</v>
      </c>
      <c r="L105" s="310">
        <v>1080</v>
      </c>
      <c r="M105" s="202">
        <f>IF(K105="cnr","CNR",IF(K105="CBU", "CBU",IF(K105="Code Out","Code Out",K105+L105)))</f>
        <v>44038</v>
      </c>
      <c r="N105" s="203">
        <f>M105</f>
        <v>44038</v>
      </c>
      <c r="O105" s="206" t="str">
        <f ca="1">IF(AJ105=1,"",IF(AH105&lt;1,"DEL",""))</f>
        <v/>
      </c>
      <c r="P105" s="317"/>
      <c r="Q105" s="313"/>
      <c r="R105" s="313"/>
      <c r="S105" s="313" t="s">
        <v>398</v>
      </c>
      <c r="T105" s="313"/>
      <c r="U105" s="318" t="s">
        <v>1490</v>
      </c>
      <c r="V105" s="314" t="s">
        <v>663</v>
      </c>
      <c r="W105" s="173"/>
      <c r="X105" s="139"/>
      <c r="Y105" s="191">
        <f>IF(AF105,MONTH(M105),"")</f>
        <v>7</v>
      </c>
      <c r="Z105" s="192">
        <f>IF(AF105,YEAR(M105),"")</f>
        <v>2020</v>
      </c>
      <c r="AA105" s="191">
        <f>IF(AF105,MONTH(N105),"")</f>
        <v>7</v>
      </c>
      <c r="AB105" s="191">
        <f>IF(AF105,YEAR(N105),"")</f>
        <v>2020</v>
      </c>
      <c r="AC105" s="193" t="str">
        <f>CONCATENATE(Y105,Z105)</f>
        <v>72020</v>
      </c>
      <c r="AD105" s="194" t="str">
        <f>CONCATENATE(AA105,AB105)</f>
        <v>72020</v>
      </c>
      <c r="AE105" s="195">
        <f>IF(M105="CBU","",IF(M105="CNR","",IF(K105="Code Out","",MIN(M105,N105))))</f>
        <v>44038</v>
      </c>
      <c r="AF105" s="196" t="b">
        <f>--(ISNUMBER(SEARCH("lab",P105)))
=--(ISNUMBER(SEARCH("fred",A97)))</f>
        <v>1</v>
      </c>
      <c r="AG105" s="199" t="b">
        <f>IF(AE105&lt;$J$4,TRUE,FALSE)</f>
        <v>0</v>
      </c>
      <c r="AH105" s="192">
        <f ca="1">IF(K105="CBU","",IF(K105="CNR","",IF(K105="Code Out","",SUM(M105-$U$1))))</f>
        <v>758.56816122685268</v>
      </c>
      <c r="AI105" s="192">
        <f ca="1">COUNTIF(O105,"Del")</f>
        <v>0</v>
      </c>
      <c r="AJ105" s="192">
        <f>COUNTIF(P105,"*at lab*")</f>
        <v>0</v>
      </c>
      <c r="AK105" s="200">
        <f ca="1">SUM(AI105:AJ105)</f>
        <v>0</v>
      </c>
    </row>
    <row r="106" spans="1:37" s="75" customFormat="1" ht="25.5" x14ac:dyDescent="0.2">
      <c r="A106" s="409" t="s">
        <v>599</v>
      </c>
      <c r="B106" s="315" t="s">
        <v>621</v>
      </c>
      <c r="C106" s="309"/>
      <c r="D106" s="309" t="s">
        <v>870</v>
      </c>
      <c r="E106" s="309"/>
      <c r="F106" s="309" t="s">
        <v>620</v>
      </c>
      <c r="G106" s="309"/>
      <c r="H106" s="309" t="s">
        <v>870</v>
      </c>
      <c r="I106" s="309" t="s">
        <v>577</v>
      </c>
      <c r="J106" s="312">
        <v>5210013973022</v>
      </c>
      <c r="K106" s="299">
        <v>43032</v>
      </c>
      <c r="L106" s="310">
        <v>1080</v>
      </c>
      <c r="M106" s="202">
        <f>IF(K106="cnr","CNR",IF(K106="CBU", "CBU",IF(K106="Code Out","Code Out",K106+L106)))</f>
        <v>44112</v>
      </c>
      <c r="N106" s="203">
        <f>M106</f>
        <v>44112</v>
      </c>
      <c r="O106" s="206" t="str">
        <f ca="1">IF(AJ106=1,"",IF(AH106&lt;1,"DEL",""))</f>
        <v/>
      </c>
      <c r="P106" s="317"/>
      <c r="Q106" s="313"/>
      <c r="R106" s="313"/>
      <c r="S106" s="313" t="s">
        <v>398</v>
      </c>
      <c r="T106" s="313"/>
      <c r="U106" s="318" t="s">
        <v>1508</v>
      </c>
      <c r="V106" s="314" t="s">
        <v>696</v>
      </c>
      <c r="W106" s="303"/>
      <c r="X106" s="302"/>
      <c r="Y106" s="197">
        <f>IF(AF106,MONTH(M106),"")</f>
        <v>10</v>
      </c>
      <c r="Z106" s="198">
        <f>IF(AF106,YEAR(M106),"")</f>
        <v>2020</v>
      </c>
      <c r="AA106" s="191">
        <f>IF(AF106,MONTH(N106),"")</f>
        <v>10</v>
      </c>
      <c r="AB106" s="191">
        <f>IF(AF106,YEAR(N106),"")</f>
        <v>2020</v>
      </c>
      <c r="AC106" s="193" t="str">
        <f>CONCATENATE(Y106,Z106)</f>
        <v>102020</v>
      </c>
      <c r="AD106" s="194" t="str">
        <f>CONCATENATE(AA106,AB106)</f>
        <v>102020</v>
      </c>
      <c r="AE106" s="195">
        <f>IF(M106="CBU","",IF(M106="CNR","",IF(K106="Code Out","",MIN(M106,N106))))</f>
        <v>44112</v>
      </c>
      <c r="AF106" s="196" t="b">
        <f>--(ISNUMBER(SEARCH("lab",P106)))
=--(ISNUMBER(SEARCH("fred",A98)))</f>
        <v>1</v>
      </c>
      <c r="AG106" s="199" t="b">
        <f>IF(AE106&lt;$J$4,TRUE,FALSE)</f>
        <v>0</v>
      </c>
      <c r="AH106" s="192">
        <f ca="1">IF(K106="CBU","",IF(K106="CNR","",IF(K106="Code Out","",SUM(M106-$U$1))))</f>
        <v>832.56816122685268</v>
      </c>
      <c r="AI106" s="192">
        <f ca="1">COUNTIF(O106,"Del")</f>
        <v>0</v>
      </c>
      <c r="AJ106" s="192">
        <f>COUNTIF(P106,"*at lab*")</f>
        <v>0</v>
      </c>
      <c r="AK106" s="200">
        <f ca="1">SUM(AI106:AJ106)</f>
        <v>0</v>
      </c>
    </row>
    <row r="107" spans="1:37" s="75" customFormat="1" ht="25.5" x14ac:dyDescent="0.2">
      <c r="A107" s="409" t="s">
        <v>598</v>
      </c>
      <c r="B107" s="315" t="s">
        <v>598</v>
      </c>
      <c r="C107" s="309"/>
      <c r="D107" s="309" t="s">
        <v>870</v>
      </c>
      <c r="E107" s="309"/>
      <c r="F107" s="309" t="s">
        <v>620</v>
      </c>
      <c r="G107" s="309"/>
      <c r="H107" s="309" t="s">
        <v>870</v>
      </c>
      <c r="I107" s="309" t="s">
        <v>577</v>
      </c>
      <c r="J107" s="312">
        <v>5210013973022</v>
      </c>
      <c r="K107" s="299">
        <v>43032</v>
      </c>
      <c r="L107" s="310">
        <v>1080</v>
      </c>
      <c r="M107" s="202">
        <f>IF(K107="cnr","CNR",IF(K107="CBU", "CBU",IF(K107="Code Out","Code Out",K107+L107)))</f>
        <v>44112</v>
      </c>
      <c r="N107" s="203">
        <f>M107</f>
        <v>44112</v>
      </c>
      <c r="O107" s="206" t="str">
        <f ca="1">IF(AJ107=1,"",IF(AH107&lt;1,"DEL",""))</f>
        <v/>
      </c>
      <c r="P107" s="317"/>
      <c r="Q107" s="313"/>
      <c r="R107" s="313"/>
      <c r="S107" s="313" t="s">
        <v>398</v>
      </c>
      <c r="T107" s="313"/>
      <c r="U107" s="318" t="s">
        <v>1508</v>
      </c>
      <c r="V107" s="314" t="s">
        <v>696</v>
      </c>
      <c r="W107" s="173"/>
      <c r="X107" s="139"/>
      <c r="Y107" s="191">
        <f>IF(AF107,MONTH(M107),"")</f>
        <v>10</v>
      </c>
      <c r="Z107" s="192">
        <f>IF(AF107,YEAR(M107),"")</f>
        <v>2020</v>
      </c>
      <c r="AA107" s="191">
        <f>IF(AF107,MONTH(N107),"")</f>
        <v>10</v>
      </c>
      <c r="AB107" s="191">
        <f>IF(AF107,YEAR(N107),"")</f>
        <v>2020</v>
      </c>
      <c r="AC107" s="193" t="str">
        <f>CONCATENATE(Y107,Z107)</f>
        <v>102020</v>
      </c>
      <c r="AD107" s="194" t="str">
        <f>CONCATENATE(AA107,AB107)</f>
        <v>102020</v>
      </c>
      <c r="AE107" s="195">
        <f>IF(M107="CBU","",IF(M107="CNR","",IF(K107="Code Out","",MIN(M107,N107))))</f>
        <v>44112</v>
      </c>
      <c r="AF107" s="196" t="b">
        <f>--(ISNUMBER(SEARCH("lab",P107)))
=--(ISNUMBER(SEARCH("fred",A99)))</f>
        <v>1</v>
      </c>
      <c r="AG107" s="199" t="b">
        <f>IF(AE107&lt;$J$4,TRUE,FALSE)</f>
        <v>0</v>
      </c>
      <c r="AH107" s="192">
        <f ca="1">IF(K107="CBU","",IF(K107="CNR","",IF(K107="Code Out","",SUM(M107-$U$1))))</f>
        <v>832.56816122685268</v>
      </c>
      <c r="AI107" s="192">
        <f ca="1">COUNTIF(O107,"Del")</f>
        <v>0</v>
      </c>
      <c r="AJ107" s="192">
        <f>COUNTIF(P107,"*at lab*")</f>
        <v>0</v>
      </c>
      <c r="AK107" s="200">
        <f ca="1">SUM(AI107:AJ107)</f>
        <v>0</v>
      </c>
    </row>
    <row r="108" spans="1:37" s="75" customFormat="1" ht="35.25" customHeight="1" x14ac:dyDescent="0.2">
      <c r="A108" s="409" t="s">
        <v>605</v>
      </c>
      <c r="B108" s="315" t="s">
        <v>605</v>
      </c>
      <c r="C108" s="309"/>
      <c r="D108" s="311">
        <v>3</v>
      </c>
      <c r="E108" s="311"/>
      <c r="F108" s="309" t="s">
        <v>560</v>
      </c>
      <c r="G108" s="309"/>
      <c r="H108" s="309" t="s">
        <v>974</v>
      </c>
      <c r="I108" s="309" t="s">
        <v>559</v>
      </c>
      <c r="J108" s="312">
        <v>5120007104359</v>
      </c>
      <c r="K108" s="299">
        <v>42856</v>
      </c>
      <c r="L108" s="310">
        <v>1080</v>
      </c>
      <c r="M108" s="202">
        <f>IF(K108="cnr","CNR",IF(K108="CBU", "CBU",IF(K108="Code Out","Code Out",K108+L108)))</f>
        <v>43936</v>
      </c>
      <c r="N108" s="203">
        <f>M108</f>
        <v>43936</v>
      </c>
      <c r="O108" s="206" t="str">
        <f ca="1">IF(AJ108=1,"",IF(AH108&lt;1,"DEL",""))</f>
        <v/>
      </c>
      <c r="P108" s="317"/>
      <c r="Q108" s="313"/>
      <c r="R108" s="313"/>
      <c r="S108" s="313" t="s">
        <v>398</v>
      </c>
      <c r="T108" s="313"/>
      <c r="U108" s="318" t="s">
        <v>1467</v>
      </c>
      <c r="V108" s="314" t="s">
        <v>663</v>
      </c>
      <c r="W108" s="303"/>
      <c r="X108" s="302"/>
      <c r="Y108" s="197">
        <f>IF(AF108,MONTH(M108),"")</f>
        <v>4</v>
      </c>
      <c r="Z108" s="198">
        <f>IF(AF108,YEAR(M108),"")</f>
        <v>2020</v>
      </c>
      <c r="AA108" s="191">
        <f>IF(AF108,MONTH(N108),"")</f>
        <v>4</v>
      </c>
      <c r="AB108" s="191">
        <f>IF(AF108,YEAR(N108),"")</f>
        <v>2020</v>
      </c>
      <c r="AC108" s="193" t="str">
        <f>CONCATENATE(Y108,Z108)</f>
        <v>42020</v>
      </c>
      <c r="AD108" s="194" t="str">
        <f>CONCATENATE(AA108,AB108)</f>
        <v>42020</v>
      </c>
      <c r="AE108" s="195">
        <f>IF(M108="CBU","",IF(M108="CNR","",IF(K108="Code Out","",MIN(M108,N108))))</f>
        <v>43936</v>
      </c>
      <c r="AF108" s="196" t="b">
        <f>--(ISNUMBER(SEARCH("lab",P108)))
=--(ISNUMBER(SEARCH("fred",#REF!)))</f>
        <v>1</v>
      </c>
      <c r="AG108" s="199" t="b">
        <f>IF(AE108&lt;$J$4,TRUE,FALSE)</f>
        <v>0</v>
      </c>
      <c r="AH108" s="192">
        <f ca="1">IF(K108="CBU","",IF(K108="CNR","",IF(K108="Code Out","",SUM(M108-$U$1))))</f>
        <v>656.56816122685268</v>
      </c>
      <c r="AI108" s="192">
        <f ca="1">COUNTIF(O108,"Del")</f>
        <v>0</v>
      </c>
      <c r="AJ108" s="192">
        <f>COUNTIF(P108,"*at lab*")</f>
        <v>0</v>
      </c>
      <c r="AK108" s="200">
        <f ca="1">SUM(AI108:AJ108)</f>
        <v>0</v>
      </c>
    </row>
    <row r="109" spans="1:37" s="75" customFormat="1" ht="25.5" x14ac:dyDescent="0.2">
      <c r="A109" s="207" t="s">
        <v>706</v>
      </c>
      <c r="B109" s="315" t="s">
        <v>646</v>
      </c>
      <c r="C109" s="309" t="s">
        <v>649</v>
      </c>
      <c r="D109" s="309" t="s">
        <v>855</v>
      </c>
      <c r="E109" s="309"/>
      <c r="F109" s="309" t="s">
        <v>647</v>
      </c>
      <c r="G109" s="309"/>
      <c r="H109" s="309" t="s">
        <v>855</v>
      </c>
      <c r="I109" s="309" t="s">
        <v>648</v>
      </c>
      <c r="J109" s="312">
        <v>6625011877847</v>
      </c>
      <c r="K109" s="299">
        <v>43138</v>
      </c>
      <c r="L109" s="310">
        <v>180</v>
      </c>
      <c r="M109" s="202">
        <f>IF(K109="cnr","CNR",IF(K109="CBU", "CBU",IF(K109="Code Out","Code Out",K109+L109)))</f>
        <v>43318</v>
      </c>
      <c r="N109" s="203">
        <f>M109</f>
        <v>43318</v>
      </c>
      <c r="O109" s="206" t="str">
        <f ca="1">IF(AJ109=1,"",IF(AH109&lt;1,"DEL",""))</f>
        <v/>
      </c>
      <c r="P109" s="299"/>
      <c r="Q109" s="313"/>
      <c r="R109" s="313"/>
      <c r="S109" s="313" t="s">
        <v>398</v>
      </c>
      <c r="T109" s="313"/>
      <c r="U109" s="318" t="s">
        <v>1526</v>
      </c>
      <c r="V109" s="320" t="s">
        <v>367</v>
      </c>
      <c r="W109" s="171"/>
      <c r="X109" s="140"/>
      <c r="Y109" s="197">
        <f>IF(AF109,MONTH(M109),"")</f>
        <v>8</v>
      </c>
      <c r="Z109" s="198">
        <f>IF(AF109,YEAR(M109),"")</f>
        <v>2018</v>
      </c>
      <c r="AA109" s="191">
        <f>IF(AF109,MONTH(N109),"")</f>
        <v>8</v>
      </c>
      <c r="AB109" s="191">
        <f>IF(AF109,YEAR(N109),"")</f>
        <v>2018</v>
      </c>
      <c r="AC109" s="193" t="str">
        <f>CONCATENATE(Y109,Z109)</f>
        <v>82018</v>
      </c>
      <c r="AD109" s="194" t="str">
        <f>CONCATENATE(AA109,AB109)</f>
        <v>82018</v>
      </c>
      <c r="AE109" s="195">
        <f>IF(M109="CBU","",IF(M109="CNR","",IF(K109="Code Out","",MIN(M109,N109))))</f>
        <v>43318</v>
      </c>
      <c r="AF109" s="196" t="b">
        <f>--(ISNUMBER(SEARCH("lab",P109)))
=--(ISNUMBER(SEARCH("fred",A102)))</f>
        <v>1</v>
      </c>
      <c r="AG109" s="199" t="b">
        <f>IF(AE109&lt;$J$4,TRUE,FALSE)</f>
        <v>0</v>
      </c>
      <c r="AH109" s="192">
        <f ca="1">IF(K109="CBU","",IF(K109="CNR","",IF(K109="Code Out","",SUM(M109-$U$1))))</f>
        <v>38.568161226852681</v>
      </c>
      <c r="AI109" s="192">
        <f ca="1">COUNTIF(O109,"Del")</f>
        <v>0</v>
      </c>
      <c r="AJ109" s="192">
        <f>COUNTIF(P109,"*at lab*")</f>
        <v>0</v>
      </c>
      <c r="AK109" s="200">
        <f ca="1">SUM(AI109:AJ109)</f>
        <v>0</v>
      </c>
    </row>
    <row r="110" spans="1:37" s="75" customFormat="1" ht="25.5" x14ac:dyDescent="0.2">
      <c r="A110" s="207" t="s">
        <v>715</v>
      </c>
      <c r="B110" s="315" t="s">
        <v>716</v>
      </c>
      <c r="C110" s="309"/>
      <c r="D110" s="309" t="s">
        <v>870</v>
      </c>
      <c r="E110" s="309"/>
      <c r="F110" s="309" t="s">
        <v>427</v>
      </c>
      <c r="G110" s="309" t="s">
        <v>773</v>
      </c>
      <c r="H110" s="309" t="s">
        <v>870</v>
      </c>
      <c r="I110" s="309" t="s">
        <v>5</v>
      </c>
      <c r="J110" s="312">
        <v>5120007761841</v>
      </c>
      <c r="K110" s="299">
        <v>43046</v>
      </c>
      <c r="L110" s="310">
        <v>180</v>
      </c>
      <c r="M110" s="202">
        <f>IF(K110="cnr","CNR",IF(K110="CBU", "CBU",IF(K110="Code Out","Code Out",K110+L110)))</f>
        <v>43226</v>
      </c>
      <c r="N110" s="203">
        <f>M110</f>
        <v>43226</v>
      </c>
      <c r="O110" s="206" t="str">
        <f>IF(AJ110=1,"",IF(AH110&lt;1,"DEL",""))</f>
        <v/>
      </c>
      <c r="P110" s="299" t="s">
        <v>1551</v>
      </c>
      <c r="Q110" s="313"/>
      <c r="R110" s="313" t="s">
        <v>398</v>
      </c>
      <c r="S110" s="313"/>
      <c r="T110" s="313"/>
      <c r="U110" s="318" t="s">
        <v>1512</v>
      </c>
      <c r="V110" s="320" t="s">
        <v>373</v>
      </c>
      <c r="W110" s="305"/>
      <c r="X110" s="304"/>
      <c r="Y110" s="197" t="str">
        <f>IF(AF110,MONTH(M110),"")</f>
        <v/>
      </c>
      <c r="Z110" s="198" t="str">
        <f>IF(AF110,YEAR(M110),"")</f>
        <v/>
      </c>
      <c r="AA110" s="191" t="str">
        <f>IF(AF110,MONTH(N110),"")</f>
        <v/>
      </c>
      <c r="AB110" s="191" t="str">
        <f>IF(AF110,YEAR(N110),"")</f>
        <v/>
      </c>
      <c r="AC110" s="193" t="str">
        <f>CONCATENATE(Y110,Z110)</f>
        <v/>
      </c>
      <c r="AD110" s="194" t="str">
        <f>CONCATENATE(AA110,AB110)</f>
        <v/>
      </c>
      <c r="AE110" s="195">
        <f>IF(M110="CBU","",IF(M110="CNR","",IF(K110="Code Out","",MIN(M110,N110))))</f>
        <v>43226</v>
      </c>
      <c r="AF110" s="196" t="b">
        <f>--(ISNUMBER(SEARCH("lab",P110)))
=--(ISNUMBER(SEARCH("fred",A103)))</f>
        <v>0</v>
      </c>
      <c r="AG110" s="199" t="b">
        <f>IF(AE110&lt;$J$4,TRUE,FALSE)</f>
        <v>1</v>
      </c>
      <c r="AH110" s="192">
        <f ca="1">IF(K110="CBU","",IF(K110="CNR","",IF(K110="Code Out","",SUM(M110-$U$1))))</f>
        <v>-53.431838773147319</v>
      </c>
      <c r="AI110" s="192">
        <f>COUNTIF(O110,"Del")</f>
        <v>0</v>
      </c>
      <c r="AJ110" s="192">
        <f>COUNTIF(P110,"*at lab*")</f>
        <v>1</v>
      </c>
      <c r="AK110" s="200">
        <f>SUM(AI110:AJ110)</f>
        <v>1</v>
      </c>
    </row>
    <row r="111" spans="1:37" s="75" customFormat="1" ht="25.5" x14ac:dyDescent="0.2">
      <c r="A111" s="207" t="s">
        <v>709</v>
      </c>
      <c r="B111" s="315" t="s">
        <v>698</v>
      </c>
      <c r="C111" s="309"/>
      <c r="D111" s="309" t="s">
        <v>855</v>
      </c>
      <c r="E111" s="309"/>
      <c r="F111" s="309" t="s">
        <v>631</v>
      </c>
      <c r="G111" s="309"/>
      <c r="H111" s="309" t="s">
        <v>855</v>
      </c>
      <c r="I111" s="309" t="s">
        <v>164</v>
      </c>
      <c r="J111" s="312">
        <v>6625014091017</v>
      </c>
      <c r="K111" s="299">
        <v>42321</v>
      </c>
      <c r="L111" s="310">
        <v>1080</v>
      </c>
      <c r="M111" s="202">
        <f>IF(K111="cnr","CNR",IF(K111="CBU", "CBU",IF(K111="Code Out","Code Out",K111+L111)))</f>
        <v>43401</v>
      </c>
      <c r="N111" s="203">
        <f>M111</f>
        <v>43401</v>
      </c>
      <c r="O111" s="206" t="str">
        <f ca="1">IF(AJ111=1,"",IF(AH111&lt;1,"DEL",""))</f>
        <v/>
      </c>
      <c r="P111" s="299"/>
      <c r="Q111" s="313"/>
      <c r="R111" s="313"/>
      <c r="S111" s="313" t="s">
        <v>1370</v>
      </c>
      <c r="T111" s="313"/>
      <c r="U111" s="298" t="s">
        <v>1506</v>
      </c>
      <c r="V111" s="320" t="s">
        <v>1001</v>
      </c>
      <c r="W111" s="172"/>
      <c r="X111" s="137"/>
      <c r="Y111" s="191">
        <f>IF(AF111,MONTH(M111),"")</f>
        <v>10</v>
      </c>
      <c r="Z111" s="192">
        <f>IF(AF111,YEAR(M111),"")</f>
        <v>2018</v>
      </c>
      <c r="AA111" s="191">
        <f>IF(AF111,MONTH(N111),"")</f>
        <v>10</v>
      </c>
      <c r="AB111" s="191">
        <f>IF(AF111,YEAR(N111),"")</f>
        <v>2018</v>
      </c>
      <c r="AC111" s="193" t="str">
        <f>CONCATENATE(Y111,Z111)</f>
        <v>102018</v>
      </c>
      <c r="AD111" s="194" t="str">
        <f>CONCATENATE(AA111,AB111)</f>
        <v>102018</v>
      </c>
      <c r="AE111" s="195">
        <f>IF(M111="CBU","",IF(M111="CNR","",IF(K111="Code Out","",MIN(M111,N111))))</f>
        <v>43401</v>
      </c>
      <c r="AF111" s="196" t="b">
        <f>--(ISNUMBER(SEARCH("lab",P111)))
=--(ISNUMBER(SEARCH("fred",A104)))</f>
        <v>1</v>
      </c>
      <c r="AG111" s="199" t="b">
        <f>IF(AE111&lt;$J$4,TRUE,FALSE)</f>
        <v>0</v>
      </c>
      <c r="AH111" s="192">
        <f ca="1">IF(K111="CBU","",IF(K111="CNR","",IF(K111="Code Out","",SUM(M111-$U$1))))</f>
        <v>121.56816122685268</v>
      </c>
      <c r="AI111" s="192">
        <f ca="1">COUNTIF(O111,"Del")</f>
        <v>0</v>
      </c>
      <c r="AJ111" s="192">
        <f>COUNTIF(P111,"*at lab*")</f>
        <v>0</v>
      </c>
      <c r="AK111" s="200">
        <f ca="1">SUM(AI111:AJ111)</f>
        <v>0</v>
      </c>
    </row>
    <row r="112" spans="1:37" s="75" customFormat="1" ht="25.5" x14ac:dyDescent="0.2">
      <c r="A112" s="207" t="s">
        <v>704</v>
      </c>
      <c r="B112" s="315" t="s">
        <v>632</v>
      </c>
      <c r="C112" s="309"/>
      <c r="D112" s="309" t="s">
        <v>855</v>
      </c>
      <c r="E112" s="309"/>
      <c r="F112" s="309" t="s">
        <v>633</v>
      </c>
      <c r="G112" s="309"/>
      <c r="H112" s="309" t="s">
        <v>855</v>
      </c>
      <c r="I112" s="309" t="s">
        <v>634</v>
      </c>
      <c r="J112" s="312">
        <v>6625013239584</v>
      </c>
      <c r="K112" s="299">
        <v>42621</v>
      </c>
      <c r="L112" s="310">
        <v>840</v>
      </c>
      <c r="M112" s="202">
        <f>IF(K112="cnr","CNR",IF(K112="CBU", "CBU",IF(K112="Code Out","Code Out",K112+L112)))</f>
        <v>43461</v>
      </c>
      <c r="N112" s="203">
        <f>M112</f>
        <v>43461</v>
      </c>
      <c r="O112" s="206" t="str">
        <f ca="1">IF(AJ112=1,"",IF(AH112&lt;1,"DEL",""))</f>
        <v/>
      </c>
      <c r="P112" s="299"/>
      <c r="Q112" s="313"/>
      <c r="R112" s="313"/>
      <c r="S112" s="313" t="s">
        <v>1370</v>
      </c>
      <c r="T112" s="313"/>
      <c r="U112" s="318" t="s">
        <v>1428</v>
      </c>
      <c r="V112" s="320" t="s">
        <v>369</v>
      </c>
      <c r="W112" s="172"/>
      <c r="X112" s="137"/>
      <c r="Y112" s="191">
        <f>IF(AF112,MONTH(M112),"")</f>
        <v>12</v>
      </c>
      <c r="Z112" s="192">
        <f>IF(AF112,YEAR(M112),"")</f>
        <v>2018</v>
      </c>
      <c r="AA112" s="191">
        <f>IF(AF112,MONTH(N112),"")</f>
        <v>12</v>
      </c>
      <c r="AB112" s="191">
        <f>IF(AF112,YEAR(N112),"")</f>
        <v>2018</v>
      </c>
      <c r="AC112" s="193" t="str">
        <f>CONCATENATE(Y112,Z112)</f>
        <v>122018</v>
      </c>
      <c r="AD112" s="194" t="str">
        <f>CONCATENATE(AA112,AB112)</f>
        <v>122018</v>
      </c>
      <c r="AE112" s="195">
        <f>IF(M112="CBU","",IF(M112="CNR","",IF(K112="Code Out","",MIN(M112,N112))))</f>
        <v>43461</v>
      </c>
      <c r="AF112" s="196" t="b">
        <f>--(ISNUMBER(SEARCH("lab",P112)))
=--(ISNUMBER(SEARCH("fred",A105)))</f>
        <v>1</v>
      </c>
      <c r="AG112" s="199" t="b">
        <f>IF(AE112&lt;$J$4,TRUE,FALSE)</f>
        <v>0</v>
      </c>
      <c r="AH112" s="192">
        <f ca="1">IF(K112="CBU","",IF(K112="CNR","",IF(K112="Code Out","",SUM(M112-$U$1))))</f>
        <v>181.56816122685268</v>
      </c>
      <c r="AI112" s="192">
        <f ca="1">COUNTIF(O112,"Del")</f>
        <v>0</v>
      </c>
      <c r="AJ112" s="192">
        <f>COUNTIF(P112,"*at lab*")</f>
        <v>0</v>
      </c>
      <c r="AK112" s="200">
        <f ca="1">SUM(AI112:AJ112)</f>
        <v>0</v>
      </c>
    </row>
    <row r="113" spans="1:37" s="75" customFormat="1" ht="25.5" x14ac:dyDescent="0.2">
      <c r="A113" s="207" t="s">
        <v>639</v>
      </c>
      <c r="B113" s="315" t="s">
        <v>629</v>
      </c>
      <c r="C113" s="309"/>
      <c r="D113" s="309" t="s">
        <v>984</v>
      </c>
      <c r="E113" s="309"/>
      <c r="F113" s="309" t="s">
        <v>251</v>
      </c>
      <c r="G113" s="309"/>
      <c r="H113" s="309" t="s">
        <v>984</v>
      </c>
      <c r="I113" s="309" t="s">
        <v>638</v>
      </c>
      <c r="J113" s="312">
        <v>6670014074073</v>
      </c>
      <c r="K113" s="299">
        <v>42898</v>
      </c>
      <c r="L113" s="310">
        <v>840</v>
      </c>
      <c r="M113" s="202">
        <f>IF(K113="cnr","CNR",IF(K113="CBU", "CBU",IF(K113="Code Out","Code Out",K113+L113)))</f>
        <v>43738</v>
      </c>
      <c r="N113" s="203">
        <f>M113</f>
        <v>43738</v>
      </c>
      <c r="O113" s="206" t="str">
        <f ca="1">IF(AJ113=1,"",IF(AH113&lt;1,"DEL",""))</f>
        <v/>
      </c>
      <c r="P113" s="317"/>
      <c r="Q113" s="313"/>
      <c r="R113" s="313"/>
      <c r="S113" s="313" t="s">
        <v>1470</v>
      </c>
      <c r="T113" s="313"/>
      <c r="U113" s="318" t="s">
        <v>1471</v>
      </c>
      <c r="V113" s="320" t="s">
        <v>369</v>
      </c>
      <c r="W113" s="305"/>
      <c r="X113" s="304"/>
      <c r="Y113" s="197">
        <f>IF(AF113,MONTH(M113),"")</f>
        <v>9</v>
      </c>
      <c r="Z113" s="198">
        <f>IF(AF113,YEAR(M113),"")</f>
        <v>2019</v>
      </c>
      <c r="AA113" s="191">
        <f>IF(AF113,MONTH(N113),"")</f>
        <v>9</v>
      </c>
      <c r="AB113" s="191">
        <f>IF(AF113,YEAR(N113),"")</f>
        <v>2019</v>
      </c>
      <c r="AC113" s="193" t="str">
        <f>CONCATENATE(Y113,Z113)</f>
        <v>92019</v>
      </c>
      <c r="AD113" s="194" t="str">
        <f>CONCATENATE(AA113,AB113)</f>
        <v>92019</v>
      </c>
      <c r="AE113" s="195">
        <f>IF(M113="CBU","",IF(M113="CNR","",IF(K113="Code Out","",MIN(M113,N113))))</f>
        <v>43738</v>
      </c>
      <c r="AF113" s="196" t="b">
        <f>--(ISNUMBER(SEARCH("lab",P113)))
=--(ISNUMBER(SEARCH("fred",A106)))</f>
        <v>1</v>
      </c>
      <c r="AG113" s="199" t="b">
        <f>IF(AE113&lt;$J$4,TRUE,FALSE)</f>
        <v>0</v>
      </c>
      <c r="AH113" s="192">
        <f ca="1">IF(K113="CBU","",IF(K113="CNR","",IF(K113="Code Out","",SUM(M113-$U$1))))</f>
        <v>458.56816122685268</v>
      </c>
      <c r="AI113" s="192">
        <f ca="1">COUNTIF(O113,"Del")</f>
        <v>0</v>
      </c>
      <c r="AJ113" s="192">
        <f>COUNTIF(P113,"*at lab*")</f>
        <v>0</v>
      </c>
      <c r="AK113" s="200">
        <f ca="1">SUM(AI113:AJ113)</f>
        <v>0</v>
      </c>
    </row>
    <row r="114" spans="1:37" s="75" customFormat="1" x14ac:dyDescent="0.2">
      <c r="A114" s="207" t="s">
        <v>637</v>
      </c>
      <c r="B114" s="315" t="s">
        <v>625</v>
      </c>
      <c r="C114" s="309"/>
      <c r="D114" s="309" t="s">
        <v>1350</v>
      </c>
      <c r="E114" s="309"/>
      <c r="F114" s="309" t="s">
        <v>700</v>
      </c>
      <c r="G114" s="309"/>
      <c r="H114" s="309" t="s">
        <v>855</v>
      </c>
      <c r="I114" s="309" t="s">
        <v>624</v>
      </c>
      <c r="J114" s="312"/>
      <c r="K114" s="299">
        <v>43145</v>
      </c>
      <c r="L114" s="310">
        <v>360</v>
      </c>
      <c r="M114" s="202">
        <f>IF(K114="cnr","CNR",IF(K114="CBU", "CBU",IF(K114="Code Out","Code Out",K114+L114)))</f>
        <v>43505</v>
      </c>
      <c r="N114" s="203">
        <f>M114</f>
        <v>43505</v>
      </c>
      <c r="O114" s="206" t="str">
        <f ca="1">IF(AJ114=1,"",IF(AH114&lt;1,"DEL",""))</f>
        <v/>
      </c>
      <c r="P114" s="299"/>
      <c r="Q114" s="313"/>
      <c r="R114" s="313"/>
      <c r="S114" s="313" t="s">
        <v>398</v>
      </c>
      <c r="T114" s="313"/>
      <c r="U114" s="298" t="s">
        <v>1526</v>
      </c>
      <c r="V114" s="314" t="s">
        <v>373</v>
      </c>
      <c r="W114" s="170"/>
      <c r="X114" s="138"/>
      <c r="Y114" s="197">
        <f>IF(AF114,MONTH(M114),"")</f>
        <v>2</v>
      </c>
      <c r="Z114" s="198">
        <f>IF(AF114,YEAR(M114),"")</f>
        <v>2019</v>
      </c>
      <c r="AA114" s="191">
        <f>IF(AF114,MONTH(N114),"")</f>
        <v>2</v>
      </c>
      <c r="AB114" s="191">
        <f>IF(AF114,YEAR(N114),"")</f>
        <v>2019</v>
      </c>
      <c r="AC114" s="193" t="str">
        <f>CONCATENATE(Y114,Z114)</f>
        <v>22019</v>
      </c>
      <c r="AD114" s="194" t="str">
        <f>CONCATENATE(AA114,AB114)</f>
        <v>22019</v>
      </c>
      <c r="AE114" s="195">
        <f>IF(M114="CBU","",IF(M114="CNR","",IF(K114="Code Out","",MIN(M114,N114))))</f>
        <v>43505</v>
      </c>
      <c r="AF114" s="196" t="b">
        <f>--(ISNUMBER(SEARCH("lab",P114)))
=--(ISNUMBER(SEARCH("fred",A107)))</f>
        <v>1</v>
      </c>
      <c r="AG114" s="199" t="b">
        <f>IF(AE114&lt;$J$4,TRUE,FALSE)</f>
        <v>0</v>
      </c>
      <c r="AH114" s="192">
        <f ca="1">IF(K114="CBU","",IF(K114="CNR","",IF(K114="Code Out","",SUM(M114-$U$1))))</f>
        <v>225.56816122685268</v>
      </c>
      <c r="AI114" s="192">
        <f ca="1">COUNTIF(O114,"Del")</f>
        <v>0</v>
      </c>
      <c r="AJ114" s="192">
        <f>COUNTIF(P114,"*at lab*")</f>
        <v>0</v>
      </c>
      <c r="AK114" s="200">
        <f ca="1">SUM(AI114:AJ114)</f>
        <v>0</v>
      </c>
    </row>
    <row r="115" spans="1:37" s="75" customFormat="1" ht="25.5" x14ac:dyDescent="0.2">
      <c r="A115" s="409" t="s">
        <v>587</v>
      </c>
      <c r="B115" s="315" t="s">
        <v>565</v>
      </c>
      <c r="C115" s="309"/>
      <c r="D115" s="309" t="s">
        <v>974</v>
      </c>
      <c r="E115" s="309"/>
      <c r="F115" s="309" t="s">
        <v>619</v>
      </c>
      <c r="G115" s="309"/>
      <c r="H115" s="309" t="s">
        <v>870</v>
      </c>
      <c r="I115" s="309" t="s">
        <v>557</v>
      </c>
      <c r="J115" s="312">
        <v>5120000000000</v>
      </c>
      <c r="K115" s="299">
        <v>43138</v>
      </c>
      <c r="L115" s="311">
        <v>180</v>
      </c>
      <c r="M115" s="202">
        <f>IF(K115="cnr","CNR",IF(K115="CBU", "CBU",IF(K115="Code Out","Code Out",K115+L115)))</f>
        <v>43318</v>
      </c>
      <c r="N115" s="203">
        <f>M115</f>
        <v>43318</v>
      </c>
      <c r="O115" s="206" t="str">
        <f ca="1">IF(AJ115=1,"",IF(AH115&lt;1,"DEL",""))</f>
        <v/>
      </c>
      <c r="P115" s="299"/>
      <c r="Q115" s="313"/>
      <c r="R115" s="313"/>
      <c r="S115" s="313" t="s">
        <v>398</v>
      </c>
      <c r="T115" s="313"/>
      <c r="U115" s="298" t="s">
        <v>1526</v>
      </c>
      <c r="V115" s="314" t="s">
        <v>663</v>
      </c>
      <c r="W115" s="173"/>
      <c r="X115" s="139"/>
      <c r="Y115" s="191">
        <f>IF(AF115,MONTH(M115),"")</f>
        <v>8</v>
      </c>
      <c r="Z115" s="192">
        <f>IF(AF115,YEAR(M115),"")</f>
        <v>2018</v>
      </c>
      <c r="AA115" s="191">
        <f>IF(AF115,MONTH(N115),"")</f>
        <v>8</v>
      </c>
      <c r="AB115" s="191">
        <f>IF(AF115,YEAR(N115),"")</f>
        <v>2018</v>
      </c>
      <c r="AC115" s="193" t="str">
        <f>CONCATENATE(Y115,Z115)</f>
        <v>82018</v>
      </c>
      <c r="AD115" s="194" t="str">
        <f>CONCATENATE(AA115,AB115)</f>
        <v>82018</v>
      </c>
      <c r="AE115" s="195">
        <f>IF(M115="CBU","",IF(M115="CNR","",IF(K115="Code Out","",MIN(M115,N115))))</f>
        <v>43318</v>
      </c>
      <c r="AF115" s="196" t="b">
        <f>--(ISNUMBER(SEARCH("lab",P115)))
=--(ISNUMBER(SEARCH("fred",A108)))</f>
        <v>1</v>
      </c>
      <c r="AG115" s="199" t="b">
        <f>IF(AE115&lt;$J$4,TRUE,FALSE)</f>
        <v>0</v>
      </c>
      <c r="AH115" s="192">
        <f ca="1">IF(K115="CBU","",IF(K115="CNR","",IF(K115="Code Out","",SUM(M115-$U$1))))</f>
        <v>38.568161226852681</v>
      </c>
      <c r="AI115" s="192">
        <f ca="1">COUNTIF(O115,"Del")</f>
        <v>0</v>
      </c>
      <c r="AJ115" s="192">
        <f>COUNTIF(P115,"*at lab*")</f>
        <v>0</v>
      </c>
      <c r="AK115" s="200">
        <f ca="1">SUM(AI115:AJ115)</f>
        <v>0</v>
      </c>
    </row>
    <row r="116" spans="1:37" s="75" customFormat="1" x14ac:dyDescent="0.2">
      <c r="A116" s="409" t="s">
        <v>583</v>
      </c>
      <c r="B116" s="315" t="s">
        <v>558</v>
      </c>
      <c r="C116" s="309"/>
      <c r="D116" s="309" t="s">
        <v>870</v>
      </c>
      <c r="E116" s="309"/>
      <c r="F116" s="309" t="s">
        <v>795</v>
      </c>
      <c r="G116" s="309" t="s">
        <v>784</v>
      </c>
      <c r="H116" s="309" t="s">
        <v>973</v>
      </c>
      <c r="I116" s="309" t="s">
        <v>557</v>
      </c>
      <c r="J116" s="312">
        <v>512013965918</v>
      </c>
      <c r="K116" s="299">
        <v>43201</v>
      </c>
      <c r="L116" s="311">
        <v>180</v>
      </c>
      <c r="M116" s="202">
        <f>IF(K116="cnr","CNR",IF(K116="CBU", "CBU",IF(K116="Code Out","Code Out",K116+L116)))</f>
        <v>43381</v>
      </c>
      <c r="N116" s="203">
        <f>M116</f>
        <v>43381</v>
      </c>
      <c r="O116" s="206" t="str">
        <f>IF(AJ116=1,"",IF(AH116&lt;1,"DEL",""))</f>
        <v/>
      </c>
      <c r="P116" s="299" t="s">
        <v>1535</v>
      </c>
      <c r="Q116" s="313" t="s">
        <v>407</v>
      </c>
      <c r="R116" s="313" t="s">
        <v>398</v>
      </c>
      <c r="S116" s="313"/>
      <c r="T116" s="313"/>
      <c r="U116" s="298" t="s">
        <v>1508</v>
      </c>
      <c r="V116" s="314" t="s">
        <v>1528</v>
      </c>
      <c r="W116" s="303"/>
      <c r="X116" s="302"/>
      <c r="Y116" s="197" t="str">
        <f>IF(AF116,MONTH(M116),"")</f>
        <v/>
      </c>
      <c r="Z116" s="198" t="str">
        <f>IF(AF116,YEAR(M116),"")</f>
        <v/>
      </c>
      <c r="AA116" s="191" t="str">
        <f>IF(AF116,MONTH(N116),"")</f>
        <v/>
      </c>
      <c r="AB116" s="191" t="str">
        <f>IF(AF116,YEAR(N116),"")</f>
        <v/>
      </c>
      <c r="AC116" s="193" t="str">
        <f>CONCATENATE(Y116,Z116)</f>
        <v/>
      </c>
      <c r="AD116" s="194" t="str">
        <f>CONCATENATE(AA116,AB116)</f>
        <v/>
      </c>
      <c r="AE116" s="195">
        <f>IF(M116="CBU","",IF(M116="CNR","",IF(K116="Code Out","",MIN(M116,N116))))</f>
        <v>43381</v>
      </c>
      <c r="AF116" s="196" t="b">
        <f>--(ISNUMBER(SEARCH("lab",P116)))
=--(ISNUMBER(SEARCH("fred",A108)))</f>
        <v>0</v>
      </c>
      <c r="AG116" s="199" t="b">
        <f>IF(AE116&lt;$J$4,TRUE,FALSE)</f>
        <v>0</v>
      </c>
      <c r="AH116" s="192">
        <f ca="1">IF(K116="CBU","",IF(K116="CNR","",IF(K116="Code Out","",SUM(M116-$U$1))))</f>
        <v>101.56816122685268</v>
      </c>
      <c r="AI116" s="192">
        <f>COUNTIF(O116,"Del")</f>
        <v>0</v>
      </c>
      <c r="AJ116" s="192">
        <f>COUNTIF(P116,"*at lab*")</f>
        <v>1</v>
      </c>
      <c r="AK116" s="200">
        <f>SUM(AI116:AJ116)</f>
        <v>1</v>
      </c>
    </row>
    <row r="117" spans="1:37" s="75" customFormat="1" x14ac:dyDescent="0.2">
      <c r="A117" s="409" t="s">
        <v>584</v>
      </c>
      <c r="B117" s="309" t="s">
        <v>645</v>
      </c>
      <c r="C117" s="309"/>
      <c r="D117" s="309" t="s">
        <v>870</v>
      </c>
      <c r="E117" s="309"/>
      <c r="F117" s="309" t="s">
        <v>795</v>
      </c>
      <c r="G117" s="309" t="s">
        <v>780</v>
      </c>
      <c r="H117" s="309" t="s">
        <v>973</v>
      </c>
      <c r="I117" s="309" t="s">
        <v>557</v>
      </c>
      <c r="J117" s="312">
        <v>512013965918</v>
      </c>
      <c r="K117" s="299">
        <v>43201</v>
      </c>
      <c r="L117" s="311">
        <v>180</v>
      </c>
      <c r="M117" s="202">
        <f>IF(K117="cnr","CNR",IF(K117="CBU", "CBU",IF(K117="Code Out","Code Out",K117+L117)))</f>
        <v>43381</v>
      </c>
      <c r="N117" s="203">
        <f>M117</f>
        <v>43381</v>
      </c>
      <c r="O117" s="206" t="str">
        <f>IF(AJ117=1,"",IF(AH117&lt;1,"DEL",""))</f>
        <v/>
      </c>
      <c r="P117" s="299" t="s">
        <v>1535</v>
      </c>
      <c r="Q117" s="313" t="s">
        <v>407</v>
      </c>
      <c r="R117" s="313" t="s">
        <v>398</v>
      </c>
      <c r="S117" s="313"/>
      <c r="T117" s="313"/>
      <c r="U117" s="318" t="s">
        <v>1512</v>
      </c>
      <c r="V117" s="314" t="s">
        <v>1528</v>
      </c>
      <c r="W117" s="303"/>
      <c r="X117" s="302"/>
      <c r="Y117" s="197" t="str">
        <f>IF(AF117,MONTH(M117),"")</f>
        <v/>
      </c>
      <c r="Z117" s="198" t="str">
        <f>IF(AF117,YEAR(M117),"")</f>
        <v/>
      </c>
      <c r="AA117" s="191" t="str">
        <f>IF(AF117,MONTH(N117),"")</f>
        <v/>
      </c>
      <c r="AB117" s="191" t="str">
        <f>IF(AF117,YEAR(N117),"")</f>
        <v/>
      </c>
      <c r="AC117" s="193" t="str">
        <f>CONCATENATE(Y117,Z117)</f>
        <v/>
      </c>
      <c r="AD117" s="194" t="str">
        <f>CONCATENATE(AA117,AB117)</f>
        <v/>
      </c>
      <c r="AE117" s="195">
        <f>IF(M117="CBU","",IF(M117="CNR","",IF(K117="Code Out","",MIN(M117,N117))))</f>
        <v>43381</v>
      </c>
      <c r="AF117" s="196" t="b">
        <f>--(ISNUMBER(SEARCH("lab",P117)))
=--(ISNUMBER(SEARCH("fred",A109)))</f>
        <v>0</v>
      </c>
      <c r="AG117" s="199" t="b">
        <f>IF(AE117&lt;$J$4,TRUE,FALSE)</f>
        <v>0</v>
      </c>
      <c r="AH117" s="192">
        <f ca="1">IF(K117="CBU","",IF(K117="CNR","",IF(K117="Code Out","",SUM(M117-$U$1))))</f>
        <v>101.56816122685268</v>
      </c>
      <c r="AI117" s="192">
        <f>COUNTIF(O117,"Del")</f>
        <v>0</v>
      </c>
      <c r="AJ117" s="192">
        <f>COUNTIF(P117,"*at lab*")</f>
        <v>1</v>
      </c>
      <c r="AK117" s="200">
        <f>SUM(AI117:AJ117)</f>
        <v>1</v>
      </c>
    </row>
    <row r="118" spans="1:37" s="75" customFormat="1" ht="25.5" x14ac:dyDescent="0.2">
      <c r="A118" s="207" t="s">
        <v>815</v>
      </c>
      <c r="B118" s="315" t="s">
        <v>860</v>
      </c>
      <c r="C118" s="309"/>
      <c r="D118" s="309" t="s">
        <v>855</v>
      </c>
      <c r="E118" s="309"/>
      <c r="F118" s="309" t="s">
        <v>812</v>
      </c>
      <c r="G118" s="309"/>
      <c r="H118" s="309" t="s">
        <v>855</v>
      </c>
      <c r="I118" s="309" t="s">
        <v>813</v>
      </c>
      <c r="J118" s="312"/>
      <c r="K118" s="299">
        <v>42627</v>
      </c>
      <c r="L118" s="310">
        <v>1080</v>
      </c>
      <c r="M118" s="202">
        <f>IF(K118="cnr","CNR",IF(K118="CBU", "CBU",IF(K118="Code Out","Code Out",K118+L118)))</f>
        <v>43707</v>
      </c>
      <c r="N118" s="203">
        <f>M118</f>
        <v>43707</v>
      </c>
      <c r="O118" s="206" t="str">
        <f ca="1">IF(AJ118=1,"",IF(AH118&lt;1,"DEL",""))</f>
        <v/>
      </c>
      <c r="P118" s="299"/>
      <c r="Q118" s="313"/>
      <c r="R118" s="313"/>
      <c r="S118" s="313" t="s">
        <v>1370</v>
      </c>
      <c r="T118" s="313"/>
      <c r="U118" s="298" t="s">
        <v>1430</v>
      </c>
      <c r="V118" s="320" t="s">
        <v>958</v>
      </c>
      <c r="W118" s="171"/>
      <c r="X118" s="140"/>
      <c r="Y118" s="197">
        <f>IF(AF118,MONTH(M118),"")</f>
        <v>8</v>
      </c>
      <c r="Z118" s="198">
        <f>IF(AF118,YEAR(M118),"")</f>
        <v>2019</v>
      </c>
      <c r="AA118" s="191">
        <f>IF(AF118,MONTH(N118),"")</f>
        <v>8</v>
      </c>
      <c r="AB118" s="191">
        <f>IF(AF118,YEAR(N118),"")</f>
        <v>2019</v>
      </c>
      <c r="AC118" s="193" t="str">
        <f>CONCATENATE(Y118,Z118)</f>
        <v>82019</v>
      </c>
      <c r="AD118" s="194" t="str">
        <f>CONCATENATE(AA118,AB118)</f>
        <v>82019</v>
      </c>
      <c r="AE118" s="195">
        <f>IF(M118="CBU","",IF(M118="CNR","",IF(K118="Code Out","",MIN(M118,N118))))</f>
        <v>43707</v>
      </c>
      <c r="AF118" s="196" t="b">
        <f>--(ISNUMBER(SEARCH("lab",P118)))
=--(ISNUMBER(SEARCH("fred",A110)))</f>
        <v>1</v>
      </c>
      <c r="AG118" s="199" t="b">
        <f>IF(AE118&lt;$J$4,TRUE,FALSE)</f>
        <v>0</v>
      </c>
      <c r="AH118" s="192">
        <f ca="1">IF(K118="CBU","",IF(K118="CNR","",IF(K118="Code Out","",SUM(M118-$U$1))))</f>
        <v>427.56816122685268</v>
      </c>
      <c r="AI118" s="192">
        <f ca="1">COUNTIF(O118,"Del")</f>
        <v>0</v>
      </c>
      <c r="AJ118" s="192">
        <f>COUNTIF(P118,"*at lab*")</f>
        <v>0</v>
      </c>
      <c r="AK118" s="200">
        <f ca="1">SUM(AI118:AJ118)</f>
        <v>0</v>
      </c>
    </row>
    <row r="119" spans="1:37" s="75" customFormat="1" ht="25.5" x14ac:dyDescent="0.2">
      <c r="A119" s="207" t="s">
        <v>831</v>
      </c>
      <c r="B119" s="309" t="s">
        <v>832</v>
      </c>
      <c r="C119" s="310" t="s">
        <v>406</v>
      </c>
      <c r="D119" s="309" t="s">
        <v>974</v>
      </c>
      <c r="E119" s="309"/>
      <c r="F119" s="309" t="s">
        <v>405</v>
      </c>
      <c r="G119" s="309"/>
      <c r="H119" s="309" t="s">
        <v>974</v>
      </c>
      <c r="I119" s="311" t="s">
        <v>1394</v>
      </c>
      <c r="J119" s="312">
        <v>6695013253391</v>
      </c>
      <c r="K119" s="299">
        <v>42321</v>
      </c>
      <c r="L119" s="311">
        <v>1080</v>
      </c>
      <c r="M119" s="202">
        <f>IF(K119="cnr","CNR",IF(K119="CBU", "CBU",IF(K119="Code Out","Code Out",K119+L119)))</f>
        <v>43401</v>
      </c>
      <c r="N119" s="203">
        <f>M119</f>
        <v>43401</v>
      </c>
      <c r="O119" s="205" t="str">
        <f ca="1">IF(AJ119=1,"",IF(AH119&lt;1,"DEL",""))</f>
        <v/>
      </c>
      <c r="P119" s="299"/>
      <c r="Q119" s="313"/>
      <c r="R119" s="313"/>
      <c r="S119" s="313" t="s">
        <v>1370</v>
      </c>
      <c r="T119" s="313"/>
      <c r="U119" s="326" t="s">
        <v>1360</v>
      </c>
      <c r="V119" s="314" t="s">
        <v>373</v>
      </c>
      <c r="W119" s="170"/>
      <c r="X119" s="138"/>
      <c r="Y119" s="197">
        <f>IF(AF119,MONTH(M119),"")</f>
        <v>10</v>
      </c>
      <c r="Z119" s="198">
        <f>IF(AF119,YEAR(M119),"")</f>
        <v>2018</v>
      </c>
      <c r="AA119" s="191">
        <f>IF(AF119,MONTH(N119),"")</f>
        <v>10</v>
      </c>
      <c r="AB119" s="191">
        <f>IF(AF119,YEAR(N119),"")</f>
        <v>2018</v>
      </c>
      <c r="AC119" s="193" t="str">
        <f>CONCATENATE(Y119,Z119)</f>
        <v>102018</v>
      </c>
      <c r="AD119" s="194" t="str">
        <f>CONCATENATE(AA119,AB119)</f>
        <v>102018</v>
      </c>
      <c r="AE119" s="195">
        <f>IF(M119="CBU","",IF(M119="CNR","",IF(K119="Code Out","",MIN(M119,N119))))</f>
        <v>43401</v>
      </c>
      <c r="AF119" s="196" t="b">
        <f>--(ISNUMBER(SEARCH("lab",P119)))
=--(ISNUMBER(SEARCH("fred",A111)))</f>
        <v>1</v>
      </c>
      <c r="AG119" s="199" t="b">
        <f>IF(AE119&lt;$J$4,TRUE,FALSE)</f>
        <v>0</v>
      </c>
      <c r="AH119" s="192">
        <f ca="1">IF(K119="CBU","",IF(K119="CNR","",IF(K119="Code Out","",SUM(M119-$U$1))))</f>
        <v>121.56816122685268</v>
      </c>
      <c r="AI119" s="192">
        <f ca="1">COUNTIF(O119,"Del")</f>
        <v>0</v>
      </c>
      <c r="AJ119" s="192">
        <f>COUNTIF(P119,"*at lab*")</f>
        <v>0</v>
      </c>
      <c r="AK119" s="200">
        <f ca="1">SUM(AI119:AJ119)</f>
        <v>0</v>
      </c>
    </row>
    <row r="120" spans="1:37" s="75" customFormat="1" ht="51" x14ac:dyDescent="0.2">
      <c r="A120" s="207" t="s">
        <v>348</v>
      </c>
      <c r="B120" s="309" t="s">
        <v>1392</v>
      </c>
      <c r="C120" s="311" t="s">
        <v>514</v>
      </c>
      <c r="D120" s="309" t="s">
        <v>974</v>
      </c>
      <c r="E120" s="309"/>
      <c r="F120" s="309" t="s">
        <v>1393</v>
      </c>
      <c r="G120" s="309"/>
      <c r="H120" s="309" t="s">
        <v>974</v>
      </c>
      <c r="I120" s="311" t="s">
        <v>1395</v>
      </c>
      <c r="J120" s="312">
        <v>6635012823746</v>
      </c>
      <c r="K120" s="299" t="s">
        <v>138</v>
      </c>
      <c r="L120" s="311">
        <v>1080</v>
      </c>
      <c r="M120" s="202" t="str">
        <f>IF(K120="cnr","CNR",IF(K120="CBU", "CBU",IF(K120="Code Out","Code Out",K120+L120)))</f>
        <v>CNR</v>
      </c>
      <c r="N120" s="203" t="str">
        <f>M120</f>
        <v>CNR</v>
      </c>
      <c r="O120" s="205" t="str">
        <f>IF(AJ120=1,"",IF(AH120&lt;1,"DEL",""))</f>
        <v/>
      </c>
      <c r="P120" s="317"/>
      <c r="Q120" s="313"/>
      <c r="R120" s="313"/>
      <c r="S120" s="313"/>
      <c r="T120" s="313"/>
      <c r="U120" s="318"/>
      <c r="V120" s="314" t="s">
        <v>373</v>
      </c>
      <c r="W120" s="173"/>
      <c r="X120" s="139"/>
      <c r="Y120" s="197" t="e">
        <f>IF(AF120,MONTH(M120),"")</f>
        <v>#VALUE!</v>
      </c>
      <c r="Z120" s="198" t="e">
        <f>IF(AF120,YEAR(M120),"")</f>
        <v>#VALUE!</v>
      </c>
      <c r="AA120" s="191" t="e">
        <f>IF(AF120,MONTH(N120),"")</f>
        <v>#VALUE!</v>
      </c>
      <c r="AB120" s="191" t="e">
        <f>IF(AF120,YEAR(N120),"")</f>
        <v>#VALUE!</v>
      </c>
      <c r="AC120" s="193" t="e">
        <f>CONCATENATE(Y120,Z120)</f>
        <v>#VALUE!</v>
      </c>
      <c r="AD120" s="194" t="e">
        <f>CONCATENATE(AA120,AB120)</f>
        <v>#VALUE!</v>
      </c>
      <c r="AE120" s="195" t="str">
        <f>IF(M120="CBU","",IF(M120="CNR","",IF(K120="Code Out","",MIN(M120,N120))))</f>
        <v/>
      </c>
      <c r="AF120" s="196" t="b">
        <f>--(ISNUMBER(SEARCH("lab",P120)))
=--(ISNUMBER(SEARCH("fred",A112)))</f>
        <v>1</v>
      </c>
      <c r="AG120" s="199" t="b">
        <f>IF(AE120&lt;$J$4,TRUE,FALSE)</f>
        <v>0</v>
      </c>
      <c r="AH120" s="192" t="str">
        <f>IF(K120="CBU","",IF(K120="CNR","",IF(K120="Code Out","",SUM(M120-$U$1))))</f>
        <v/>
      </c>
      <c r="AI120" s="192">
        <f>COUNTIF(O120,"Del")</f>
        <v>0</v>
      </c>
      <c r="AJ120" s="192">
        <f>COUNTIF(P120,"*at lab*")</f>
        <v>0</v>
      </c>
      <c r="AK120" s="200">
        <f>SUM(AI120:AJ120)</f>
        <v>0</v>
      </c>
    </row>
    <row r="121" spans="1:37" s="75" customFormat="1" ht="25.5" x14ac:dyDescent="0.2">
      <c r="A121" s="207" t="s">
        <v>302</v>
      </c>
      <c r="B121" s="309" t="s">
        <v>302</v>
      </c>
      <c r="C121" s="310"/>
      <c r="D121" s="311">
        <v>1</v>
      </c>
      <c r="E121" s="311"/>
      <c r="F121" s="309" t="s">
        <v>304</v>
      </c>
      <c r="G121" s="309"/>
      <c r="H121" s="309" t="s">
        <v>855</v>
      </c>
      <c r="I121" s="311" t="s">
        <v>305</v>
      </c>
      <c r="J121" s="312">
        <v>5120002567518</v>
      </c>
      <c r="K121" s="299">
        <v>42494</v>
      </c>
      <c r="L121" s="311">
        <v>1080</v>
      </c>
      <c r="M121" s="202">
        <f>IF(K121="cnr","CNR",IF(K121="CBU", "CBU",IF(K121="Code Out","Code Out",K121+L121)))</f>
        <v>43574</v>
      </c>
      <c r="N121" s="203">
        <f>M121</f>
        <v>43574</v>
      </c>
      <c r="O121" s="205" t="str">
        <f ca="1">IF(AJ121=1,"",IF(AH121&lt;1,"DEL",""))</f>
        <v/>
      </c>
      <c r="P121" s="317"/>
      <c r="Q121" s="313"/>
      <c r="R121" s="313"/>
      <c r="S121" s="313" t="s">
        <v>1370</v>
      </c>
      <c r="T121" s="313"/>
      <c r="U121" s="298" t="s">
        <v>1407</v>
      </c>
      <c r="V121" s="314" t="s">
        <v>1406</v>
      </c>
      <c r="W121" s="303"/>
      <c r="X121" s="302"/>
      <c r="Y121" s="197">
        <f>IF(AF121,MONTH(M121),"")</f>
        <v>4</v>
      </c>
      <c r="Z121" s="198">
        <f>IF(AF121,YEAR(M121),"")</f>
        <v>2019</v>
      </c>
      <c r="AA121" s="191">
        <f>IF(AF121,MONTH(N121),"")</f>
        <v>4</v>
      </c>
      <c r="AB121" s="191">
        <f>IF(AF121,YEAR(N121),"")</f>
        <v>2019</v>
      </c>
      <c r="AC121" s="193" t="str">
        <f>CONCATENATE(Y121,Z121)</f>
        <v>42019</v>
      </c>
      <c r="AD121" s="194" t="str">
        <f>CONCATENATE(AA121,AB121)</f>
        <v>42019</v>
      </c>
      <c r="AE121" s="195">
        <f>IF(M121="CBU","",IF(M121="CNR","",IF(K121="Code Out","",MIN(M121,N121))))</f>
        <v>43574</v>
      </c>
      <c r="AF121" s="196" t="b">
        <f>--(ISNUMBER(SEARCH("lab",P121)))
=--(ISNUMBER(SEARCH("fred",A113)))</f>
        <v>1</v>
      </c>
      <c r="AG121" s="199" t="b">
        <f>IF(AE121&lt;$J$4,TRUE,FALSE)</f>
        <v>0</v>
      </c>
      <c r="AH121" s="192">
        <f ca="1">IF(K121="CBU","",IF(K121="CNR","",IF(K121="Code Out","",SUM(M121-$U$1))))</f>
        <v>294.56816122685268</v>
      </c>
      <c r="AI121" s="192">
        <f ca="1">COUNTIF(O121,"Del")</f>
        <v>0</v>
      </c>
      <c r="AJ121" s="192">
        <f>COUNTIF(P121,"*at lab*")</f>
        <v>0</v>
      </c>
      <c r="AK121" s="200">
        <f ca="1">SUM(AI121:AJ121)</f>
        <v>0</v>
      </c>
    </row>
    <row r="122" spans="1:37" s="75" customFormat="1" x14ac:dyDescent="0.2">
      <c r="A122" s="207" t="s">
        <v>301</v>
      </c>
      <c r="B122" s="309" t="s">
        <v>301</v>
      </c>
      <c r="C122" s="310"/>
      <c r="D122" s="311">
        <v>1</v>
      </c>
      <c r="E122" s="311"/>
      <c r="F122" s="309" t="s">
        <v>303</v>
      </c>
      <c r="G122" s="309"/>
      <c r="H122" s="309" t="s">
        <v>870</v>
      </c>
      <c r="I122" s="311" t="s">
        <v>305</v>
      </c>
      <c r="J122" s="312">
        <v>5210008274026</v>
      </c>
      <c r="K122" s="299">
        <v>42542</v>
      </c>
      <c r="L122" s="311">
        <v>1080</v>
      </c>
      <c r="M122" s="202">
        <f>IF(K122="cnr","CNR",IF(K122="CBU", "CBU",IF(K122="Code Out","Code Out",K122+L122)))</f>
        <v>43622</v>
      </c>
      <c r="N122" s="203">
        <f>M122</f>
        <v>43622</v>
      </c>
      <c r="O122" s="205" t="str">
        <f ca="1">IF(AJ122=1,"",IF(AH122&lt;1,"DEL",""))</f>
        <v/>
      </c>
      <c r="P122" s="299"/>
      <c r="Q122" s="313"/>
      <c r="R122" s="313"/>
      <c r="S122" s="313" t="s">
        <v>1370</v>
      </c>
      <c r="T122" s="313"/>
      <c r="U122" s="298" t="s">
        <v>1414</v>
      </c>
      <c r="V122" s="314" t="s">
        <v>1406</v>
      </c>
      <c r="W122" s="303"/>
      <c r="X122" s="302"/>
      <c r="Y122" s="197">
        <f>IF(AF122,MONTH(M122),"")</f>
        <v>6</v>
      </c>
      <c r="Z122" s="198">
        <f>IF(AF122,YEAR(M122),"")</f>
        <v>2019</v>
      </c>
      <c r="AA122" s="191">
        <f>IF(AF122,MONTH(N122),"")</f>
        <v>6</v>
      </c>
      <c r="AB122" s="191">
        <f>IF(AF122,YEAR(N122),"")</f>
        <v>2019</v>
      </c>
      <c r="AC122" s="193" t="str">
        <f>CONCATENATE(Y122,Z122)</f>
        <v>62019</v>
      </c>
      <c r="AD122" s="194" t="str">
        <f>CONCATENATE(AA122,AB122)</f>
        <v>62019</v>
      </c>
      <c r="AE122" s="195">
        <f>IF(M122="CBU","",IF(M122="CNR","",IF(K122="Code Out","",MIN(M122,N122))))</f>
        <v>43622</v>
      </c>
      <c r="AF122" s="196" t="b">
        <f>--(ISNUMBER(SEARCH("lab",P122)))
=--(ISNUMBER(SEARCH("fred",A114)))</f>
        <v>1</v>
      </c>
      <c r="AG122" s="199" t="b">
        <f>IF(AE122&lt;$J$4,TRUE,FALSE)</f>
        <v>0</v>
      </c>
      <c r="AH122" s="192">
        <f ca="1">IF(K122="CBU","",IF(K122="CNR","",IF(K122="Code Out","",SUM(M122-$U$1))))</f>
        <v>342.56816122685268</v>
      </c>
      <c r="AI122" s="192">
        <f ca="1">COUNTIF(O122,"Del")</f>
        <v>0</v>
      </c>
      <c r="AJ122" s="192">
        <f>COUNTIF(P122,"*at lab*")</f>
        <v>0</v>
      </c>
      <c r="AK122" s="200">
        <f ca="1">SUM(AI122:AJ122)</f>
        <v>0</v>
      </c>
    </row>
    <row r="123" spans="1:37" s="75" customFormat="1" x14ac:dyDescent="0.2">
      <c r="A123" s="207" t="s">
        <v>294</v>
      </c>
      <c r="B123" s="309" t="s">
        <v>1421</v>
      </c>
      <c r="C123" s="310" t="s">
        <v>406</v>
      </c>
      <c r="D123" s="309" t="s">
        <v>974</v>
      </c>
      <c r="E123" s="309"/>
      <c r="F123" s="309" t="s">
        <v>405</v>
      </c>
      <c r="G123" s="309"/>
      <c r="H123" s="309" t="s">
        <v>974</v>
      </c>
      <c r="I123" s="311" t="s">
        <v>1394</v>
      </c>
      <c r="J123" s="312">
        <v>6635012823746</v>
      </c>
      <c r="K123" s="299">
        <v>42572</v>
      </c>
      <c r="L123" s="311">
        <v>1080</v>
      </c>
      <c r="M123" s="202">
        <f>IF(K123="cnr","CNR",IF(K123="CBU", "CBU",IF(K123="Code Out","Code Out",K123+L123)))</f>
        <v>43652</v>
      </c>
      <c r="N123" s="203">
        <f>M123</f>
        <v>43652</v>
      </c>
      <c r="O123" s="205" t="str">
        <f ca="1">IF(AJ123=1,"",IF(AH123&lt;1,"DEL",""))</f>
        <v/>
      </c>
      <c r="P123" s="299"/>
      <c r="Q123" s="313"/>
      <c r="R123" s="313"/>
      <c r="S123" s="313" t="s">
        <v>1432</v>
      </c>
      <c r="T123" s="313"/>
      <c r="U123" s="298" t="s">
        <v>1436</v>
      </c>
      <c r="V123" s="314" t="s">
        <v>373</v>
      </c>
      <c r="W123" s="173"/>
      <c r="X123" s="139"/>
      <c r="Y123" s="191">
        <f>IF(AF123,MONTH(M123),"")</f>
        <v>7</v>
      </c>
      <c r="Z123" s="192">
        <f>IF(AF123,YEAR(M123),"")</f>
        <v>2019</v>
      </c>
      <c r="AA123" s="191">
        <f>IF(AF123,MONTH(N123),"")</f>
        <v>7</v>
      </c>
      <c r="AB123" s="191">
        <f>IF(AF123,YEAR(N123),"")</f>
        <v>2019</v>
      </c>
      <c r="AC123" s="193" t="str">
        <f>CONCATENATE(Y123,Z123)</f>
        <v>72019</v>
      </c>
      <c r="AD123" s="194" t="str">
        <f>CONCATENATE(AA123,AB123)</f>
        <v>72019</v>
      </c>
      <c r="AE123" s="195">
        <f>IF(M123="CBU","",IF(M123="CNR","",IF(K123="Code Out","",MIN(M123,N123))))</f>
        <v>43652</v>
      </c>
      <c r="AF123" s="196" t="b">
        <f>--(ISNUMBER(SEARCH("lab",P123)))
=--(ISNUMBER(SEARCH("fred",A115)))</f>
        <v>1</v>
      </c>
      <c r="AG123" s="199" t="b">
        <f>IF(AE123&lt;$J$4,TRUE,FALSE)</f>
        <v>0</v>
      </c>
      <c r="AH123" s="192">
        <f ca="1">IF(K123="CBU","",IF(K123="CNR","",IF(K123="Code Out","",SUM(M123-$U$1))))</f>
        <v>372.56816122685268</v>
      </c>
      <c r="AI123" s="192">
        <f ca="1">COUNTIF(O123,"Del")</f>
        <v>0</v>
      </c>
      <c r="AJ123" s="192">
        <f>COUNTIF(P123,"*at lab*")</f>
        <v>0</v>
      </c>
      <c r="AK123" s="200">
        <f ca="1">SUM(AI123:AJ123)</f>
        <v>0</v>
      </c>
    </row>
    <row r="124" spans="1:37" s="75" customFormat="1" ht="25.5" x14ac:dyDescent="0.2">
      <c r="A124" s="207" t="s">
        <v>256</v>
      </c>
      <c r="B124" s="315">
        <v>764</v>
      </c>
      <c r="C124" s="311" t="s">
        <v>521</v>
      </c>
      <c r="D124" s="311">
        <v>1</v>
      </c>
      <c r="E124" s="311"/>
      <c r="F124" s="309" t="s">
        <v>231</v>
      </c>
      <c r="G124" s="309"/>
      <c r="H124" s="309" t="s">
        <v>855</v>
      </c>
      <c r="I124" s="311" t="s">
        <v>232</v>
      </c>
      <c r="J124" s="316">
        <v>6625014824577</v>
      </c>
      <c r="K124" s="299">
        <v>42450</v>
      </c>
      <c r="L124" s="310">
        <v>840</v>
      </c>
      <c r="M124" s="202">
        <f>IF(K124="cnr","CNR",IF(K124="CBU", "CBU",IF(K124="Code Out","Code Out",K124+L124)))</f>
        <v>43290</v>
      </c>
      <c r="N124" s="203">
        <f>M124</f>
        <v>43290</v>
      </c>
      <c r="O124" s="205" t="str">
        <f ca="1">IF(AJ124=1,"",IF(AH124&lt;1,"DEL",""))</f>
        <v/>
      </c>
      <c r="P124" s="299" t="s">
        <v>851</v>
      </c>
      <c r="Q124" s="313"/>
      <c r="R124" s="313"/>
      <c r="S124" s="313" t="s">
        <v>1370</v>
      </c>
      <c r="T124" s="313"/>
      <c r="U124" s="298" t="s">
        <v>1401</v>
      </c>
      <c r="V124" s="314" t="s">
        <v>367</v>
      </c>
      <c r="W124" s="173"/>
      <c r="X124" s="139"/>
      <c r="Y124" s="191">
        <f>IF(AF124,MONTH(M124),"")</f>
        <v>7</v>
      </c>
      <c r="Z124" s="192">
        <f>IF(AF124,YEAR(M124),"")</f>
        <v>2018</v>
      </c>
      <c r="AA124" s="191">
        <f>IF(AF124,MONTH(N124),"")</f>
        <v>7</v>
      </c>
      <c r="AB124" s="191">
        <f>IF(AF124,YEAR(N124),"")</f>
        <v>2018</v>
      </c>
      <c r="AC124" s="193" t="str">
        <f>CONCATENATE(Y124,Z124)</f>
        <v>72018</v>
      </c>
      <c r="AD124" s="194" t="str">
        <f>CONCATENATE(AA124,AB124)</f>
        <v>72018</v>
      </c>
      <c r="AE124" s="195">
        <f>IF(M124="CBU","",IF(M124="CNR","",IF(K124="Code Out","",MIN(M124,N124))))</f>
        <v>43290</v>
      </c>
      <c r="AF124" s="196" t="b">
        <f>--(ISNUMBER(SEARCH("lab",P124)))
=--(ISNUMBER(SEARCH("fred",A116)))</f>
        <v>1</v>
      </c>
      <c r="AG124" s="199" t="b">
        <f>IF(AE124&lt;$J$4,TRUE,FALSE)</f>
        <v>1</v>
      </c>
      <c r="AH124" s="192">
        <f ca="1">IF(K124="CBU","",IF(K124="CNR","",IF(K124="Code Out","",SUM(M124-$U$1))))</f>
        <v>10.568161226852681</v>
      </c>
      <c r="AI124" s="192">
        <f ca="1">COUNTIF(O124,"Del")</f>
        <v>0</v>
      </c>
      <c r="AJ124" s="192">
        <f>COUNTIF(P124,"*at lab*")</f>
        <v>0</v>
      </c>
      <c r="AK124" s="200">
        <f ca="1">SUM(AI124:AJ124)</f>
        <v>0</v>
      </c>
    </row>
    <row r="125" spans="1:37" s="75" customFormat="1" x14ac:dyDescent="0.2">
      <c r="A125" s="207" t="s">
        <v>252</v>
      </c>
      <c r="B125" s="309" t="s">
        <v>252</v>
      </c>
      <c r="C125" s="310"/>
      <c r="D125" s="309" t="s">
        <v>984</v>
      </c>
      <c r="E125" s="309"/>
      <c r="F125" s="309" t="s">
        <v>251</v>
      </c>
      <c r="G125" s="309"/>
      <c r="H125" s="309" t="s">
        <v>984</v>
      </c>
      <c r="I125" s="309" t="s">
        <v>638</v>
      </c>
      <c r="J125" s="312">
        <v>670014074073</v>
      </c>
      <c r="K125" s="299">
        <v>42572</v>
      </c>
      <c r="L125" s="311">
        <v>840</v>
      </c>
      <c r="M125" s="202">
        <f>IF(K125="cnr","CNR",IF(K125="CBU", "CBU",IF(K125="Code Out","Code Out",K125+L125)))</f>
        <v>43412</v>
      </c>
      <c r="N125" s="203">
        <f>M125</f>
        <v>43412</v>
      </c>
      <c r="O125" s="205" t="str">
        <f ca="1">IF(AJ125=1,"",IF(AH125&lt;1,"DEL",""))</f>
        <v/>
      </c>
      <c r="P125" s="317"/>
      <c r="Q125" s="313"/>
      <c r="R125" s="313"/>
      <c r="S125" s="313" t="s">
        <v>398</v>
      </c>
      <c r="T125" s="313"/>
      <c r="U125" s="298" t="s">
        <v>1420</v>
      </c>
      <c r="V125" s="314" t="s">
        <v>678</v>
      </c>
      <c r="W125" s="170"/>
      <c r="X125" s="138"/>
      <c r="Y125" s="197">
        <f>IF(AF125,MONTH(M125),"")</f>
        <v>11</v>
      </c>
      <c r="Z125" s="198">
        <f>IF(AF125,YEAR(M125),"")</f>
        <v>2018</v>
      </c>
      <c r="AA125" s="191">
        <f>IF(AF125,MONTH(N125),"")</f>
        <v>11</v>
      </c>
      <c r="AB125" s="191">
        <f>IF(AF125,YEAR(N125),"")</f>
        <v>2018</v>
      </c>
      <c r="AC125" s="193" t="str">
        <f>CONCATENATE(Y125,Z125)</f>
        <v>112018</v>
      </c>
      <c r="AD125" s="194" t="str">
        <f>CONCATENATE(AA125,AB125)</f>
        <v>112018</v>
      </c>
      <c r="AE125" s="195">
        <f>IF(M125="CBU","",IF(M125="CNR","",IF(K125="Code Out","",MIN(M125,N125))))</f>
        <v>43412</v>
      </c>
      <c r="AF125" s="196" t="b">
        <f>--(ISNUMBER(SEARCH("lab",P125)))
=--(ISNUMBER(SEARCH("fred",A117)))</f>
        <v>1</v>
      </c>
      <c r="AG125" s="199" t="b">
        <f>IF(AE125&lt;$J$4,TRUE,FALSE)</f>
        <v>0</v>
      </c>
      <c r="AH125" s="192">
        <f ca="1">IF(K125="CBU","",IF(K125="CNR","",IF(K125="Code Out","",SUM(M125-$U$1))))</f>
        <v>132.56816122685268</v>
      </c>
      <c r="AI125" s="192">
        <f ca="1">COUNTIF(O125,"Del")</f>
        <v>0</v>
      </c>
      <c r="AJ125" s="192">
        <f>COUNTIF(P125,"*at lab*")</f>
        <v>0</v>
      </c>
      <c r="AK125" s="200">
        <f ca="1">SUM(AI125:AJ125)</f>
        <v>0</v>
      </c>
    </row>
    <row r="126" spans="1:37" s="75" customFormat="1" x14ac:dyDescent="0.2">
      <c r="A126" s="207" t="s">
        <v>250</v>
      </c>
      <c r="B126" s="309" t="s">
        <v>250</v>
      </c>
      <c r="C126" s="310"/>
      <c r="D126" s="309" t="s">
        <v>984</v>
      </c>
      <c r="E126" s="309"/>
      <c r="F126" s="309" t="s">
        <v>251</v>
      </c>
      <c r="G126" s="309"/>
      <c r="H126" s="309" t="s">
        <v>984</v>
      </c>
      <c r="I126" s="309" t="s">
        <v>638</v>
      </c>
      <c r="J126" s="312">
        <v>670014074073</v>
      </c>
      <c r="K126" s="299">
        <v>43203</v>
      </c>
      <c r="L126" s="311">
        <v>720</v>
      </c>
      <c r="M126" s="202">
        <f>IF(K126="cnr","CNR",IF(K126="CBU", "CBU",IF(K126="Code Out","Code Out",K126+L126)))</f>
        <v>43923</v>
      </c>
      <c r="N126" s="203">
        <f>M126</f>
        <v>43923</v>
      </c>
      <c r="O126" s="205" t="str">
        <f ca="1">IF(AJ126=1,"",IF(AH126&lt;1,"DEL",""))</f>
        <v/>
      </c>
      <c r="P126" s="299"/>
      <c r="Q126" s="313"/>
      <c r="R126" s="313"/>
      <c r="S126" s="313" t="s">
        <v>398</v>
      </c>
      <c r="T126" s="313"/>
      <c r="U126" s="318" t="s">
        <v>1550</v>
      </c>
      <c r="V126" s="314" t="s">
        <v>1408</v>
      </c>
      <c r="W126" s="303"/>
      <c r="X126" s="302"/>
      <c r="Y126" s="197">
        <f>IF(AF126,MONTH(M126),"")</f>
        <v>4</v>
      </c>
      <c r="Z126" s="198">
        <f>IF(AF126,YEAR(M126),"")</f>
        <v>2020</v>
      </c>
      <c r="AA126" s="191">
        <f>IF(AF126,MONTH(N126),"")</f>
        <v>4</v>
      </c>
      <c r="AB126" s="191">
        <f>IF(AF126,YEAR(N126),"")</f>
        <v>2020</v>
      </c>
      <c r="AC126" s="193" t="str">
        <f>CONCATENATE(Y126,Z126)</f>
        <v>42020</v>
      </c>
      <c r="AD126" s="194" t="str">
        <f>CONCATENATE(AA126,AB126)</f>
        <v>42020</v>
      </c>
      <c r="AE126" s="195">
        <f>IF(M126="CBU","",IF(M126="CNR","",IF(K126="Code Out","",MIN(M126,N126))))</f>
        <v>43923</v>
      </c>
      <c r="AF126" s="196" t="b">
        <f>--(ISNUMBER(SEARCH("lab",P126)))
=--(ISNUMBER(SEARCH("fred",A118)))</f>
        <v>1</v>
      </c>
      <c r="AG126" s="199" t="b">
        <f>IF(AE126&lt;$J$4,TRUE,FALSE)</f>
        <v>0</v>
      </c>
      <c r="AH126" s="192">
        <f ca="1">IF(K126="CBU","",IF(K126="CNR","",IF(K126="Code Out","",SUM(M126-$U$1))))</f>
        <v>643.56816122685268</v>
      </c>
      <c r="AI126" s="192">
        <f ca="1">COUNTIF(O126,"Del")</f>
        <v>0</v>
      </c>
      <c r="AJ126" s="192">
        <f>COUNTIF(P126,"*at lab*")</f>
        <v>0</v>
      </c>
      <c r="AK126" s="200">
        <f ca="1">SUM(AI126:AJ126)</f>
        <v>0</v>
      </c>
    </row>
    <row r="127" spans="1:37" s="75" customFormat="1" x14ac:dyDescent="0.2">
      <c r="A127" s="207" t="s">
        <v>248</v>
      </c>
      <c r="B127" s="309" t="s">
        <v>660</v>
      </c>
      <c r="C127" s="310"/>
      <c r="D127" s="311">
        <v>2</v>
      </c>
      <c r="E127" s="311"/>
      <c r="F127" s="309" t="s">
        <v>401</v>
      </c>
      <c r="G127" s="309"/>
      <c r="H127" s="309" t="s">
        <v>870</v>
      </c>
      <c r="I127" s="311" t="s">
        <v>219</v>
      </c>
      <c r="J127" s="312">
        <v>6635012553238</v>
      </c>
      <c r="K127" s="299">
        <v>43053</v>
      </c>
      <c r="L127" s="311">
        <v>360</v>
      </c>
      <c r="M127" s="202">
        <f>IF(K127="cnr","CNR",IF(K127="CBU", "CBU",IF(K127="Code Out","Code Out",K127+L127)))</f>
        <v>43413</v>
      </c>
      <c r="N127" s="203">
        <f>M127</f>
        <v>43413</v>
      </c>
      <c r="O127" s="205" t="str">
        <f ca="1">IF(AJ127=1,"",IF(AH127&lt;1,"DEL",""))</f>
        <v/>
      </c>
      <c r="P127" s="317"/>
      <c r="Q127" s="313"/>
      <c r="R127" s="313"/>
      <c r="S127" s="313"/>
      <c r="T127" s="313"/>
      <c r="U127" s="298" t="s">
        <v>1512</v>
      </c>
      <c r="V127" s="314" t="s">
        <v>556</v>
      </c>
      <c r="W127" s="303"/>
      <c r="X127" s="302"/>
      <c r="Y127" s="197">
        <f>IF(AF127,MONTH(M127),"")</f>
        <v>11</v>
      </c>
      <c r="Z127" s="198">
        <f>IF(AF127,YEAR(M127),"")</f>
        <v>2018</v>
      </c>
      <c r="AA127" s="191">
        <f>IF(AF127,MONTH(N127),"")</f>
        <v>11</v>
      </c>
      <c r="AB127" s="191">
        <f>IF(AF127,YEAR(N127),"")</f>
        <v>2018</v>
      </c>
      <c r="AC127" s="193" t="str">
        <f>CONCATENATE(Y127,Z127)</f>
        <v>112018</v>
      </c>
      <c r="AD127" s="194" t="str">
        <f>CONCATENATE(AA127,AB127)</f>
        <v>112018</v>
      </c>
      <c r="AE127" s="195">
        <f>IF(M127="CBU","",IF(M127="CNR","",IF(K127="Code Out","",MIN(M127,N127))))</f>
        <v>43413</v>
      </c>
      <c r="AF127" s="196" t="b">
        <f>--(ISNUMBER(SEARCH("lab",P127)))
=--(ISNUMBER(SEARCH("fred",A119)))</f>
        <v>1</v>
      </c>
      <c r="AG127" s="199" t="b">
        <f>IF(AE127&lt;$J$4,TRUE,FALSE)</f>
        <v>0</v>
      </c>
      <c r="AH127" s="192">
        <f ca="1">IF(K127="CBU","",IF(K127="CNR","",IF(K127="Code Out","",SUM(M127-$U$1))))</f>
        <v>133.56816122685268</v>
      </c>
      <c r="AI127" s="192">
        <f ca="1">COUNTIF(O127,"Del")</f>
        <v>0</v>
      </c>
      <c r="AJ127" s="192">
        <f>COUNTIF(P127,"*at lab*")</f>
        <v>0</v>
      </c>
      <c r="AK127" s="200">
        <f ca="1">SUM(AI127:AJ127)</f>
        <v>0</v>
      </c>
    </row>
    <row r="128" spans="1:37" s="75" customFormat="1" x14ac:dyDescent="0.2">
      <c r="A128" s="207" t="s">
        <v>246</v>
      </c>
      <c r="B128" s="309">
        <v>1648422</v>
      </c>
      <c r="C128" s="310"/>
      <c r="D128" s="311">
        <v>2</v>
      </c>
      <c r="E128" s="311"/>
      <c r="F128" s="309" t="s">
        <v>217</v>
      </c>
      <c r="G128" s="309"/>
      <c r="H128" s="309" t="s">
        <v>870</v>
      </c>
      <c r="I128" s="311" t="s">
        <v>219</v>
      </c>
      <c r="J128" s="312">
        <v>6635012553239</v>
      </c>
      <c r="K128" s="299">
        <v>43053</v>
      </c>
      <c r="L128" s="311">
        <v>360</v>
      </c>
      <c r="M128" s="202">
        <f>IF(K128="cnr","CNR",IF(K128="CBU", "CBU",IF(K128="Code Out","Code Out",K128+L128)))</f>
        <v>43413</v>
      </c>
      <c r="N128" s="203">
        <f>M128</f>
        <v>43413</v>
      </c>
      <c r="O128" s="205" t="str">
        <f ca="1">IF(AJ128=1,"",IF(AH128&lt;1,"DEL",""))</f>
        <v/>
      </c>
      <c r="P128" s="317"/>
      <c r="Q128" s="313"/>
      <c r="R128" s="313"/>
      <c r="S128" s="313"/>
      <c r="T128" s="313"/>
      <c r="U128" s="298" t="s">
        <v>1512</v>
      </c>
      <c r="V128" s="314" t="s">
        <v>556</v>
      </c>
      <c r="W128" s="173"/>
      <c r="X128" s="139"/>
      <c r="Y128" s="191">
        <f>IF(AF128,MONTH(M128),"")</f>
        <v>11</v>
      </c>
      <c r="Z128" s="192">
        <f>IF(AF128,YEAR(M128),"")</f>
        <v>2018</v>
      </c>
      <c r="AA128" s="191">
        <f>IF(AF128,MONTH(N128),"")</f>
        <v>11</v>
      </c>
      <c r="AB128" s="191">
        <f>IF(AF128,YEAR(N128),"")</f>
        <v>2018</v>
      </c>
      <c r="AC128" s="193" t="str">
        <f>CONCATENATE(Y128,Z128)</f>
        <v>112018</v>
      </c>
      <c r="AD128" s="194" t="str">
        <f>CONCATENATE(AA128,AB128)</f>
        <v>112018</v>
      </c>
      <c r="AE128" s="195">
        <f>IF(M128="CBU","",IF(M128="CNR","",IF(K128="Code Out","",MIN(M128,N128))))</f>
        <v>43413</v>
      </c>
      <c r="AF128" s="196" t="b">
        <f>--(ISNUMBER(SEARCH("lab",P128)))
=--(ISNUMBER(SEARCH("fred",A120)))</f>
        <v>1</v>
      </c>
      <c r="AG128" s="199" t="b">
        <f>IF(AE128&lt;$J$4,TRUE,FALSE)</f>
        <v>0</v>
      </c>
      <c r="AH128" s="192">
        <f ca="1">IF(K128="CBU","",IF(K128="CNR","",IF(K128="Code Out","",SUM(M128-$U$1))))</f>
        <v>133.56816122685268</v>
      </c>
      <c r="AI128" s="192">
        <f ca="1">COUNTIF(O128,"Del")</f>
        <v>0</v>
      </c>
      <c r="AJ128" s="192">
        <f>COUNTIF(P128,"*at lab*")</f>
        <v>0</v>
      </c>
      <c r="AK128" s="200">
        <f ca="1">SUM(AI128:AJ128)</f>
        <v>0</v>
      </c>
    </row>
    <row r="129" spans="1:37" s="75" customFormat="1" ht="25.5" x14ac:dyDescent="0.2">
      <c r="A129" s="207" t="s">
        <v>247</v>
      </c>
      <c r="B129" s="309" t="s">
        <v>245</v>
      </c>
      <c r="C129" s="310"/>
      <c r="D129" s="311">
        <v>2</v>
      </c>
      <c r="E129" s="311"/>
      <c r="F129" s="309" t="s">
        <v>216</v>
      </c>
      <c r="G129" s="309"/>
      <c r="H129" s="309" t="s">
        <v>870</v>
      </c>
      <c r="I129" s="311" t="s">
        <v>218</v>
      </c>
      <c r="J129" s="312">
        <v>6635012531343</v>
      </c>
      <c r="K129" s="299">
        <v>43053</v>
      </c>
      <c r="L129" s="311">
        <v>360</v>
      </c>
      <c r="M129" s="202">
        <f>IF(K129="cnr","CNR",IF(K129="CBU", "CBU",IF(K129="Code Out","Code Out",K129+L129)))</f>
        <v>43413</v>
      </c>
      <c r="N129" s="203">
        <f>M129</f>
        <v>43413</v>
      </c>
      <c r="O129" s="205" t="str">
        <f ca="1">IF(AJ129=1,"",IF(AH129&lt;1,"DEL",""))</f>
        <v/>
      </c>
      <c r="P129" s="317"/>
      <c r="Q129" s="313"/>
      <c r="R129" s="313"/>
      <c r="S129" s="313"/>
      <c r="T129" s="313"/>
      <c r="U129" s="298" t="s">
        <v>1512</v>
      </c>
      <c r="V129" s="314" t="s">
        <v>556</v>
      </c>
      <c r="W129" s="303"/>
      <c r="X129" s="302"/>
      <c r="Y129" s="197">
        <f>IF(AF129,MONTH(M129),"")</f>
        <v>11</v>
      </c>
      <c r="Z129" s="198">
        <f>IF(AF129,YEAR(M129),"")</f>
        <v>2018</v>
      </c>
      <c r="AA129" s="191">
        <f>IF(AF129,MONTH(N129),"")</f>
        <v>11</v>
      </c>
      <c r="AB129" s="191">
        <f>IF(AF129,YEAR(N129),"")</f>
        <v>2018</v>
      </c>
      <c r="AC129" s="193" t="str">
        <f>CONCATENATE(Y129,Z129)</f>
        <v>112018</v>
      </c>
      <c r="AD129" s="194" t="str">
        <f>CONCATENATE(AA129,AB129)</f>
        <v>112018</v>
      </c>
      <c r="AE129" s="195">
        <f>IF(M129="CBU","",IF(M129="CNR","",IF(K129="Code Out","",MIN(M129,N129))))</f>
        <v>43413</v>
      </c>
      <c r="AF129" s="196" t="b">
        <f>--(ISNUMBER(SEARCH("lab",P129)))
=--(ISNUMBER(SEARCH("fred",A121)))</f>
        <v>1</v>
      </c>
      <c r="AG129" s="199" t="b">
        <f>IF(AE129&lt;$J$4,TRUE,FALSE)</f>
        <v>0</v>
      </c>
      <c r="AH129" s="192">
        <f ca="1">IF(K129="CBU","",IF(K129="CNR","",IF(K129="Code Out","",SUM(M129-$U$1))))</f>
        <v>133.56816122685268</v>
      </c>
      <c r="AI129" s="192">
        <f ca="1">COUNTIF(O129,"Del")</f>
        <v>0</v>
      </c>
      <c r="AJ129" s="192">
        <f>COUNTIF(P129,"*at lab*")</f>
        <v>0</v>
      </c>
      <c r="AK129" s="200">
        <f ca="1">SUM(AI129:AJ129)</f>
        <v>0</v>
      </c>
    </row>
    <row r="130" spans="1:37" s="75" customFormat="1" ht="25.5" x14ac:dyDescent="0.2">
      <c r="A130" s="207" t="s">
        <v>180</v>
      </c>
      <c r="B130" s="309" t="s">
        <v>832</v>
      </c>
      <c r="C130" s="310"/>
      <c r="D130" s="311">
        <v>1</v>
      </c>
      <c r="E130" s="311"/>
      <c r="F130" s="309">
        <v>2001</v>
      </c>
      <c r="G130" s="309"/>
      <c r="H130" s="309" t="s">
        <v>855</v>
      </c>
      <c r="I130" s="311" t="s">
        <v>833</v>
      </c>
      <c r="J130" s="312">
        <v>6670003253162</v>
      </c>
      <c r="K130" s="299">
        <v>42753</v>
      </c>
      <c r="L130" s="311">
        <v>600</v>
      </c>
      <c r="M130" s="202">
        <f>IF(K130="cnr","CNR",IF(K130="CBU", "CBU",IF(K130="Code Out","Code Out",K130+L130)))</f>
        <v>43353</v>
      </c>
      <c r="N130" s="203">
        <f>M130</f>
        <v>43353</v>
      </c>
      <c r="O130" s="205" t="str">
        <f ca="1">IF(AJ130=1,"",IF(AH130&lt;1,"DEL",""))</f>
        <v/>
      </c>
      <c r="P130" s="317"/>
      <c r="Q130" s="313"/>
      <c r="R130" s="313"/>
      <c r="S130" s="313" t="s">
        <v>1432</v>
      </c>
      <c r="T130" s="313"/>
      <c r="U130" s="298" t="s">
        <v>1445</v>
      </c>
      <c r="V130" s="314" t="s">
        <v>575</v>
      </c>
      <c r="W130" s="303"/>
      <c r="X130" s="302"/>
      <c r="Y130" s="197">
        <f>IF(AF130,MONTH(M130),"")</f>
        <v>9</v>
      </c>
      <c r="Z130" s="198">
        <f>IF(AF130,YEAR(M130),"")</f>
        <v>2018</v>
      </c>
      <c r="AA130" s="191">
        <f>IF(AF130,MONTH(N130),"")</f>
        <v>9</v>
      </c>
      <c r="AB130" s="191">
        <f>IF(AF130,YEAR(N130),"")</f>
        <v>2018</v>
      </c>
      <c r="AC130" s="193" t="str">
        <f>CONCATENATE(Y130,Z130)</f>
        <v>92018</v>
      </c>
      <c r="AD130" s="194" t="str">
        <f>CONCATENATE(AA130,AB130)</f>
        <v>92018</v>
      </c>
      <c r="AE130" s="195">
        <f>IF(M130="CBU","",IF(M130="CNR","",IF(K130="Code Out","",MIN(M130,N130))))</f>
        <v>43353</v>
      </c>
      <c r="AF130" s="196" t="b">
        <f>--(ISNUMBER(SEARCH("lab",P130)))
=--(ISNUMBER(SEARCH("fred",A122)))</f>
        <v>1</v>
      </c>
      <c r="AG130" s="199" t="b">
        <f>IF(AE130&lt;$J$4,TRUE,FALSE)</f>
        <v>0</v>
      </c>
      <c r="AH130" s="192">
        <f ca="1">IF(K130="CBU","",IF(K130="CNR","",IF(K130="Code Out","",SUM(M130-$U$1))))</f>
        <v>73.568161226852681</v>
      </c>
      <c r="AI130" s="192">
        <f ca="1">COUNTIF(O130,"Del")</f>
        <v>0</v>
      </c>
      <c r="AJ130" s="192">
        <f>COUNTIF(P130,"*at lab*")</f>
        <v>0</v>
      </c>
      <c r="AK130" s="200">
        <f ca="1">SUM(AI130:AJ130)</f>
        <v>0</v>
      </c>
    </row>
    <row r="131" spans="1:37" s="75" customFormat="1" ht="25.5" x14ac:dyDescent="0.2">
      <c r="A131" s="207" t="s">
        <v>9</v>
      </c>
      <c r="B131" s="309" t="s">
        <v>10</v>
      </c>
      <c r="C131" s="310"/>
      <c r="D131" s="309" t="s">
        <v>855</v>
      </c>
      <c r="E131" s="309"/>
      <c r="F131" s="309" t="s">
        <v>11</v>
      </c>
      <c r="G131" s="309"/>
      <c r="H131" s="309" t="s">
        <v>855</v>
      </c>
      <c r="I131" s="311" t="s">
        <v>12</v>
      </c>
      <c r="J131" s="312">
        <v>4920012083635</v>
      </c>
      <c r="K131" s="299">
        <v>42940</v>
      </c>
      <c r="L131" s="311">
        <v>330</v>
      </c>
      <c r="M131" s="202">
        <f>IF(K131="cnr","CNR",IF(K131="CBU", "CBU",IF(K131="Code Out","Code Out",K131+L131)))</f>
        <v>43270</v>
      </c>
      <c r="N131" s="203">
        <f>M131</f>
        <v>43270</v>
      </c>
      <c r="O131" s="205" t="str">
        <f ca="1">IF(AJ131=1,"",IF(AH131&lt;1,"DEL",""))</f>
        <v>DEL</v>
      </c>
      <c r="P131" s="299" t="s">
        <v>851</v>
      </c>
      <c r="Q131" s="313"/>
      <c r="R131" s="313"/>
      <c r="S131" s="313" t="s">
        <v>1470</v>
      </c>
      <c r="T131" s="313"/>
      <c r="U131" s="298" t="s">
        <v>1494</v>
      </c>
      <c r="V131" s="314" t="s">
        <v>693</v>
      </c>
      <c r="W131" s="173"/>
      <c r="X131" s="139"/>
      <c r="Y131" s="191">
        <f>IF(AF131,MONTH(M131),"")</f>
        <v>6</v>
      </c>
      <c r="Z131" s="192">
        <f>IF(AF131,YEAR(M131),"")</f>
        <v>2018</v>
      </c>
      <c r="AA131" s="191">
        <f>IF(AF131,MONTH(N131),"")</f>
        <v>6</v>
      </c>
      <c r="AB131" s="191">
        <f>IF(AF131,YEAR(N131),"")</f>
        <v>2018</v>
      </c>
      <c r="AC131" s="193" t="str">
        <f>CONCATENATE(Y131,Z131)</f>
        <v>62018</v>
      </c>
      <c r="AD131" s="194" t="str">
        <f>CONCATENATE(AA131,AB131)</f>
        <v>62018</v>
      </c>
      <c r="AE131" s="195">
        <f>IF(M131="CBU","",IF(M131="CNR","",IF(K131="Code Out","",MIN(M131,N131))))</f>
        <v>43270</v>
      </c>
      <c r="AF131" s="196" t="b">
        <f>--(ISNUMBER(SEARCH("lab",P131)))
=--(ISNUMBER(SEARCH("fred",A123)))</f>
        <v>1</v>
      </c>
      <c r="AG131" s="199" t="b">
        <f>IF(AE131&lt;$J$4,TRUE,FALSE)</f>
        <v>1</v>
      </c>
      <c r="AH131" s="192">
        <f ca="1">IF(K131="CBU","",IF(K131="CNR","",IF(K131="Code Out","",SUM(M131-$U$1))))</f>
        <v>-9.4318387731473194</v>
      </c>
      <c r="AI131" s="192">
        <f ca="1">COUNTIF(O131,"Del")</f>
        <v>1</v>
      </c>
      <c r="AJ131" s="192">
        <f>COUNTIF(P131,"*at lab*")</f>
        <v>0</v>
      </c>
      <c r="AK131" s="200">
        <f ca="1">SUM(AI131:AJ131)</f>
        <v>1</v>
      </c>
    </row>
    <row r="132" spans="1:37" s="75" customFormat="1" ht="25.5" x14ac:dyDescent="0.2">
      <c r="A132" s="207" t="s">
        <v>130</v>
      </c>
      <c r="B132" s="309" t="s">
        <v>131</v>
      </c>
      <c r="C132" s="310"/>
      <c r="D132" s="309" t="s">
        <v>855</v>
      </c>
      <c r="E132" s="309"/>
      <c r="F132" s="309" t="s">
        <v>132</v>
      </c>
      <c r="G132" s="309"/>
      <c r="H132" s="309" t="s">
        <v>855</v>
      </c>
      <c r="I132" s="311" t="s">
        <v>41</v>
      </c>
      <c r="J132" s="312">
        <v>6685010572823</v>
      </c>
      <c r="K132" s="299">
        <v>42857</v>
      </c>
      <c r="L132" s="311">
        <v>720</v>
      </c>
      <c r="M132" s="202">
        <f>IF(K132="cnr","CNR",IF(K132="CBU", "CBU",IF(K132="Code Out","Code Out",K132+L132)))</f>
        <v>43577</v>
      </c>
      <c r="N132" s="203">
        <f>M132</f>
        <v>43577</v>
      </c>
      <c r="O132" s="205" t="str">
        <f ca="1">IF(AJ132=1,"",IF(AH132&lt;1,"DEL",""))</f>
        <v/>
      </c>
      <c r="P132" s="317"/>
      <c r="Q132" s="313"/>
      <c r="R132" s="313"/>
      <c r="S132" s="313" t="s">
        <v>398</v>
      </c>
      <c r="T132" s="313"/>
      <c r="U132" s="298" t="s">
        <v>1467</v>
      </c>
      <c r="V132" s="314" t="s">
        <v>680</v>
      </c>
      <c r="W132" s="303"/>
      <c r="X132" s="302"/>
      <c r="Y132" s="197">
        <f>IF(AF132,MONTH(M132),"")</f>
        <v>4</v>
      </c>
      <c r="Z132" s="198">
        <f>IF(AF132,YEAR(M132),"")</f>
        <v>2019</v>
      </c>
      <c r="AA132" s="191">
        <f>IF(AF132,MONTH(N132),"")</f>
        <v>4</v>
      </c>
      <c r="AB132" s="191">
        <f>IF(AF132,YEAR(N132),"")</f>
        <v>2019</v>
      </c>
      <c r="AC132" s="193" t="str">
        <f>CONCATENATE(Y132,Z132)</f>
        <v>42019</v>
      </c>
      <c r="AD132" s="194" t="str">
        <f>CONCATENATE(AA132,AB132)</f>
        <v>42019</v>
      </c>
      <c r="AE132" s="195">
        <f>IF(M132="CBU","",IF(M132="CNR","",IF(K132="Code Out","",MIN(M132,N132))))</f>
        <v>43577</v>
      </c>
      <c r="AF132" s="196" t="b">
        <f>--(ISNUMBER(SEARCH("lab",P132)))
=--(ISNUMBER(SEARCH("fred",A124)))</f>
        <v>1</v>
      </c>
      <c r="AG132" s="199" t="b">
        <f>IF(AE132&lt;$J$4,TRUE,FALSE)</f>
        <v>0</v>
      </c>
      <c r="AH132" s="192">
        <f ca="1">IF(K132="CBU","",IF(K132="CNR","",IF(K132="Code Out","",SUM(M132-$U$1))))</f>
        <v>297.56816122685268</v>
      </c>
      <c r="AI132" s="192">
        <f ca="1">COUNTIF(O132,"Del")</f>
        <v>0</v>
      </c>
      <c r="AJ132" s="192">
        <f>COUNTIF(P132,"*at lab*")</f>
        <v>0</v>
      </c>
      <c r="AK132" s="200">
        <f ca="1">SUM(AI132:AJ132)</f>
        <v>0</v>
      </c>
    </row>
    <row r="133" spans="1:37" s="75" customFormat="1" ht="25.5" x14ac:dyDescent="0.2">
      <c r="A133" s="207" t="s">
        <v>134</v>
      </c>
      <c r="B133" s="309" t="s">
        <v>135</v>
      </c>
      <c r="C133" s="310"/>
      <c r="D133" s="311">
        <v>2</v>
      </c>
      <c r="E133" s="311"/>
      <c r="F133" s="309" t="s">
        <v>85</v>
      </c>
      <c r="G133" s="309"/>
      <c r="H133" s="309" t="s">
        <v>870</v>
      </c>
      <c r="I133" s="311" t="s">
        <v>41</v>
      </c>
      <c r="J133" s="312">
        <v>6685000270553</v>
      </c>
      <c r="K133" s="299">
        <v>42226</v>
      </c>
      <c r="L133" s="311">
        <v>1080</v>
      </c>
      <c r="M133" s="202">
        <f>IF(K133="cnr","CNR",IF(K133="CBU", "CBU",IF(K133="Code Out","Code Out",K133+L133)))</f>
        <v>43306</v>
      </c>
      <c r="N133" s="203">
        <f>M133</f>
        <v>43306</v>
      </c>
      <c r="O133" s="205" t="str">
        <f ca="1">IF(AJ133=1,"",IF(AH133&lt;1,"DEL",""))</f>
        <v/>
      </c>
      <c r="P133" s="317"/>
      <c r="Q133" s="313"/>
      <c r="R133" s="313"/>
      <c r="S133" s="313" t="s">
        <v>398</v>
      </c>
      <c r="T133" s="313"/>
      <c r="U133" s="298" t="s">
        <v>1415</v>
      </c>
      <c r="V133" s="314" t="s">
        <v>680</v>
      </c>
      <c r="W133" s="303"/>
      <c r="X133" s="302"/>
      <c r="Y133" s="197">
        <f>IF(AF133,MONTH(M133),"")</f>
        <v>7</v>
      </c>
      <c r="Z133" s="198">
        <f>IF(AF133,YEAR(M133),"")</f>
        <v>2018</v>
      </c>
      <c r="AA133" s="191">
        <f>IF(AF133,MONTH(N133),"")</f>
        <v>7</v>
      </c>
      <c r="AB133" s="191">
        <f>IF(AF133,YEAR(N133),"")</f>
        <v>2018</v>
      </c>
      <c r="AC133" s="193" t="str">
        <f>CONCATENATE(Y133,Z133)</f>
        <v>72018</v>
      </c>
      <c r="AD133" s="194" t="str">
        <f>CONCATENATE(AA133,AB133)</f>
        <v>72018</v>
      </c>
      <c r="AE133" s="195">
        <f>IF(M133="CBU","",IF(M133="CNR","",IF(K133="Code Out","",MIN(M133,N133))))</f>
        <v>43306</v>
      </c>
      <c r="AF133" s="196" t="b">
        <f>--(ISNUMBER(SEARCH("lab",P133)))
=--(ISNUMBER(SEARCH("fred",A125)))</f>
        <v>1</v>
      </c>
      <c r="AG133" s="199" t="b">
        <f>IF(AE133&lt;$J$4,TRUE,FALSE)</f>
        <v>0</v>
      </c>
      <c r="AH133" s="192">
        <f ca="1">IF(K133="CBU","",IF(K133="CNR","",IF(K133="Code Out","",SUM(M133-$U$1))))</f>
        <v>26.568161226852681</v>
      </c>
      <c r="AI133" s="192">
        <f ca="1">COUNTIF(O133,"Del")</f>
        <v>0</v>
      </c>
      <c r="AJ133" s="192">
        <f>COUNTIF(P133,"*at lab*")</f>
        <v>0</v>
      </c>
      <c r="AK133" s="200">
        <f ca="1">SUM(AI133:AJ133)</f>
        <v>0</v>
      </c>
    </row>
    <row r="134" spans="1:37" s="75" customFormat="1" ht="25.5" x14ac:dyDescent="0.2">
      <c r="A134" s="315" t="s">
        <v>75</v>
      </c>
      <c r="B134" s="309" t="s">
        <v>76</v>
      </c>
      <c r="C134" s="310"/>
      <c r="D134" s="311">
        <v>1</v>
      </c>
      <c r="E134" s="311"/>
      <c r="F134" s="309" t="s">
        <v>77</v>
      </c>
      <c r="G134" s="309"/>
      <c r="H134" s="309" t="s">
        <v>855</v>
      </c>
      <c r="I134" s="311" t="s">
        <v>78</v>
      </c>
      <c r="J134" s="312">
        <v>6670006185662</v>
      </c>
      <c r="K134" s="299">
        <v>42408</v>
      </c>
      <c r="L134" s="311">
        <v>1080</v>
      </c>
      <c r="M134" s="202">
        <f>IF(K134="cnr","CNR",IF(K134="CBU", "CBU",IF(K134="Code Out","Code Out",K134+L134)))</f>
        <v>43488</v>
      </c>
      <c r="N134" s="203">
        <f>M134</f>
        <v>43488</v>
      </c>
      <c r="O134" s="205" t="str">
        <f ca="1">IF(AJ134=1,"",IF(AH134&lt;1,"DEL",""))</f>
        <v/>
      </c>
      <c r="P134" s="317"/>
      <c r="Q134" s="313" t="s">
        <v>860</v>
      </c>
      <c r="R134" s="313"/>
      <c r="S134" s="313" t="s">
        <v>1370</v>
      </c>
      <c r="T134" s="313"/>
      <c r="U134" s="298" t="s">
        <v>1385</v>
      </c>
      <c r="V134" s="314" t="s">
        <v>694</v>
      </c>
      <c r="W134" s="170"/>
      <c r="X134" s="138"/>
      <c r="Y134" s="197">
        <f>IF(AF134,MONTH(M134),"")</f>
        <v>1</v>
      </c>
      <c r="Z134" s="198">
        <f>IF(AF134,YEAR(M134),"")</f>
        <v>2019</v>
      </c>
      <c r="AA134" s="191">
        <f>IF(AF134,MONTH(N134),"")</f>
        <v>1</v>
      </c>
      <c r="AB134" s="191">
        <f>IF(AF134,YEAR(N134),"")</f>
        <v>2019</v>
      </c>
      <c r="AC134" s="193" t="str">
        <f>CONCATENATE(Y134,Z134)</f>
        <v>12019</v>
      </c>
      <c r="AD134" s="194" t="str">
        <f>CONCATENATE(AA134,AB134)</f>
        <v>12019</v>
      </c>
      <c r="AE134" s="195">
        <f>IF(M134="CBU","",IF(M134="CNR","",IF(K134="Code Out","",MIN(M134,N134))))</f>
        <v>43488</v>
      </c>
      <c r="AF134" s="196" t="b">
        <f>--(ISNUMBER(SEARCH("lab",P134)))
=--(ISNUMBER(SEARCH("fred",A126)))</f>
        <v>1</v>
      </c>
      <c r="AG134" s="199" t="b">
        <f>IF(AE134&lt;$J$4,TRUE,FALSE)</f>
        <v>0</v>
      </c>
      <c r="AH134" s="192">
        <f ca="1">IF(K134="CBU","",IF(K134="CNR","",IF(K134="Code Out","",SUM(M134-$U$1))))</f>
        <v>208.56816122685268</v>
      </c>
      <c r="AI134" s="192">
        <f ca="1">COUNTIF(O134,"Del")</f>
        <v>0</v>
      </c>
      <c r="AJ134" s="192">
        <f>COUNTIF(P134,"*at lab*")</f>
        <v>0</v>
      </c>
      <c r="AK134" s="200">
        <f ca="1">SUM(AI134:AJ134)</f>
        <v>0</v>
      </c>
    </row>
    <row r="135" spans="1:37" s="75" customFormat="1" ht="25.5" x14ac:dyDescent="0.2">
      <c r="A135" s="401" t="s">
        <v>1521</v>
      </c>
      <c r="B135" s="309" t="s">
        <v>73</v>
      </c>
      <c r="C135" s="310"/>
      <c r="D135" s="311">
        <v>3</v>
      </c>
      <c r="E135" s="311"/>
      <c r="F135" s="309" t="s">
        <v>38</v>
      </c>
      <c r="G135" s="309" t="s">
        <v>781</v>
      </c>
      <c r="H135" s="309" t="s">
        <v>973</v>
      </c>
      <c r="I135" s="311" t="s">
        <v>5</v>
      </c>
      <c r="J135" s="312">
        <v>5120008213441</v>
      </c>
      <c r="K135" s="410" t="s">
        <v>999</v>
      </c>
      <c r="L135" s="311">
        <v>180</v>
      </c>
      <c r="M135" s="202" t="str">
        <f>IF(K135="cnr","CNR",IF(K135="CBU", "CBU",IF(K135="Code Out","Code Out",K135+L135)))</f>
        <v>Code Out</v>
      </c>
      <c r="N135" s="203" t="str">
        <f>M135</f>
        <v>Code Out</v>
      </c>
      <c r="O135" s="205" t="str">
        <f>IF(AJ135=1,"",IF(AH135&lt;1,"DEL",""))</f>
        <v/>
      </c>
      <c r="P135" s="317"/>
      <c r="Q135" s="313"/>
      <c r="R135" s="313"/>
      <c r="S135" s="313" t="s">
        <v>398</v>
      </c>
      <c r="T135" s="313"/>
      <c r="U135" s="298" t="s">
        <v>1538</v>
      </c>
      <c r="V135" s="314" t="s">
        <v>1528</v>
      </c>
      <c r="W135" s="303"/>
      <c r="X135" s="302"/>
      <c r="Y135" s="197" t="e">
        <f>IF(AF135,MONTH(M135),"")</f>
        <v>#VALUE!</v>
      </c>
      <c r="Z135" s="198" t="e">
        <f>IF(AF135,YEAR(M135),"")</f>
        <v>#VALUE!</v>
      </c>
      <c r="AA135" s="191" t="e">
        <f>IF(AF135,MONTH(N135),"")</f>
        <v>#VALUE!</v>
      </c>
      <c r="AB135" s="191" t="e">
        <f>IF(AF135,YEAR(N135),"")</f>
        <v>#VALUE!</v>
      </c>
      <c r="AC135" s="193" t="e">
        <f>CONCATENATE(Y135,Z135)</f>
        <v>#VALUE!</v>
      </c>
      <c r="AD135" s="194" t="e">
        <f>CONCATENATE(AA135,AB135)</f>
        <v>#VALUE!</v>
      </c>
      <c r="AE135" s="195" t="str">
        <f>IF(M135="CBU","",IF(M135="CNR","",IF(K135="Code Out","",MIN(M135,N135))))</f>
        <v/>
      </c>
      <c r="AF135" s="196" t="b">
        <f>--(ISNUMBER(SEARCH("lab",P135)))
=--(ISNUMBER(SEARCH("fred",A127)))</f>
        <v>1</v>
      </c>
      <c r="AG135" s="199" t="b">
        <f>IF(AE135&lt;$J$4,TRUE,FALSE)</f>
        <v>0</v>
      </c>
      <c r="AH135" s="192" t="str">
        <f>IF(K135="CBU","",IF(K135="CNR","",IF(K135="Code Out","",SUM(M135-$U$1))))</f>
        <v/>
      </c>
      <c r="AI135" s="192">
        <f>COUNTIF(O135,"Del")</f>
        <v>0</v>
      </c>
      <c r="AJ135" s="192">
        <f>COUNTIF(P135,"*at lab*")</f>
        <v>0</v>
      </c>
      <c r="AK135" s="200">
        <f>SUM(AI135:AJ135)</f>
        <v>0</v>
      </c>
    </row>
    <row r="136" spans="1:37" s="75" customFormat="1" ht="25.5" x14ac:dyDescent="0.2">
      <c r="A136" s="207" t="s">
        <v>114</v>
      </c>
      <c r="B136" s="315">
        <v>2063</v>
      </c>
      <c r="C136" s="311" t="s">
        <v>516</v>
      </c>
      <c r="D136" s="311">
        <v>1</v>
      </c>
      <c r="E136" s="311"/>
      <c r="F136" s="309" t="s">
        <v>115</v>
      </c>
      <c r="G136" s="309"/>
      <c r="H136" s="309" t="s">
        <v>855</v>
      </c>
      <c r="I136" s="311" t="s">
        <v>471</v>
      </c>
      <c r="J136" s="316">
        <v>6625013016894</v>
      </c>
      <c r="K136" s="299">
        <v>43164</v>
      </c>
      <c r="L136" s="310">
        <v>840</v>
      </c>
      <c r="M136" s="202">
        <f>IF(K136="cnr","CNR",IF(K136="CBU", "CBU",IF(K136="Code Out","Code Out",K136+L136)))</f>
        <v>44004</v>
      </c>
      <c r="N136" s="203">
        <f>M136</f>
        <v>44004</v>
      </c>
      <c r="O136" s="205" t="str">
        <f ca="1">IF(AJ136=1,"",IF(AH136&lt;1,"DEL",""))</f>
        <v/>
      </c>
      <c r="P136" s="299"/>
      <c r="Q136" s="313"/>
      <c r="R136" s="313"/>
      <c r="S136" s="313" t="s">
        <v>398</v>
      </c>
      <c r="T136" s="313"/>
      <c r="U136" s="318" t="s">
        <v>1526</v>
      </c>
      <c r="V136" s="314" t="s">
        <v>369</v>
      </c>
      <c r="W136" s="303"/>
      <c r="X136" s="302"/>
      <c r="Y136" s="197">
        <f>IF(AF136,MONTH(M136),"")</f>
        <v>6</v>
      </c>
      <c r="Z136" s="198">
        <f>IF(AF136,YEAR(M136),"")</f>
        <v>2020</v>
      </c>
      <c r="AA136" s="191">
        <f>IF(AF136,MONTH(N136),"")</f>
        <v>6</v>
      </c>
      <c r="AB136" s="191">
        <f>IF(AF136,YEAR(N136),"")</f>
        <v>2020</v>
      </c>
      <c r="AC136" s="193" t="str">
        <f>CONCATENATE(Y136,Z136)</f>
        <v>62020</v>
      </c>
      <c r="AD136" s="194" t="str">
        <f>CONCATENATE(AA136,AB136)</f>
        <v>62020</v>
      </c>
      <c r="AE136" s="195">
        <f>IF(M136="CBU","",IF(M136="CNR","",IF(K136="Code Out","",MIN(M136,N136))))</f>
        <v>44004</v>
      </c>
      <c r="AF136" s="196" t="b">
        <f>--(ISNUMBER(SEARCH("lab",P136)))
=--(ISNUMBER(SEARCH("fred",A129)))</f>
        <v>1</v>
      </c>
      <c r="AG136" s="199" t="b">
        <f>IF(AE136&lt;$J$4,TRUE,FALSE)</f>
        <v>0</v>
      </c>
      <c r="AH136" s="192">
        <f ca="1">IF(K136="CBU","",IF(K136="CNR","",IF(K136="Code Out","",SUM(M136-$U$1))))</f>
        <v>724.56816122685268</v>
      </c>
      <c r="AI136" s="192">
        <f ca="1">COUNTIF(O136,"Del")</f>
        <v>0</v>
      </c>
      <c r="AJ136" s="192">
        <f>COUNTIF(P136,"*at lab*")</f>
        <v>0</v>
      </c>
      <c r="AK136" s="200">
        <f ca="1">SUM(AI136:AJ136)</f>
        <v>0</v>
      </c>
    </row>
    <row r="137" spans="1:37" s="75" customFormat="1" ht="25.5" x14ac:dyDescent="0.2">
      <c r="A137" s="207" t="s">
        <v>181</v>
      </c>
      <c r="B137" s="309">
        <v>4913</v>
      </c>
      <c r="C137" s="310"/>
      <c r="D137" s="311">
        <v>2</v>
      </c>
      <c r="E137" s="311"/>
      <c r="F137" s="309" t="s">
        <v>416</v>
      </c>
      <c r="G137" s="309" t="s">
        <v>774</v>
      </c>
      <c r="H137" s="309" t="s">
        <v>870</v>
      </c>
      <c r="I137" s="311" t="s">
        <v>525</v>
      </c>
      <c r="J137" s="312">
        <v>5120001692986</v>
      </c>
      <c r="K137" s="299">
        <v>43203</v>
      </c>
      <c r="L137" s="311">
        <v>180</v>
      </c>
      <c r="M137" s="202">
        <f>IF(K137="cnr","CNR",IF(K137="CBU", "CBU",IF(K137="Code Out","Code Out",K137+L137)))</f>
        <v>43383</v>
      </c>
      <c r="N137" s="203">
        <f>M137</f>
        <v>43383</v>
      </c>
      <c r="O137" s="205" t="str">
        <f ca="1">IF(AJ137=1,"",IF(AH137&lt;1,"DEL",""))</f>
        <v/>
      </c>
      <c r="P137" s="299"/>
      <c r="Q137" s="313"/>
      <c r="R137" s="313"/>
      <c r="S137" s="313" t="s">
        <v>398</v>
      </c>
      <c r="T137" s="313"/>
      <c r="U137" s="298" t="s">
        <v>1550</v>
      </c>
      <c r="V137" s="314" t="s">
        <v>1528</v>
      </c>
      <c r="W137" s="173"/>
      <c r="X137" s="139"/>
      <c r="Y137" s="191">
        <f>IF(AF137,MONTH(M137),"")</f>
        <v>10</v>
      </c>
      <c r="Z137" s="192">
        <f>IF(AF137,YEAR(M137),"")</f>
        <v>2018</v>
      </c>
      <c r="AA137" s="191">
        <f>IF(AF137,MONTH(N137),"")</f>
        <v>10</v>
      </c>
      <c r="AB137" s="191">
        <f>IF(AF137,YEAR(N137),"")</f>
        <v>2018</v>
      </c>
      <c r="AC137" s="193" t="str">
        <f>CONCATENATE(Y137,Z137)</f>
        <v>102018</v>
      </c>
      <c r="AD137" s="194" t="str">
        <f>CONCATENATE(AA137,AB137)</f>
        <v>102018</v>
      </c>
      <c r="AE137" s="195">
        <f>IF(M137="CBU","",IF(M137="CNR","",IF(K137="Code Out","",MIN(M137,N137))))</f>
        <v>43383</v>
      </c>
      <c r="AF137" s="196" t="b">
        <f>--(ISNUMBER(SEARCH("lab",P137)))
=--(ISNUMBER(SEARCH("fred",A129)))</f>
        <v>1</v>
      </c>
      <c r="AG137" s="199" t="b">
        <f>IF(AE137&lt;$J$4,TRUE,FALSE)</f>
        <v>0</v>
      </c>
      <c r="AH137" s="192">
        <f ca="1">IF(K137="CBU","",IF(K137="CNR","",IF(K137="Code Out","",SUM(M137-$U$1))))</f>
        <v>103.56816122685268</v>
      </c>
      <c r="AI137" s="192">
        <f ca="1">COUNTIF(O137,"Del")</f>
        <v>0</v>
      </c>
      <c r="AJ137" s="192">
        <f>COUNTIF(P137,"*at lab*")</f>
        <v>0</v>
      </c>
      <c r="AK137" s="200">
        <f ca="1">SUM(AI137:AJ137)</f>
        <v>0</v>
      </c>
    </row>
    <row r="138" spans="1:37" s="75" customFormat="1" x14ac:dyDescent="0.2">
      <c r="A138" s="424" t="s">
        <v>138</v>
      </c>
      <c r="B138" s="315" t="s">
        <v>1342</v>
      </c>
      <c r="C138" s="311" t="s">
        <v>507</v>
      </c>
      <c r="D138" s="311">
        <v>1</v>
      </c>
      <c r="E138" s="311"/>
      <c r="F138" s="309" t="s">
        <v>249</v>
      </c>
      <c r="G138" s="309"/>
      <c r="H138" s="309" t="s">
        <v>855</v>
      </c>
      <c r="I138" s="311" t="s">
        <v>179</v>
      </c>
      <c r="J138" s="316">
        <v>6130005040327</v>
      </c>
      <c r="K138" s="299" t="s">
        <v>138</v>
      </c>
      <c r="L138" s="310" t="s">
        <v>138</v>
      </c>
      <c r="M138" s="202" t="str">
        <f>IF(K138="cnr","CNR",IF(K138="CBU", "CBU",IF(K138="Code Out","Code Out",K138+L138)))</f>
        <v>CNR</v>
      </c>
      <c r="N138" s="203" t="str">
        <f>M138</f>
        <v>CNR</v>
      </c>
      <c r="O138" s="205" t="str">
        <f>IF(AJ138=1,"",IF(AH138&lt;1,"DEL",""))</f>
        <v/>
      </c>
      <c r="P138" s="317"/>
      <c r="Q138" s="313"/>
      <c r="R138" s="313"/>
      <c r="S138" s="313" t="s">
        <v>398</v>
      </c>
      <c r="T138" s="313"/>
      <c r="U138" s="318" t="s">
        <v>1434</v>
      </c>
      <c r="V138" s="314" t="s">
        <v>369</v>
      </c>
      <c r="W138" s="170"/>
      <c r="X138" s="138"/>
      <c r="Y138" s="197" t="e">
        <f>IF(AF138,MONTH(M138),"")</f>
        <v>#VALUE!</v>
      </c>
      <c r="Z138" s="198" t="e">
        <f>IF(AF138,YEAR(M138),"")</f>
        <v>#VALUE!</v>
      </c>
      <c r="AA138" s="191" t="e">
        <f>IF(AF138,MONTH(N138),"")</f>
        <v>#VALUE!</v>
      </c>
      <c r="AB138" s="191" t="e">
        <f>IF(AF138,YEAR(N138),"")</f>
        <v>#VALUE!</v>
      </c>
      <c r="AC138" s="193" t="e">
        <f>CONCATENATE(Y138,Z138)</f>
        <v>#VALUE!</v>
      </c>
      <c r="AD138" s="194" t="e">
        <f>CONCATENATE(AA138,AB138)</f>
        <v>#VALUE!</v>
      </c>
      <c r="AE138" s="195" t="str">
        <f>IF(M138="CBU","",IF(M138="CNR","",IF(K138="Code Out","",MIN(M138,N138))))</f>
        <v/>
      </c>
      <c r="AF138" s="196" t="b">
        <f>--(ISNUMBER(SEARCH("lab",P138)))
=--(ISNUMBER(SEARCH("fred",A130)))</f>
        <v>1</v>
      </c>
      <c r="AG138" s="199" t="b">
        <f>IF(AE138&lt;$J$4,TRUE,FALSE)</f>
        <v>0</v>
      </c>
      <c r="AH138" s="192" t="str">
        <f>IF(K138="CBU","",IF(K138="CNR","",IF(K138="Code Out","",SUM(M138-$U$1))))</f>
        <v/>
      </c>
      <c r="AI138" s="192">
        <f>COUNTIF(O138,"Del")</f>
        <v>0</v>
      </c>
      <c r="AJ138" s="192">
        <f>COUNTIF(P138,"*at lab*")</f>
        <v>0</v>
      </c>
      <c r="AK138" s="200">
        <f>SUM(AI138:AJ138)</f>
        <v>0</v>
      </c>
    </row>
    <row r="139" spans="1:37" s="75" customFormat="1" ht="51" x14ac:dyDescent="0.2">
      <c r="A139" s="424" t="s">
        <v>138</v>
      </c>
      <c r="B139" s="315" t="s">
        <v>169</v>
      </c>
      <c r="C139" s="311" t="s">
        <v>509</v>
      </c>
      <c r="D139" s="311">
        <v>1</v>
      </c>
      <c r="E139" s="311"/>
      <c r="F139" s="309" t="s">
        <v>171</v>
      </c>
      <c r="G139" s="309"/>
      <c r="H139" s="309" t="s">
        <v>855</v>
      </c>
      <c r="I139" s="311" t="s">
        <v>170</v>
      </c>
      <c r="J139" s="316">
        <v>6625002380223</v>
      </c>
      <c r="K139" s="299" t="s">
        <v>138</v>
      </c>
      <c r="L139" s="315" t="s">
        <v>138</v>
      </c>
      <c r="M139" s="202" t="str">
        <f>IF(K139="cnr","CNR",IF(K139="CBU", "CBU",IF(K139="Code Out","Code Out",K139+L139)))</f>
        <v>CNR</v>
      </c>
      <c r="N139" s="203" t="str">
        <f>M139</f>
        <v>CNR</v>
      </c>
      <c r="O139" s="205" t="str">
        <f>IF(AJ139=1,"",IF(AH139&lt;1,"DEL",""))</f>
        <v/>
      </c>
      <c r="P139" s="317"/>
      <c r="Q139" s="313"/>
      <c r="R139" s="313"/>
      <c r="S139" s="313" t="s">
        <v>398</v>
      </c>
      <c r="T139" s="313"/>
      <c r="U139" s="318"/>
      <c r="V139" s="314" t="s">
        <v>369</v>
      </c>
      <c r="W139" s="173"/>
      <c r="X139" s="139"/>
      <c r="Y139" s="197" t="e">
        <f>IF(AF139,MONTH(M139),"")</f>
        <v>#VALUE!</v>
      </c>
      <c r="Z139" s="198" t="e">
        <f>IF(AF139,YEAR(M139),"")</f>
        <v>#VALUE!</v>
      </c>
      <c r="AA139" s="191" t="e">
        <f>IF(AF139,MONTH(N139),"")</f>
        <v>#VALUE!</v>
      </c>
      <c r="AB139" s="191" t="e">
        <f>IF(AF139,YEAR(N139),"")</f>
        <v>#VALUE!</v>
      </c>
      <c r="AC139" s="193" t="e">
        <f>CONCATENATE(Y139,Z139)</f>
        <v>#VALUE!</v>
      </c>
      <c r="AD139" s="194" t="e">
        <f>CONCATENATE(AA139,AB139)</f>
        <v>#VALUE!</v>
      </c>
      <c r="AE139" s="195" t="str">
        <f>IF(M139="CBU","",IF(M139="CNR","",IF(K139="Code Out","",MIN(M139,N139))))</f>
        <v/>
      </c>
      <c r="AF139" s="196" t="b">
        <f>--(ISNUMBER(SEARCH("lab",P139)))
=--(ISNUMBER(SEARCH("fred",A131)))</f>
        <v>1</v>
      </c>
      <c r="AG139" s="199" t="b">
        <f>IF(AE139&lt;$J$4,TRUE,FALSE)</f>
        <v>0</v>
      </c>
      <c r="AH139" s="192" t="str">
        <f>IF(K139="CBU","",IF(K139="CNR","",IF(K139="Code Out","",SUM(M139-$U$1))))</f>
        <v/>
      </c>
      <c r="AI139" s="192">
        <f>COUNTIF(O139,"Del")</f>
        <v>0</v>
      </c>
      <c r="AJ139" s="192">
        <f>COUNTIF(P139,"*at lab*")</f>
        <v>0</v>
      </c>
      <c r="AK139" s="200">
        <f>SUM(AI139:AJ139)</f>
        <v>0</v>
      </c>
    </row>
    <row r="140" spans="1:37" s="75" customFormat="1" x14ac:dyDescent="0.2">
      <c r="A140" s="424" t="s">
        <v>138</v>
      </c>
      <c r="B140" s="309" t="s">
        <v>758</v>
      </c>
      <c r="C140" s="310"/>
      <c r="D140" s="311">
        <v>1</v>
      </c>
      <c r="E140" s="311"/>
      <c r="F140" s="309" t="s">
        <v>266</v>
      </c>
      <c r="G140" s="309"/>
      <c r="H140" s="309" t="s">
        <v>855</v>
      </c>
      <c r="I140" s="311" t="s">
        <v>265</v>
      </c>
      <c r="J140" s="312">
        <v>4920012267552</v>
      </c>
      <c r="K140" s="299" t="s">
        <v>138</v>
      </c>
      <c r="L140" s="311" t="s">
        <v>138</v>
      </c>
      <c r="M140" s="202" t="str">
        <f>IF(K140="cnr","CNR",IF(K140="CBU", "CBU",IF(K140="Code Out","Code Out",K140+L140)))</f>
        <v>CNR</v>
      </c>
      <c r="N140" s="203" t="str">
        <f>M140</f>
        <v>CNR</v>
      </c>
      <c r="O140" s="205" t="str">
        <f>IF(AJ140=1,"",IF(AH140&lt;1,"DEL",""))</f>
        <v/>
      </c>
      <c r="P140" s="317"/>
      <c r="Q140" s="313"/>
      <c r="R140" s="313"/>
      <c r="S140" s="313" t="s">
        <v>398</v>
      </c>
      <c r="T140" s="313"/>
      <c r="U140" s="318"/>
      <c r="V140" s="314" t="s">
        <v>373</v>
      </c>
      <c r="W140" s="303"/>
      <c r="X140" s="302"/>
      <c r="Y140" s="197" t="e">
        <f>IF(AF140,MONTH(M140),"")</f>
        <v>#VALUE!</v>
      </c>
      <c r="Z140" s="198" t="e">
        <f>IF(AF140,YEAR(M140),"")</f>
        <v>#VALUE!</v>
      </c>
      <c r="AA140" s="191" t="e">
        <f>IF(AF140,MONTH(N140),"")</f>
        <v>#VALUE!</v>
      </c>
      <c r="AB140" s="191" t="e">
        <f>IF(AF140,YEAR(N140),"")</f>
        <v>#VALUE!</v>
      </c>
      <c r="AC140" s="193" t="e">
        <f>CONCATENATE(Y140,Z140)</f>
        <v>#VALUE!</v>
      </c>
      <c r="AD140" s="194" t="e">
        <f>CONCATENATE(AA140,AB140)</f>
        <v>#VALUE!</v>
      </c>
      <c r="AE140" s="195" t="str">
        <f>IF(M140="CBU","",IF(M140="CNR","",IF(K140="Code Out","",MIN(M140,N140))))</f>
        <v/>
      </c>
      <c r="AF140" s="196" t="b">
        <f>--(ISNUMBER(SEARCH("lab",P140)))
=--(ISNUMBER(SEARCH("fred",A132)))</f>
        <v>1</v>
      </c>
      <c r="AG140" s="199" t="b">
        <f>IF(AE140&lt;$J$4,TRUE,FALSE)</f>
        <v>0</v>
      </c>
      <c r="AH140" s="192" t="str">
        <f>IF(K140="CBU","",IF(K140="CNR","",IF(K140="Code Out","",SUM(M140-$U$1))))</f>
        <v/>
      </c>
      <c r="AI140" s="192">
        <f>COUNTIF(O140,"Del")</f>
        <v>0</v>
      </c>
      <c r="AJ140" s="192">
        <f>COUNTIF(P140,"*at lab*")</f>
        <v>0</v>
      </c>
      <c r="AK140" s="200">
        <f>SUM(AI140:AJ140)</f>
        <v>0</v>
      </c>
    </row>
    <row r="141" spans="1:37" s="75" customFormat="1" x14ac:dyDescent="0.2">
      <c r="A141" s="424" t="s">
        <v>138</v>
      </c>
      <c r="B141" s="315" t="s">
        <v>391</v>
      </c>
      <c r="C141" s="309" t="s">
        <v>504</v>
      </c>
      <c r="D141" s="309" t="s">
        <v>855</v>
      </c>
      <c r="E141" s="309"/>
      <c r="F141" s="309" t="s">
        <v>392</v>
      </c>
      <c r="G141" s="309"/>
      <c r="H141" s="309" t="s">
        <v>855</v>
      </c>
      <c r="I141" s="309" t="s">
        <v>393</v>
      </c>
      <c r="J141" s="312" t="s">
        <v>394</v>
      </c>
      <c r="K141" s="299" t="s">
        <v>138</v>
      </c>
      <c r="L141" s="310" t="s">
        <v>138</v>
      </c>
      <c r="M141" s="202" t="str">
        <f>IF(K141="cnr","CNR",IF(K141="CBU", "CBU",IF(K141="Code Out","Code Out",K141+L141)))</f>
        <v>CNR</v>
      </c>
      <c r="N141" s="203" t="str">
        <f>M141</f>
        <v>CNR</v>
      </c>
      <c r="O141" s="205" t="str">
        <f>IF(AJ141=1,"",IF(AH141&lt;1,"DEL",""))</f>
        <v/>
      </c>
      <c r="P141" s="317"/>
      <c r="Q141" s="313"/>
      <c r="R141" s="313"/>
      <c r="S141" s="313" t="s">
        <v>398</v>
      </c>
      <c r="T141" s="313"/>
      <c r="U141" s="318"/>
      <c r="V141" s="320" t="s">
        <v>373</v>
      </c>
      <c r="W141" s="172"/>
      <c r="X141" s="137"/>
      <c r="Y141" s="197" t="e">
        <f>IF(AF141,MONTH(M141),"")</f>
        <v>#VALUE!</v>
      </c>
      <c r="Z141" s="198" t="e">
        <f>IF(AF141,YEAR(M141),"")</f>
        <v>#VALUE!</v>
      </c>
      <c r="AA141" s="191" t="e">
        <f>IF(AF141,MONTH(N141),"")</f>
        <v>#VALUE!</v>
      </c>
      <c r="AB141" s="191" t="e">
        <f>IF(AF141,YEAR(N141),"")</f>
        <v>#VALUE!</v>
      </c>
      <c r="AC141" s="193" t="e">
        <f>CONCATENATE(Y141,Z141)</f>
        <v>#VALUE!</v>
      </c>
      <c r="AD141" s="194" t="e">
        <f>CONCATENATE(AA141,AB141)</f>
        <v>#VALUE!</v>
      </c>
      <c r="AE141" s="195" t="str">
        <f>IF(M141="CBU","",IF(M141="CNR","",IF(K141="Code Out","",MIN(M141,N141))))</f>
        <v/>
      </c>
      <c r="AF141" s="196" t="b">
        <f>--(ISNUMBER(SEARCH("lab",P141)))
=--(ISNUMBER(SEARCH("fred",A133)))</f>
        <v>1</v>
      </c>
      <c r="AG141" s="199" t="b">
        <f>IF(AE141&lt;$J$4,TRUE,FALSE)</f>
        <v>0</v>
      </c>
      <c r="AH141" s="192" t="str">
        <f>IF(K141="CBU","",IF(K141="CNR","",IF(K141="Code Out","",SUM(M141-$U$1))))</f>
        <v/>
      </c>
      <c r="AI141" s="192">
        <f>COUNTIF(O141,"Del")</f>
        <v>0</v>
      </c>
      <c r="AJ141" s="192">
        <f>COUNTIF(P141,"*at lab*")</f>
        <v>0</v>
      </c>
      <c r="AK141" s="200">
        <f>SUM(AI141:AJ141)</f>
        <v>0</v>
      </c>
    </row>
    <row r="142" spans="1:37" s="75" customFormat="1" ht="25.5" x14ac:dyDescent="0.2">
      <c r="A142" s="424" t="s">
        <v>138</v>
      </c>
      <c r="B142" s="390" t="s">
        <v>747</v>
      </c>
      <c r="C142" s="311" t="s">
        <v>495</v>
      </c>
      <c r="D142" s="311">
        <v>1</v>
      </c>
      <c r="E142" s="311"/>
      <c r="F142" s="309" t="s">
        <v>139</v>
      </c>
      <c r="G142" s="309"/>
      <c r="H142" s="309" t="s">
        <v>973</v>
      </c>
      <c r="I142" s="311" t="s">
        <v>106</v>
      </c>
      <c r="J142" s="316">
        <v>6625008033399</v>
      </c>
      <c r="K142" s="299" t="s">
        <v>138</v>
      </c>
      <c r="L142" s="315" t="s">
        <v>138</v>
      </c>
      <c r="M142" s="202" t="str">
        <f>IF(K142="cnr","CNR",IF(K142="CBU", "CBU",IF(K142="Code Out","Code Out",K142+L142)))</f>
        <v>CNR</v>
      </c>
      <c r="N142" s="203" t="str">
        <f>M142</f>
        <v>CNR</v>
      </c>
      <c r="O142" s="205" t="str">
        <f>IF(AJ142=1,"",IF(AH142&lt;1,"DEL",""))</f>
        <v/>
      </c>
      <c r="P142" s="317"/>
      <c r="Q142" s="313"/>
      <c r="R142" s="313"/>
      <c r="S142" s="313" t="s">
        <v>398</v>
      </c>
      <c r="T142" s="313"/>
      <c r="U142" s="318" t="s">
        <v>1433</v>
      </c>
      <c r="V142" s="314" t="s">
        <v>369</v>
      </c>
      <c r="W142" s="303"/>
      <c r="X142" s="302"/>
      <c r="Y142" s="197" t="e">
        <f>IF(AF142,MONTH(M142),"")</f>
        <v>#VALUE!</v>
      </c>
      <c r="Z142" s="198" t="e">
        <f>IF(AF142,YEAR(M142),"")</f>
        <v>#VALUE!</v>
      </c>
      <c r="AA142" s="191" t="e">
        <f>IF(AF142,MONTH(N142),"")</f>
        <v>#VALUE!</v>
      </c>
      <c r="AB142" s="191" t="e">
        <f>IF(AF142,YEAR(N142),"")</f>
        <v>#VALUE!</v>
      </c>
      <c r="AC142" s="193" t="e">
        <f>CONCATENATE(Y142,Z142)</f>
        <v>#VALUE!</v>
      </c>
      <c r="AD142" s="194" t="e">
        <f>CONCATENATE(AA142,AB142)</f>
        <v>#VALUE!</v>
      </c>
      <c r="AE142" s="195" t="str">
        <f>IF(M142="CBU","",IF(M142="CNR","",IF(K142="Code Out","",MIN(M142,N142))))</f>
        <v/>
      </c>
      <c r="AF142" s="196" t="b">
        <f>--(ISNUMBER(SEARCH("lab",P142)))
=--(ISNUMBER(SEARCH("fred",A134)))</f>
        <v>1</v>
      </c>
      <c r="AG142" s="199" t="b">
        <f>IF(AE142&lt;$J$4,TRUE,FALSE)</f>
        <v>0</v>
      </c>
      <c r="AH142" s="192" t="str">
        <f>IF(K142="CBU","",IF(K142="CNR","",IF(K142="Code Out","",SUM(M142-$U$1))))</f>
        <v/>
      </c>
      <c r="AI142" s="192">
        <f>COUNTIF(O142,"Del")</f>
        <v>0</v>
      </c>
      <c r="AJ142" s="192">
        <f>COUNTIF(P142,"*at lab*")</f>
        <v>0</v>
      </c>
      <c r="AK142" s="200">
        <f>SUM(AI142:AJ142)</f>
        <v>0</v>
      </c>
    </row>
    <row r="143" spans="1:37" s="75" customFormat="1" x14ac:dyDescent="0.2">
      <c r="A143" s="424" t="s">
        <v>138</v>
      </c>
      <c r="B143" s="315">
        <v>505</v>
      </c>
      <c r="C143" s="311" t="s">
        <v>522</v>
      </c>
      <c r="D143" s="311">
        <v>2</v>
      </c>
      <c r="E143" s="311"/>
      <c r="F143" s="309" t="s">
        <v>140</v>
      </c>
      <c r="G143" s="309"/>
      <c r="H143" s="309" t="s">
        <v>870</v>
      </c>
      <c r="I143" s="311" t="s">
        <v>179</v>
      </c>
      <c r="J143" s="316">
        <v>6130005426385</v>
      </c>
      <c r="K143" s="299" t="s">
        <v>138</v>
      </c>
      <c r="L143" s="310" t="s">
        <v>138</v>
      </c>
      <c r="M143" s="202" t="str">
        <f>IF(K143="cnr","CNR",IF(K143="CBU", "CBU",IF(K143="Code Out","Code Out",K143+L143)))</f>
        <v>CNR</v>
      </c>
      <c r="N143" s="203" t="str">
        <f>M143</f>
        <v>CNR</v>
      </c>
      <c r="O143" s="205" t="str">
        <f>IF(AJ143=1,"",IF(AH143&lt;1,"DEL",""))</f>
        <v/>
      </c>
      <c r="P143" s="317"/>
      <c r="Q143" s="313"/>
      <c r="R143" s="313"/>
      <c r="S143" s="313" t="s">
        <v>398</v>
      </c>
      <c r="T143" s="313"/>
      <c r="U143" s="318"/>
      <c r="V143" s="314" t="s">
        <v>367</v>
      </c>
      <c r="W143" s="173"/>
      <c r="X143" s="139"/>
      <c r="Y143" s="197" t="e">
        <f>IF(AF143,MONTH(M143),"")</f>
        <v>#VALUE!</v>
      </c>
      <c r="Z143" s="198" t="e">
        <f>IF(AF143,YEAR(M143),"")</f>
        <v>#VALUE!</v>
      </c>
      <c r="AA143" s="191" t="e">
        <f>IF(AF143,MONTH(N143),"")</f>
        <v>#VALUE!</v>
      </c>
      <c r="AB143" s="191" t="e">
        <f>IF(AF143,YEAR(N143),"")</f>
        <v>#VALUE!</v>
      </c>
      <c r="AC143" s="193" t="e">
        <f>CONCATENATE(Y143,Z143)</f>
        <v>#VALUE!</v>
      </c>
      <c r="AD143" s="194" t="e">
        <f>CONCATENATE(AA143,AB143)</f>
        <v>#VALUE!</v>
      </c>
      <c r="AE143" s="195" t="str">
        <f>IF(M143="CBU","",IF(M143="CNR","",IF(K143="Code Out","",MIN(M143,N143))))</f>
        <v/>
      </c>
      <c r="AF143" s="196" t="b">
        <f>--(ISNUMBER(SEARCH("lab",P143)))
=--(ISNUMBER(SEARCH("fred",A135)))</f>
        <v>1</v>
      </c>
      <c r="AG143" s="199" t="b">
        <f>IF(AE143&lt;$J$4,TRUE,FALSE)</f>
        <v>0</v>
      </c>
      <c r="AH143" s="192" t="str">
        <f>IF(K143="CBU","",IF(K143="CNR","",IF(K143="Code Out","",SUM(M143-$U$1))))</f>
        <v/>
      </c>
      <c r="AI143" s="192">
        <f>COUNTIF(O143,"Del")</f>
        <v>0</v>
      </c>
      <c r="AJ143" s="192">
        <f>COUNTIF(P143,"*at lab*")</f>
        <v>0</v>
      </c>
      <c r="AK143" s="200">
        <f>SUM(AI143:AJ143)</f>
        <v>0</v>
      </c>
    </row>
    <row r="144" spans="1:37" s="75" customFormat="1" x14ac:dyDescent="0.2">
      <c r="A144" s="424" t="s">
        <v>138</v>
      </c>
      <c r="B144" s="315">
        <v>4581</v>
      </c>
      <c r="C144" s="310"/>
      <c r="D144" s="311">
        <v>1</v>
      </c>
      <c r="E144" s="311"/>
      <c r="F144" s="309" t="s">
        <v>136</v>
      </c>
      <c r="G144" s="309"/>
      <c r="H144" s="309" t="s">
        <v>855</v>
      </c>
      <c r="I144" s="311" t="s">
        <v>137</v>
      </c>
      <c r="J144" s="316">
        <v>6625010859669</v>
      </c>
      <c r="K144" s="299" t="s">
        <v>138</v>
      </c>
      <c r="L144" s="315" t="s">
        <v>138</v>
      </c>
      <c r="M144" s="202" t="str">
        <f>IF(K144="cnr","CNR",IF(K144="CBU", "CBU",IF(K144="Code Out","Code Out",K144+L144)))</f>
        <v>CNR</v>
      </c>
      <c r="N144" s="203" t="str">
        <f>M144</f>
        <v>CNR</v>
      </c>
      <c r="O144" s="205" t="str">
        <f>IF(AJ144=1,"",IF(AH144&lt;1,"DEL",""))</f>
        <v/>
      </c>
      <c r="P144" s="317"/>
      <c r="Q144" s="313"/>
      <c r="R144" s="313"/>
      <c r="S144" s="313" t="s">
        <v>398</v>
      </c>
      <c r="T144" s="313"/>
      <c r="U144" s="318"/>
      <c r="V144" s="314" t="s">
        <v>369</v>
      </c>
      <c r="W144" s="303"/>
      <c r="X144" s="302"/>
      <c r="Y144" s="197" t="e">
        <f>IF(AF144,MONTH(M144),"")</f>
        <v>#VALUE!</v>
      </c>
      <c r="Z144" s="198" t="e">
        <f>IF(AF144,YEAR(M144),"")</f>
        <v>#VALUE!</v>
      </c>
      <c r="AA144" s="191" t="e">
        <f>IF(AF144,MONTH(N144),"")</f>
        <v>#VALUE!</v>
      </c>
      <c r="AB144" s="191" t="e">
        <f>IF(AF144,YEAR(N144),"")</f>
        <v>#VALUE!</v>
      </c>
      <c r="AC144" s="193" t="e">
        <f>CONCATENATE(Y144,Z144)</f>
        <v>#VALUE!</v>
      </c>
      <c r="AD144" s="194" t="e">
        <f>CONCATENATE(AA144,AB144)</f>
        <v>#VALUE!</v>
      </c>
      <c r="AE144" s="195" t="str">
        <f>IF(M144="CBU","",IF(M144="CNR","",IF(K144="Code Out","",MIN(M144,N144))))</f>
        <v/>
      </c>
      <c r="AF144" s="196" t="b">
        <f>--(ISNUMBER(SEARCH("lab",P144)))
=--(ISNUMBER(SEARCH("fred",A136)))</f>
        <v>1</v>
      </c>
      <c r="AG144" s="199" t="b">
        <f>IF(AE144&lt;$J$4,TRUE,FALSE)</f>
        <v>0</v>
      </c>
      <c r="AH144" s="192" t="str">
        <f>IF(K144="CBU","",IF(K144="CNR","",IF(K144="Code Out","",SUM(M144-$U$1))))</f>
        <v/>
      </c>
      <c r="AI144" s="192">
        <f>COUNTIF(O144,"Del")</f>
        <v>0</v>
      </c>
      <c r="AJ144" s="192">
        <f>COUNTIF(P144,"*at lab*")</f>
        <v>0</v>
      </c>
      <c r="AK144" s="200">
        <f>SUM(AI144:AJ144)</f>
        <v>0</v>
      </c>
    </row>
    <row r="145" spans="1:37" s="75" customFormat="1" ht="25.5" x14ac:dyDescent="0.2">
      <c r="A145" s="207" t="s">
        <v>138</v>
      </c>
      <c r="B145" s="315" t="s">
        <v>230</v>
      </c>
      <c r="C145" s="311" t="s">
        <v>497</v>
      </c>
      <c r="D145" s="311">
        <v>2</v>
      </c>
      <c r="E145" s="311"/>
      <c r="F145" s="309" t="s">
        <v>147</v>
      </c>
      <c r="G145" s="309"/>
      <c r="H145" s="309" t="s">
        <v>870</v>
      </c>
      <c r="I145" s="311" t="s">
        <v>148</v>
      </c>
      <c r="J145" s="316">
        <v>6130006168863</v>
      </c>
      <c r="K145" s="299" t="s">
        <v>138</v>
      </c>
      <c r="L145" s="310" t="s">
        <v>138</v>
      </c>
      <c r="M145" s="202" t="str">
        <f>IF(K145="cnr","CNR",IF(K145="CBU", "CBU",IF(K145="Code Out","Code Out",K145+L145)))</f>
        <v>CNR</v>
      </c>
      <c r="N145" s="203" t="str">
        <f>M145</f>
        <v>CNR</v>
      </c>
      <c r="O145" s="205" t="str">
        <f>IF(AJ145=1,"",IF(AH145&lt;1,"DEL",""))</f>
        <v/>
      </c>
      <c r="P145" s="317"/>
      <c r="Q145" s="313"/>
      <c r="R145" s="313"/>
      <c r="S145" s="313" t="s">
        <v>398</v>
      </c>
      <c r="T145" s="313"/>
      <c r="U145" s="318"/>
      <c r="V145" s="314" t="s">
        <v>370</v>
      </c>
      <c r="W145" s="170"/>
      <c r="X145" s="138"/>
      <c r="Y145" s="197" t="e">
        <f>IF(AF145,MONTH(M145),"")</f>
        <v>#VALUE!</v>
      </c>
      <c r="Z145" s="198" t="e">
        <f>IF(AF145,YEAR(M145),"")</f>
        <v>#VALUE!</v>
      </c>
      <c r="AA145" s="191" t="e">
        <f>IF(AF145,MONTH(N145),"")</f>
        <v>#VALUE!</v>
      </c>
      <c r="AB145" s="191" t="e">
        <f>IF(AF145,YEAR(N145),"")</f>
        <v>#VALUE!</v>
      </c>
      <c r="AC145" s="193" t="e">
        <f>CONCATENATE(Y145,Z145)</f>
        <v>#VALUE!</v>
      </c>
      <c r="AD145" s="194" t="e">
        <f>CONCATENATE(AA145,AB145)</f>
        <v>#VALUE!</v>
      </c>
      <c r="AE145" s="195" t="str">
        <f>IF(M145="CBU","",IF(M145="CNR","",IF(K145="Code Out","",MIN(M145,N145))))</f>
        <v/>
      </c>
      <c r="AF145" s="196" t="b">
        <f>--(ISNUMBER(SEARCH("lab",P145)))
=--(ISNUMBER(SEARCH("fred",A137)))</f>
        <v>1</v>
      </c>
      <c r="AG145" s="199" t="b">
        <f>IF(AE145&lt;$J$4,TRUE,FALSE)</f>
        <v>0</v>
      </c>
      <c r="AH145" s="192" t="str">
        <f>IF(K145="CBU","",IF(K145="CNR","",IF(K145="Code Out","",SUM(M145-$U$1))))</f>
        <v/>
      </c>
      <c r="AI145" s="192">
        <f>COUNTIF(O145,"Del")</f>
        <v>0</v>
      </c>
      <c r="AJ145" s="192">
        <f>COUNTIF(P145,"*at lab*")</f>
        <v>0</v>
      </c>
      <c r="AK145" s="200">
        <f>SUM(AI145:AJ145)</f>
        <v>0</v>
      </c>
    </row>
    <row r="146" spans="1:37" s="75" customFormat="1" ht="25.5" x14ac:dyDescent="0.2">
      <c r="A146" s="207" t="s">
        <v>138</v>
      </c>
      <c r="B146" s="315" t="s">
        <v>267</v>
      </c>
      <c r="C146" s="311" t="s">
        <v>510</v>
      </c>
      <c r="D146" s="311">
        <v>1</v>
      </c>
      <c r="E146" s="311"/>
      <c r="F146" s="309" t="s">
        <v>268</v>
      </c>
      <c r="G146" s="309"/>
      <c r="H146" s="309" t="s">
        <v>855</v>
      </c>
      <c r="I146" s="311" t="s">
        <v>269</v>
      </c>
      <c r="J146" s="316">
        <v>4920010388243</v>
      </c>
      <c r="K146" s="299" t="s">
        <v>138</v>
      </c>
      <c r="L146" s="310" t="s">
        <v>138</v>
      </c>
      <c r="M146" s="202" t="str">
        <f>IF(K146="cnr","CNR",IF(K146="CBU", "CBU",IF(K146="Code Out","Code Out",K146+L146)))</f>
        <v>CNR</v>
      </c>
      <c r="N146" s="203" t="str">
        <f>M146</f>
        <v>CNR</v>
      </c>
      <c r="O146" s="205" t="str">
        <f>IF(AJ146=1,"",IF(AH146&lt;1,"DEL",""))</f>
        <v/>
      </c>
      <c r="P146" s="317"/>
      <c r="Q146" s="313"/>
      <c r="R146" s="313"/>
      <c r="S146" s="313" t="s">
        <v>398</v>
      </c>
      <c r="T146" s="313"/>
      <c r="U146" s="318"/>
      <c r="V146" s="314" t="s">
        <v>367</v>
      </c>
      <c r="W146" s="173"/>
      <c r="X146" s="139"/>
      <c r="Y146" s="197" t="e">
        <f>IF(AF146,MONTH(M146),"")</f>
        <v>#VALUE!</v>
      </c>
      <c r="Z146" s="198" t="e">
        <f>IF(AF146,YEAR(M146),"")</f>
        <v>#VALUE!</v>
      </c>
      <c r="AA146" s="191" t="e">
        <f>IF(AF146,MONTH(N146),"")</f>
        <v>#VALUE!</v>
      </c>
      <c r="AB146" s="191" t="e">
        <f>IF(AF146,YEAR(N146),"")</f>
        <v>#VALUE!</v>
      </c>
      <c r="AC146" s="193" t="e">
        <f>CONCATENATE(Y146,Z146)</f>
        <v>#VALUE!</v>
      </c>
      <c r="AD146" s="194" t="e">
        <f>CONCATENATE(AA146,AB146)</f>
        <v>#VALUE!</v>
      </c>
      <c r="AE146" s="195" t="str">
        <f>IF(M146="CBU","",IF(M146="CNR","",IF(K146="Code Out","",MIN(M146,N146))))</f>
        <v/>
      </c>
      <c r="AF146" s="196" t="b">
        <f>--(ISNUMBER(SEARCH("lab",P146)))
=--(ISNUMBER(SEARCH("fred",A138)))</f>
        <v>1</v>
      </c>
      <c r="AG146" s="199" t="b">
        <f>IF(AE146&lt;$J$4,TRUE,FALSE)</f>
        <v>0</v>
      </c>
      <c r="AH146" s="192" t="str">
        <f>IF(K146="CBU","",IF(K146="CNR","",IF(K146="Code Out","",SUM(M146-$U$1))))</f>
        <v/>
      </c>
      <c r="AI146" s="192">
        <f>COUNTIF(O146,"Del")</f>
        <v>0</v>
      </c>
      <c r="AJ146" s="192">
        <f>COUNTIF(P146,"*at lab*")</f>
        <v>0</v>
      </c>
      <c r="AK146" s="200">
        <f>SUM(AI146:AJ146)</f>
        <v>0</v>
      </c>
    </row>
    <row r="147" spans="1:37" s="75" customFormat="1" ht="25.5" x14ac:dyDescent="0.2">
      <c r="A147" s="207" t="s">
        <v>138</v>
      </c>
      <c r="B147" s="315" t="s">
        <v>281</v>
      </c>
      <c r="C147" s="311" t="s">
        <v>508</v>
      </c>
      <c r="D147" s="311">
        <v>1</v>
      </c>
      <c r="E147" s="311"/>
      <c r="F147" s="309" t="s">
        <v>289</v>
      </c>
      <c r="G147" s="309"/>
      <c r="H147" s="309" t="s">
        <v>855</v>
      </c>
      <c r="I147" s="311" t="s">
        <v>179</v>
      </c>
      <c r="J147" s="316">
        <v>6130011640548</v>
      </c>
      <c r="K147" s="299" t="s">
        <v>138</v>
      </c>
      <c r="L147" s="310" t="s">
        <v>138</v>
      </c>
      <c r="M147" s="202" t="str">
        <f>IF(K147="cnr","CNR",IF(K147="CBU", "CBU",IF(K147="Code Out","Code Out",K147+L147)))</f>
        <v>CNR</v>
      </c>
      <c r="N147" s="203" t="str">
        <f>M147</f>
        <v>CNR</v>
      </c>
      <c r="O147" s="205" t="str">
        <f>IF(AJ147=1,"",IF(AH147&lt;1,"DEL",""))</f>
        <v/>
      </c>
      <c r="P147" s="317"/>
      <c r="Q147" s="313"/>
      <c r="R147" s="313"/>
      <c r="S147" s="313" t="s">
        <v>398</v>
      </c>
      <c r="T147" s="313"/>
      <c r="U147" s="327"/>
      <c r="V147" s="314" t="s">
        <v>367</v>
      </c>
      <c r="W147" s="170"/>
      <c r="X147" s="138"/>
      <c r="Y147" s="197" t="e">
        <f>IF(AF147,MONTH(M147),"")</f>
        <v>#VALUE!</v>
      </c>
      <c r="Z147" s="198" t="e">
        <f>IF(AF147,YEAR(M147),"")</f>
        <v>#VALUE!</v>
      </c>
      <c r="AA147" s="191" t="e">
        <f>IF(AF147,MONTH(N147),"")</f>
        <v>#VALUE!</v>
      </c>
      <c r="AB147" s="191" t="e">
        <f>IF(AF147,YEAR(N147),"")</f>
        <v>#VALUE!</v>
      </c>
      <c r="AC147" s="193" t="e">
        <f>CONCATENATE(Y147,Z147)</f>
        <v>#VALUE!</v>
      </c>
      <c r="AD147" s="194" t="e">
        <f>CONCATENATE(AA147,AB147)</f>
        <v>#VALUE!</v>
      </c>
      <c r="AE147" s="195" t="str">
        <f>IF(M147="CBU","",IF(M147="CNR","",IF(K147="Code Out","",MIN(M147,N147))))</f>
        <v/>
      </c>
      <c r="AF147" s="196" t="b">
        <f>--(ISNUMBER(SEARCH("lab",P147)))
=--(ISNUMBER(SEARCH("fred",A139)))</f>
        <v>1</v>
      </c>
      <c r="AG147" s="199" t="b">
        <f>IF(AE147&lt;$J$4,TRUE,FALSE)</f>
        <v>0</v>
      </c>
      <c r="AH147" s="192" t="str">
        <f>IF(K147="CBU","",IF(K147="CNR","",IF(K147="Code Out","",SUM(M147-$U$1))))</f>
        <v/>
      </c>
      <c r="AI147" s="192">
        <f>COUNTIF(O147,"Del")</f>
        <v>0</v>
      </c>
      <c r="AJ147" s="192">
        <f>COUNTIF(P147,"*at lab*")</f>
        <v>0</v>
      </c>
      <c r="AK147" s="200">
        <f>SUM(AI147:AJ147)</f>
        <v>0</v>
      </c>
    </row>
    <row r="148" spans="1:37" s="75" customFormat="1" ht="25.5" x14ac:dyDescent="0.2">
      <c r="A148" s="207" t="s">
        <v>138</v>
      </c>
      <c r="B148" s="315" t="s">
        <v>146</v>
      </c>
      <c r="C148" s="311" t="s">
        <v>497</v>
      </c>
      <c r="D148" s="311">
        <v>2</v>
      </c>
      <c r="E148" s="311"/>
      <c r="F148" s="309" t="s">
        <v>147</v>
      </c>
      <c r="G148" s="309"/>
      <c r="H148" s="309" t="s">
        <v>870</v>
      </c>
      <c r="I148" s="311" t="s">
        <v>148</v>
      </c>
      <c r="J148" s="316">
        <v>6130006168863</v>
      </c>
      <c r="K148" s="299" t="s">
        <v>138</v>
      </c>
      <c r="L148" s="310" t="s">
        <v>138</v>
      </c>
      <c r="M148" s="202" t="str">
        <f>IF(K148="cnr","CNR",IF(K148="CBU", "CBU",IF(K148="Code Out","Code Out",K148+L148)))</f>
        <v>CNR</v>
      </c>
      <c r="N148" s="203" t="str">
        <f>M148</f>
        <v>CNR</v>
      </c>
      <c r="O148" s="205" t="str">
        <f>IF(AJ148=1,"",IF(AH148&lt;1,"DEL",""))</f>
        <v/>
      </c>
      <c r="P148" s="317"/>
      <c r="Q148" s="313"/>
      <c r="R148" s="313"/>
      <c r="S148" s="313" t="s">
        <v>398</v>
      </c>
      <c r="T148" s="313"/>
      <c r="U148" s="318"/>
      <c r="V148" s="314" t="s">
        <v>370</v>
      </c>
      <c r="W148" s="173"/>
      <c r="X148" s="139"/>
      <c r="Y148" s="197" t="e">
        <f>IF(AF148,MONTH(M148),"")</f>
        <v>#VALUE!</v>
      </c>
      <c r="Z148" s="198" t="e">
        <f>IF(AF148,YEAR(M148),"")</f>
        <v>#VALUE!</v>
      </c>
      <c r="AA148" s="191" t="e">
        <f>IF(AF148,MONTH(N148),"")</f>
        <v>#VALUE!</v>
      </c>
      <c r="AB148" s="191" t="e">
        <f>IF(AF148,YEAR(N148),"")</f>
        <v>#VALUE!</v>
      </c>
      <c r="AC148" s="193" t="e">
        <f>CONCATENATE(Y148,Z148)</f>
        <v>#VALUE!</v>
      </c>
      <c r="AD148" s="194" t="e">
        <f>CONCATENATE(AA148,AB148)</f>
        <v>#VALUE!</v>
      </c>
      <c r="AE148" s="195" t="str">
        <f>IF(M148="CBU","",IF(M148="CNR","",IF(K148="Code Out","",MIN(M148,N148))))</f>
        <v/>
      </c>
      <c r="AF148" s="196" t="b">
        <f>--(ISNUMBER(SEARCH("lab",P148)))
=--(ISNUMBER(SEARCH("fred",A140)))</f>
        <v>1</v>
      </c>
      <c r="AG148" s="199" t="b">
        <f>IF(AE148&lt;$J$4,TRUE,FALSE)</f>
        <v>0</v>
      </c>
      <c r="AH148" s="192" t="str">
        <f>IF(K148="CBU","",IF(K148="CNR","",IF(K148="Code Out","",SUM(M148-$U$1))))</f>
        <v/>
      </c>
      <c r="AI148" s="192">
        <f>COUNTIF(O148,"Del")</f>
        <v>0</v>
      </c>
      <c r="AJ148" s="192">
        <f>COUNTIF(P148,"*at lab*")</f>
        <v>0</v>
      </c>
      <c r="AK148" s="200">
        <f>SUM(AI148:AJ148)</f>
        <v>0</v>
      </c>
    </row>
    <row r="149" spans="1:37" s="75" customFormat="1" ht="25.5" x14ac:dyDescent="0.2">
      <c r="A149" s="207" t="s">
        <v>138</v>
      </c>
      <c r="B149" s="315" t="s">
        <v>151</v>
      </c>
      <c r="C149" s="311" t="s">
        <v>498</v>
      </c>
      <c r="D149" s="311">
        <v>4</v>
      </c>
      <c r="E149" s="311"/>
      <c r="F149" s="309">
        <v>7197156</v>
      </c>
      <c r="G149" s="309"/>
      <c r="H149" s="309" t="s">
        <v>974</v>
      </c>
      <c r="I149" s="311" t="s">
        <v>152</v>
      </c>
      <c r="J149" s="316">
        <v>1290008919999</v>
      </c>
      <c r="K149" s="299" t="s">
        <v>138</v>
      </c>
      <c r="L149" s="316" t="s">
        <v>138</v>
      </c>
      <c r="M149" s="202" t="str">
        <f>IF(K149="cnr","CNR",IF(K149="CBU", "CBU",IF(K149="Code Out","Code Out",K149+L149)))</f>
        <v>CNR</v>
      </c>
      <c r="N149" s="203" t="str">
        <f>M149</f>
        <v>CNR</v>
      </c>
      <c r="O149" s="205" t="str">
        <f>IF(AJ149=1,"",IF(AH149&lt;1,"DEL",""))</f>
        <v/>
      </c>
      <c r="P149" s="329"/>
      <c r="Q149" s="313"/>
      <c r="R149" s="313"/>
      <c r="S149" s="313" t="s">
        <v>398</v>
      </c>
      <c r="T149" s="313"/>
      <c r="U149" s="318"/>
      <c r="V149" s="314" t="s">
        <v>368</v>
      </c>
      <c r="W149" s="170"/>
      <c r="X149" s="138"/>
      <c r="Y149" s="197" t="e">
        <f>IF(AF149,MONTH(M149),"")</f>
        <v>#VALUE!</v>
      </c>
      <c r="Z149" s="198" t="e">
        <f>IF(AF149,YEAR(M149),"")</f>
        <v>#VALUE!</v>
      </c>
      <c r="AA149" s="191" t="e">
        <f>IF(AF149,MONTH(N149),"")</f>
        <v>#VALUE!</v>
      </c>
      <c r="AB149" s="191" t="e">
        <f>IF(AF149,YEAR(N149),"")</f>
        <v>#VALUE!</v>
      </c>
      <c r="AC149" s="193" t="e">
        <f>CONCATENATE(Y149,Z149)</f>
        <v>#VALUE!</v>
      </c>
      <c r="AD149" s="194" t="e">
        <f>CONCATENATE(AA149,AB149)</f>
        <v>#VALUE!</v>
      </c>
      <c r="AE149" s="195" t="str">
        <f>IF(M149="CBU","",IF(M149="CNR","",IF(K149="Code Out","",MIN(M149,N149))))</f>
        <v/>
      </c>
      <c r="AF149" s="196" t="b">
        <f>--(ISNUMBER(SEARCH("lab",P149)))
=--(ISNUMBER(SEARCH("fred",A141)))</f>
        <v>1</v>
      </c>
      <c r="AG149" s="199" t="b">
        <f>IF(AE149&lt;$J$4,TRUE,FALSE)</f>
        <v>0</v>
      </c>
      <c r="AH149" s="192" t="str">
        <f>IF(K149="CBU","",IF(K149="CNR","",IF(K149="Code Out","",SUM(M149-$U$1))))</f>
        <v/>
      </c>
      <c r="AI149" s="192">
        <f>COUNTIF(O149,"Del")</f>
        <v>0</v>
      </c>
      <c r="AJ149" s="192">
        <f>COUNTIF(P149,"*at lab*")</f>
        <v>0</v>
      </c>
      <c r="AK149" s="200">
        <f>SUM(AI149:AJ149)</f>
        <v>0</v>
      </c>
    </row>
    <row r="150" spans="1:37" s="75" customFormat="1" ht="25.5" x14ac:dyDescent="0.2">
      <c r="A150" s="207" t="s">
        <v>138</v>
      </c>
      <c r="B150" s="315" t="s">
        <v>153</v>
      </c>
      <c r="C150" s="311" t="s">
        <v>498</v>
      </c>
      <c r="D150" s="311">
        <v>4</v>
      </c>
      <c r="E150" s="311"/>
      <c r="F150" s="309">
        <v>7197156</v>
      </c>
      <c r="G150" s="309"/>
      <c r="H150" s="309" t="s">
        <v>974</v>
      </c>
      <c r="I150" s="311" t="s">
        <v>152</v>
      </c>
      <c r="J150" s="316">
        <v>1290008919999</v>
      </c>
      <c r="K150" s="299" t="s">
        <v>138</v>
      </c>
      <c r="L150" s="316" t="s">
        <v>138</v>
      </c>
      <c r="M150" s="202" t="str">
        <f>IF(K150="cnr","CNR",IF(K150="CBU", "CBU",IF(K150="Code Out","Code Out",K150+L150)))</f>
        <v>CNR</v>
      </c>
      <c r="N150" s="203" t="str">
        <f>M150</f>
        <v>CNR</v>
      </c>
      <c r="O150" s="205" t="str">
        <f>IF(AJ150=1,"",IF(AH150&lt;1,"DEL",""))</f>
        <v/>
      </c>
      <c r="P150" s="317"/>
      <c r="Q150" s="313"/>
      <c r="R150" s="313"/>
      <c r="S150" s="313" t="s">
        <v>398</v>
      </c>
      <c r="T150" s="313"/>
      <c r="U150" s="318"/>
      <c r="V150" s="314" t="s">
        <v>368</v>
      </c>
      <c r="W150" s="173"/>
      <c r="X150" s="139"/>
      <c r="Y150" s="197" t="e">
        <f>IF(AF150,MONTH(M150),"")</f>
        <v>#VALUE!</v>
      </c>
      <c r="Z150" s="198" t="e">
        <f>IF(AF150,YEAR(M150),"")</f>
        <v>#VALUE!</v>
      </c>
      <c r="AA150" s="191" t="e">
        <f>IF(AF150,MONTH(N150),"")</f>
        <v>#VALUE!</v>
      </c>
      <c r="AB150" s="191" t="e">
        <f>IF(AF150,YEAR(N150),"")</f>
        <v>#VALUE!</v>
      </c>
      <c r="AC150" s="193" t="e">
        <f>CONCATENATE(Y150,Z150)</f>
        <v>#VALUE!</v>
      </c>
      <c r="AD150" s="194" t="e">
        <f>CONCATENATE(AA150,AB150)</f>
        <v>#VALUE!</v>
      </c>
      <c r="AE150" s="195" t="str">
        <f>IF(M150="CBU","",IF(M150="CNR","",IF(K150="Code Out","",MIN(M150,N150))))</f>
        <v/>
      </c>
      <c r="AF150" s="196" t="b">
        <f>--(ISNUMBER(SEARCH("lab",P150)))
=--(ISNUMBER(SEARCH("fred",A142)))</f>
        <v>1</v>
      </c>
      <c r="AG150" s="199" t="b">
        <f>IF(AE150&lt;$J$4,TRUE,FALSE)</f>
        <v>0</v>
      </c>
      <c r="AH150" s="192" t="str">
        <f>IF(K150="CBU","",IF(K150="CNR","",IF(K150="Code Out","",SUM(M150-$U$1))))</f>
        <v/>
      </c>
      <c r="AI150" s="192">
        <f>COUNTIF(O150,"Del")</f>
        <v>0</v>
      </c>
      <c r="AJ150" s="192">
        <f>COUNTIF(P150,"*at lab*")</f>
        <v>0</v>
      </c>
      <c r="AK150" s="200">
        <f>SUM(AI150:AJ150)</f>
        <v>0</v>
      </c>
    </row>
    <row r="151" spans="1:37" s="75" customFormat="1" x14ac:dyDescent="0.2">
      <c r="A151" s="207" t="s">
        <v>138</v>
      </c>
      <c r="B151" s="315" t="s">
        <v>154</v>
      </c>
      <c r="C151" s="311" t="s">
        <v>498</v>
      </c>
      <c r="D151" s="311">
        <v>4</v>
      </c>
      <c r="E151" s="311"/>
      <c r="F151" s="309">
        <v>7197156</v>
      </c>
      <c r="G151" s="309"/>
      <c r="H151" s="309" t="s">
        <v>974</v>
      </c>
      <c r="I151" s="311" t="s">
        <v>152</v>
      </c>
      <c r="J151" s="316">
        <v>1290008919999</v>
      </c>
      <c r="K151" s="299" t="s">
        <v>138</v>
      </c>
      <c r="L151" s="316" t="s">
        <v>138</v>
      </c>
      <c r="M151" s="202" t="str">
        <f>IF(K151="cnr","CNR",IF(K151="CBU", "CBU",IF(K151="Code Out","Code Out",K151+L151)))</f>
        <v>CNR</v>
      </c>
      <c r="N151" s="203" t="str">
        <f>M151</f>
        <v>CNR</v>
      </c>
      <c r="O151" s="205" t="str">
        <f>IF(AJ151=1,"",IF(AH151&lt;1,"DEL",""))</f>
        <v/>
      </c>
      <c r="P151" s="317"/>
      <c r="Q151" s="313"/>
      <c r="R151" s="313"/>
      <c r="S151" s="313" t="s">
        <v>398</v>
      </c>
      <c r="T151" s="313"/>
      <c r="U151" s="318"/>
      <c r="V151" s="314" t="s">
        <v>368</v>
      </c>
      <c r="W151" s="170"/>
      <c r="X151" s="138"/>
      <c r="Y151" s="197" t="e">
        <f>IF(AF151,MONTH(M151),"")</f>
        <v>#VALUE!</v>
      </c>
      <c r="Z151" s="198" t="e">
        <f>IF(AF151,YEAR(M151),"")</f>
        <v>#VALUE!</v>
      </c>
      <c r="AA151" s="191" t="e">
        <f>IF(AF151,MONTH(N151),"")</f>
        <v>#VALUE!</v>
      </c>
      <c r="AB151" s="191" t="e">
        <f>IF(AF151,YEAR(N151),"")</f>
        <v>#VALUE!</v>
      </c>
      <c r="AC151" s="193" t="e">
        <f>CONCATENATE(Y151,Z151)</f>
        <v>#VALUE!</v>
      </c>
      <c r="AD151" s="194" t="e">
        <f>CONCATENATE(AA151,AB151)</f>
        <v>#VALUE!</v>
      </c>
      <c r="AE151" s="195" t="str">
        <f>IF(M151="CBU","",IF(M151="CNR","",IF(K151="Code Out","",MIN(M151,N151))))</f>
        <v/>
      </c>
      <c r="AF151" s="196" t="b">
        <f>--(ISNUMBER(SEARCH("lab",P151)))
=--(ISNUMBER(SEARCH("fred",A143)))</f>
        <v>1</v>
      </c>
      <c r="AG151" s="199" t="b">
        <f>IF(AE151&lt;$J$4,TRUE,FALSE)</f>
        <v>0</v>
      </c>
      <c r="AH151" s="192" t="str">
        <f>IF(K151="CBU","",IF(K151="CNR","",IF(K151="Code Out","",SUM(M151-$U$1))))</f>
        <v/>
      </c>
      <c r="AI151" s="192">
        <f>COUNTIF(O151,"Del")</f>
        <v>0</v>
      </c>
      <c r="AJ151" s="192">
        <f>COUNTIF(P151,"*at lab*")</f>
        <v>0</v>
      </c>
      <c r="AK151" s="200">
        <f>SUM(AI151:AJ151)</f>
        <v>0</v>
      </c>
    </row>
    <row r="152" spans="1:37" s="75" customFormat="1" x14ac:dyDescent="0.2">
      <c r="A152" s="207" t="s">
        <v>138</v>
      </c>
      <c r="B152" s="315" t="s">
        <v>155</v>
      </c>
      <c r="C152" s="311" t="s">
        <v>498</v>
      </c>
      <c r="D152" s="311">
        <v>4</v>
      </c>
      <c r="E152" s="311"/>
      <c r="F152" s="309">
        <v>7197156</v>
      </c>
      <c r="G152" s="309"/>
      <c r="H152" s="309" t="s">
        <v>974</v>
      </c>
      <c r="I152" s="311" t="s">
        <v>152</v>
      </c>
      <c r="J152" s="316">
        <v>1290008919999</v>
      </c>
      <c r="K152" s="299" t="s">
        <v>138</v>
      </c>
      <c r="L152" s="316" t="s">
        <v>138</v>
      </c>
      <c r="M152" s="202" t="str">
        <f>IF(K152="cnr","CNR",IF(K152="CBU", "CBU",IF(K152="Code Out","Code Out",K152+L152)))</f>
        <v>CNR</v>
      </c>
      <c r="N152" s="203" t="str">
        <f>M152</f>
        <v>CNR</v>
      </c>
      <c r="O152" s="205" t="str">
        <f>IF(AJ152=1,"",IF(AH152&lt;1,"DEL",""))</f>
        <v/>
      </c>
      <c r="P152" s="317"/>
      <c r="Q152" s="313"/>
      <c r="R152" s="313"/>
      <c r="S152" s="313" t="s">
        <v>398</v>
      </c>
      <c r="T152" s="313"/>
      <c r="U152" s="318"/>
      <c r="V152" s="314" t="s">
        <v>368</v>
      </c>
      <c r="W152" s="173"/>
      <c r="X152" s="139"/>
      <c r="Y152" s="197" t="e">
        <f>IF(AF152,MONTH(M152),"")</f>
        <v>#VALUE!</v>
      </c>
      <c r="Z152" s="198" t="e">
        <f>IF(AF152,YEAR(M152),"")</f>
        <v>#VALUE!</v>
      </c>
      <c r="AA152" s="191" t="e">
        <f>IF(AF152,MONTH(N152),"")</f>
        <v>#VALUE!</v>
      </c>
      <c r="AB152" s="191" t="e">
        <f>IF(AF152,YEAR(N152),"")</f>
        <v>#VALUE!</v>
      </c>
      <c r="AC152" s="193" t="e">
        <f>CONCATENATE(Y152,Z152)</f>
        <v>#VALUE!</v>
      </c>
      <c r="AD152" s="194" t="e">
        <f>CONCATENATE(AA152,AB152)</f>
        <v>#VALUE!</v>
      </c>
      <c r="AE152" s="195" t="str">
        <f>IF(M152="CBU","",IF(M152="CNR","",IF(K152="Code Out","",MIN(M152,N152))))</f>
        <v/>
      </c>
      <c r="AF152" s="196" t="b">
        <f>--(ISNUMBER(SEARCH("lab",P152)))
=--(ISNUMBER(SEARCH("fred",A144)))</f>
        <v>1</v>
      </c>
      <c r="AG152" s="199" t="b">
        <f>IF(AE152&lt;$J$4,TRUE,FALSE)</f>
        <v>0</v>
      </c>
      <c r="AH152" s="192" t="str">
        <f>IF(K152="CBU","",IF(K152="CNR","",IF(K152="Code Out","",SUM(M152-$U$1))))</f>
        <v/>
      </c>
      <c r="AI152" s="192">
        <f>COUNTIF(O152,"Del")</f>
        <v>0</v>
      </c>
      <c r="AJ152" s="192">
        <f>COUNTIF(P152,"*at lab*")</f>
        <v>0</v>
      </c>
      <c r="AK152" s="200">
        <f>SUM(AI152:AJ152)</f>
        <v>0</v>
      </c>
    </row>
    <row r="153" spans="1:37" s="75" customFormat="1" x14ac:dyDescent="0.2">
      <c r="A153" s="207" t="s">
        <v>138</v>
      </c>
      <c r="B153" s="315" t="s">
        <v>156</v>
      </c>
      <c r="C153" s="310"/>
      <c r="D153" s="311">
        <v>1</v>
      </c>
      <c r="E153" s="311"/>
      <c r="F153" s="309" t="s">
        <v>157</v>
      </c>
      <c r="G153" s="309"/>
      <c r="H153" s="309" t="s">
        <v>855</v>
      </c>
      <c r="I153" s="311" t="s">
        <v>158</v>
      </c>
      <c r="J153" s="316">
        <v>6685006015982</v>
      </c>
      <c r="K153" s="299" t="s">
        <v>138</v>
      </c>
      <c r="L153" s="316" t="s">
        <v>138</v>
      </c>
      <c r="M153" s="202" t="str">
        <f>IF(K153="cnr","CNR",IF(K153="CBU", "CBU",IF(K153="Code Out","Code Out",K153+L153)))</f>
        <v>CNR</v>
      </c>
      <c r="N153" s="203" t="str">
        <f>M153</f>
        <v>CNR</v>
      </c>
      <c r="O153" s="205" t="str">
        <f>IF(AJ153=1,"",IF(AH153&lt;1,"DEL",""))</f>
        <v/>
      </c>
      <c r="P153" s="317"/>
      <c r="Q153" s="313"/>
      <c r="R153" s="313"/>
      <c r="S153" s="313" t="s">
        <v>398</v>
      </c>
      <c r="T153" s="313"/>
      <c r="U153" s="318"/>
      <c r="V153" s="314" t="s">
        <v>373</v>
      </c>
      <c r="W153" s="170"/>
      <c r="X153" s="138"/>
      <c r="Y153" s="197" t="e">
        <f>IF(AF153,MONTH(M153),"")</f>
        <v>#VALUE!</v>
      </c>
      <c r="Z153" s="198" t="e">
        <f>IF(AF153,YEAR(M153),"")</f>
        <v>#VALUE!</v>
      </c>
      <c r="AA153" s="191" t="e">
        <f>IF(AF153,MONTH(N153),"")</f>
        <v>#VALUE!</v>
      </c>
      <c r="AB153" s="191" t="e">
        <f>IF(AF153,YEAR(N153),"")</f>
        <v>#VALUE!</v>
      </c>
      <c r="AC153" s="193" t="e">
        <f>CONCATENATE(Y153,Z153)</f>
        <v>#VALUE!</v>
      </c>
      <c r="AD153" s="194" t="e">
        <f>CONCATENATE(AA153,AB153)</f>
        <v>#VALUE!</v>
      </c>
      <c r="AE153" s="195" t="str">
        <f>IF(M153="CBU","",IF(M153="CNR","",IF(K153="Code Out","",MIN(M153,N153))))</f>
        <v/>
      </c>
      <c r="AF153" s="196" t="b">
        <f>--(ISNUMBER(SEARCH("lab",P153)))
=--(ISNUMBER(SEARCH("fred",A145)))</f>
        <v>1</v>
      </c>
      <c r="AG153" s="199" t="b">
        <f>IF(AE153&lt;$J$4,TRUE,FALSE)</f>
        <v>0</v>
      </c>
      <c r="AH153" s="192" t="str">
        <f>IF(K153="CBU","",IF(K153="CNR","",IF(K153="Code Out","",SUM(M153-$U$1))))</f>
        <v/>
      </c>
      <c r="AI153" s="192">
        <f>COUNTIF(O153,"Del")</f>
        <v>0</v>
      </c>
      <c r="AJ153" s="192">
        <f>COUNTIF(P153,"*at lab*")</f>
        <v>0</v>
      </c>
      <c r="AK153" s="200">
        <f>SUM(AI153:AJ153)</f>
        <v>0</v>
      </c>
    </row>
    <row r="154" spans="1:37" s="75" customFormat="1" x14ac:dyDescent="0.2">
      <c r="A154" s="207" t="s">
        <v>138</v>
      </c>
      <c r="B154" s="315" t="s">
        <v>326</v>
      </c>
      <c r="C154" s="310" t="s">
        <v>406</v>
      </c>
      <c r="D154" s="309" t="s">
        <v>870</v>
      </c>
      <c r="E154" s="309"/>
      <c r="F154" s="309" t="s">
        <v>328</v>
      </c>
      <c r="G154" s="309"/>
      <c r="H154" s="309" t="s">
        <v>870</v>
      </c>
      <c r="I154" s="311" t="s">
        <v>172</v>
      </c>
      <c r="J154" s="312" t="s">
        <v>394</v>
      </c>
      <c r="K154" s="299" t="s">
        <v>138</v>
      </c>
      <c r="L154" s="310" t="s">
        <v>138</v>
      </c>
      <c r="M154" s="202" t="str">
        <f>IF(K154="cnr","CNR",IF(K154="CBU", "CBU",IF(K154="Code Out","Code Out",K154+L154)))</f>
        <v>CNR</v>
      </c>
      <c r="N154" s="203" t="str">
        <f>M154</f>
        <v>CNR</v>
      </c>
      <c r="O154" s="205" t="str">
        <f>IF(AJ154=1,"",IF(AH154&lt;1,"DEL",""))</f>
        <v/>
      </c>
      <c r="P154" s="317"/>
      <c r="Q154" s="313"/>
      <c r="R154" s="313"/>
      <c r="S154" s="313" t="s">
        <v>398</v>
      </c>
      <c r="T154" s="313"/>
      <c r="U154" s="318" t="s">
        <v>850</v>
      </c>
      <c r="V154" s="328" t="s">
        <v>1062</v>
      </c>
      <c r="W154" s="175"/>
      <c r="X154" s="142"/>
      <c r="Y154" s="197" t="e">
        <f>IF(AF154,MONTH(M154),"")</f>
        <v>#VALUE!</v>
      </c>
      <c r="Z154" s="198" t="e">
        <f>IF(AF154,YEAR(M154),"")</f>
        <v>#VALUE!</v>
      </c>
      <c r="AA154" s="191" t="e">
        <f>IF(AF154,MONTH(N154),"")</f>
        <v>#VALUE!</v>
      </c>
      <c r="AB154" s="191" t="e">
        <f>IF(AF154,YEAR(N154),"")</f>
        <v>#VALUE!</v>
      </c>
      <c r="AC154" s="193" t="e">
        <f>CONCATENATE(Y154,Z154)</f>
        <v>#VALUE!</v>
      </c>
      <c r="AD154" s="194" t="e">
        <f>CONCATENATE(AA154,AB154)</f>
        <v>#VALUE!</v>
      </c>
      <c r="AE154" s="195" t="str">
        <f>IF(M154="CBU","",IF(M154="CNR","",IF(K154="Code Out","",MIN(M154,N154))))</f>
        <v/>
      </c>
      <c r="AF154" s="196" t="b">
        <f>--(ISNUMBER(SEARCH("lab",P154)))
=--(ISNUMBER(SEARCH("fred",A146)))</f>
        <v>1</v>
      </c>
      <c r="AG154" s="199" t="b">
        <f>IF(AE154&lt;$J$4,TRUE,FALSE)</f>
        <v>0</v>
      </c>
      <c r="AH154" s="192" t="str">
        <f>IF(K154="CBU","",IF(K154="CNR","",IF(K154="Code Out","",SUM(M154-$U$1))))</f>
        <v/>
      </c>
      <c r="AI154" s="192">
        <f>COUNTIF(O154,"Del")</f>
        <v>0</v>
      </c>
      <c r="AJ154" s="192">
        <f>COUNTIF(P154,"*at lab*")</f>
        <v>0</v>
      </c>
      <c r="AK154" s="200">
        <f>SUM(AI154:AJ154)</f>
        <v>0</v>
      </c>
    </row>
    <row r="155" spans="1:37" s="75" customFormat="1" x14ac:dyDescent="0.2">
      <c r="A155" s="207" t="s">
        <v>138</v>
      </c>
      <c r="B155" s="315" t="s">
        <v>327</v>
      </c>
      <c r="C155" s="310" t="s">
        <v>406</v>
      </c>
      <c r="D155" s="309" t="s">
        <v>870</v>
      </c>
      <c r="E155" s="309"/>
      <c r="F155" s="309" t="s">
        <v>328</v>
      </c>
      <c r="G155" s="309"/>
      <c r="H155" s="309" t="s">
        <v>870</v>
      </c>
      <c r="I155" s="311" t="s">
        <v>172</v>
      </c>
      <c r="J155" s="312" t="s">
        <v>394</v>
      </c>
      <c r="K155" s="299" t="s">
        <v>138</v>
      </c>
      <c r="L155" s="310" t="s">
        <v>138</v>
      </c>
      <c r="M155" s="202" t="str">
        <f>IF(K155="cnr","CNR",IF(K155="CBU", "CBU",IF(K155="Code Out","Code Out",K155+L155)))</f>
        <v>CNR</v>
      </c>
      <c r="N155" s="203" t="str">
        <f>M155</f>
        <v>CNR</v>
      </c>
      <c r="O155" s="205" t="str">
        <f>IF(AJ155=1,"",IF(AH155&lt;1,"DEL",""))</f>
        <v/>
      </c>
      <c r="P155" s="317"/>
      <c r="Q155" s="313"/>
      <c r="R155" s="313"/>
      <c r="S155" s="313" t="s">
        <v>398</v>
      </c>
      <c r="T155" s="313"/>
      <c r="U155" s="318" t="s">
        <v>492</v>
      </c>
      <c r="V155" s="328" t="s">
        <v>1062</v>
      </c>
      <c r="W155" s="174"/>
      <c r="X155" s="141"/>
      <c r="Y155" s="197" t="e">
        <f>IF(AF155,MONTH(M155),"")</f>
        <v>#VALUE!</v>
      </c>
      <c r="Z155" s="198" t="e">
        <f>IF(AF155,YEAR(M155),"")</f>
        <v>#VALUE!</v>
      </c>
      <c r="AA155" s="191" t="e">
        <f>IF(AF155,MONTH(N155),"")</f>
        <v>#VALUE!</v>
      </c>
      <c r="AB155" s="191" t="e">
        <f>IF(AF155,YEAR(N155),"")</f>
        <v>#VALUE!</v>
      </c>
      <c r="AC155" s="193" t="e">
        <f>CONCATENATE(Y155,Z155)</f>
        <v>#VALUE!</v>
      </c>
      <c r="AD155" s="194" t="e">
        <f>CONCATENATE(AA155,AB155)</f>
        <v>#VALUE!</v>
      </c>
      <c r="AE155" s="195" t="str">
        <f>IF(M155="CBU","",IF(M155="CNR","",IF(K155="Code Out","",MIN(M155,N155))))</f>
        <v/>
      </c>
      <c r="AF155" s="196" t="b">
        <f>--(ISNUMBER(SEARCH("lab",P155)))
=--(ISNUMBER(SEARCH("fred",A147)))</f>
        <v>1</v>
      </c>
      <c r="AG155" s="199" t="b">
        <f>IF(AE155&lt;$J$4,TRUE,FALSE)</f>
        <v>0</v>
      </c>
      <c r="AH155" s="192" t="str">
        <f>IF(K155="CBU","",IF(K155="CNR","",IF(K155="Code Out","",SUM(M155-$U$1))))</f>
        <v/>
      </c>
      <c r="AI155" s="192">
        <f>COUNTIF(O155,"Del")</f>
        <v>0</v>
      </c>
      <c r="AJ155" s="192">
        <f>COUNTIF(P155,"*at lab*")</f>
        <v>0</v>
      </c>
      <c r="AK155" s="200">
        <f>SUM(AI155:AJ155)</f>
        <v>0</v>
      </c>
    </row>
    <row r="156" spans="1:37" s="75" customFormat="1" ht="25.5" x14ac:dyDescent="0.2">
      <c r="A156" s="207" t="s">
        <v>138</v>
      </c>
      <c r="B156" s="315" t="s">
        <v>275</v>
      </c>
      <c r="C156" s="311" t="s">
        <v>505</v>
      </c>
      <c r="D156" s="311">
        <v>1</v>
      </c>
      <c r="E156" s="311"/>
      <c r="F156" s="309" t="s">
        <v>390</v>
      </c>
      <c r="G156" s="309"/>
      <c r="H156" s="309" t="s">
        <v>855</v>
      </c>
      <c r="I156" s="311" t="s">
        <v>93</v>
      </c>
      <c r="J156" s="316">
        <v>5895006230255</v>
      </c>
      <c r="K156" s="299" t="s">
        <v>138</v>
      </c>
      <c r="L156" s="310" t="s">
        <v>138</v>
      </c>
      <c r="M156" s="202" t="str">
        <f>IF(K156="cnr","CNR",IF(K156="CBU", "CBU",IF(K156="Code Out","Code Out",K156+L156)))</f>
        <v>CNR</v>
      </c>
      <c r="N156" s="203" t="str">
        <f>M156</f>
        <v>CNR</v>
      </c>
      <c r="O156" s="205" t="str">
        <f>IF(AJ156=1,"",IF(AH156&lt;1,"DEL",""))</f>
        <v/>
      </c>
      <c r="P156" s="317"/>
      <c r="Q156" s="313"/>
      <c r="R156" s="313"/>
      <c r="S156" s="313" t="s">
        <v>398</v>
      </c>
      <c r="T156" s="313"/>
      <c r="U156" s="318" t="s">
        <v>1058</v>
      </c>
      <c r="V156" s="314" t="s">
        <v>367</v>
      </c>
      <c r="W156" s="173"/>
      <c r="X156" s="139"/>
      <c r="Y156" s="197" t="e">
        <f>IF(AF156,MONTH(M156),"")</f>
        <v>#VALUE!</v>
      </c>
      <c r="Z156" s="198" t="e">
        <f>IF(AF156,YEAR(M156),"")</f>
        <v>#VALUE!</v>
      </c>
      <c r="AA156" s="191" t="e">
        <f>IF(AF156,MONTH(N156),"")</f>
        <v>#VALUE!</v>
      </c>
      <c r="AB156" s="191" t="e">
        <f>IF(AF156,YEAR(N156),"")</f>
        <v>#VALUE!</v>
      </c>
      <c r="AC156" s="193" t="e">
        <f>CONCATENATE(Y156,Z156)</f>
        <v>#VALUE!</v>
      </c>
      <c r="AD156" s="194" t="e">
        <f>CONCATENATE(AA156,AB156)</f>
        <v>#VALUE!</v>
      </c>
      <c r="AE156" s="195" t="str">
        <f>IF(M156="CBU","",IF(M156="CNR","",IF(K156="Code Out","",MIN(M156,N156))))</f>
        <v/>
      </c>
      <c r="AF156" s="196" t="b">
        <f>--(ISNUMBER(SEARCH("lab",P156)))
=--(ISNUMBER(SEARCH("fred",A148)))</f>
        <v>1</v>
      </c>
      <c r="AG156" s="199" t="b">
        <f>IF(AE156&lt;$J$4,TRUE,FALSE)</f>
        <v>0</v>
      </c>
      <c r="AH156" s="192" t="str">
        <f>IF(K156="CBU","",IF(K156="CNR","",IF(K156="Code Out","",SUM(M156-$U$1))))</f>
        <v/>
      </c>
      <c r="AI156" s="192">
        <f>COUNTIF(O156,"Del")</f>
        <v>0</v>
      </c>
      <c r="AJ156" s="192">
        <f>COUNTIF(P156,"*at lab*")</f>
        <v>0</v>
      </c>
      <c r="AK156" s="200">
        <f>SUM(AI156:AJ156)</f>
        <v>0</v>
      </c>
    </row>
    <row r="157" spans="1:37" s="75" customFormat="1" ht="38.25" x14ac:dyDescent="0.2">
      <c r="A157" s="207" t="s">
        <v>138</v>
      </c>
      <c r="B157" s="315" t="s">
        <v>329</v>
      </c>
      <c r="C157" s="309" t="s">
        <v>752</v>
      </c>
      <c r="D157" s="309" t="s">
        <v>855</v>
      </c>
      <c r="E157" s="309"/>
      <c r="F157" s="309" t="s">
        <v>330</v>
      </c>
      <c r="G157" s="309"/>
      <c r="H157" s="309" t="s">
        <v>855</v>
      </c>
      <c r="I157" s="311" t="s">
        <v>331</v>
      </c>
      <c r="J157" s="312">
        <v>4920001418801</v>
      </c>
      <c r="K157" s="299" t="s">
        <v>138</v>
      </c>
      <c r="L157" s="310" t="s">
        <v>138</v>
      </c>
      <c r="M157" s="202" t="str">
        <f>IF(K157="cnr","CNR",IF(K157="CBU", "CBU",IF(K157="Code Out","Code Out",K157+L157)))</f>
        <v>CNR</v>
      </c>
      <c r="N157" s="203" t="str">
        <f>M157</f>
        <v>CNR</v>
      </c>
      <c r="O157" s="205" t="str">
        <f>IF(AJ157=1,"",IF(AH157&lt;1,"DEL",""))</f>
        <v/>
      </c>
      <c r="P157" s="317"/>
      <c r="Q157" s="313"/>
      <c r="R157" s="313"/>
      <c r="S157" s="313" t="s">
        <v>398</v>
      </c>
      <c r="T157" s="313"/>
      <c r="U157" s="318" t="s">
        <v>361</v>
      </c>
      <c r="V157" s="328" t="s">
        <v>1062</v>
      </c>
      <c r="W157" s="174"/>
      <c r="X157" s="141"/>
      <c r="Y157" s="197" t="e">
        <f>IF(AF157,MONTH(M157),"")</f>
        <v>#VALUE!</v>
      </c>
      <c r="Z157" s="198" t="e">
        <f>IF(AF157,YEAR(M157),"")</f>
        <v>#VALUE!</v>
      </c>
      <c r="AA157" s="191" t="e">
        <f>IF(AF157,MONTH(N157),"")</f>
        <v>#VALUE!</v>
      </c>
      <c r="AB157" s="191" t="e">
        <f>IF(AF157,YEAR(N157),"")</f>
        <v>#VALUE!</v>
      </c>
      <c r="AC157" s="193" t="e">
        <f>CONCATENATE(Y157,Z157)</f>
        <v>#VALUE!</v>
      </c>
      <c r="AD157" s="194" t="e">
        <f>CONCATENATE(AA157,AB157)</f>
        <v>#VALUE!</v>
      </c>
      <c r="AE157" s="195" t="str">
        <f>IF(M157="CBU","",IF(M157="CNR","",IF(K157="Code Out","",MIN(M157,N157))))</f>
        <v/>
      </c>
      <c r="AF157" s="196" t="b">
        <f>--(ISNUMBER(SEARCH("lab",P157)))
=--(ISNUMBER(SEARCH("fred",A149)))</f>
        <v>1</v>
      </c>
      <c r="AG157" s="199" t="b">
        <f>IF(AE157&lt;$J$4,TRUE,FALSE)</f>
        <v>0</v>
      </c>
      <c r="AH157" s="192" t="str">
        <f>IF(K157="CBU","",IF(K157="CNR","",IF(K157="Code Out","",SUM(M157-$U$1))))</f>
        <v/>
      </c>
      <c r="AI157" s="192">
        <f>COUNTIF(O157,"Del")</f>
        <v>0</v>
      </c>
      <c r="AJ157" s="192">
        <f>COUNTIF(P157,"*at lab*")</f>
        <v>0</v>
      </c>
      <c r="AK157" s="200">
        <f>SUM(AI157:AJ157)</f>
        <v>0</v>
      </c>
    </row>
    <row r="158" spans="1:37" s="75" customFormat="1" x14ac:dyDescent="0.2">
      <c r="A158" s="207" t="s">
        <v>138</v>
      </c>
      <c r="B158" s="315" t="s">
        <v>940</v>
      </c>
      <c r="C158" s="309"/>
      <c r="D158" s="309" t="s">
        <v>974</v>
      </c>
      <c r="E158" s="309"/>
      <c r="F158" s="309" t="s">
        <v>942</v>
      </c>
      <c r="G158" s="309"/>
      <c r="H158" s="309" t="s">
        <v>974</v>
      </c>
      <c r="I158" s="309" t="s">
        <v>941</v>
      </c>
      <c r="J158" s="312">
        <v>5120015296953</v>
      </c>
      <c r="K158" s="299" t="s">
        <v>138</v>
      </c>
      <c r="L158" s="310" t="s">
        <v>138</v>
      </c>
      <c r="M158" s="202" t="str">
        <f>IF(K158="cnr","CNR",IF(K158="CBU", "CBU",IF(K158="Code Out","Code Out",K158+L158)))</f>
        <v>CNR</v>
      </c>
      <c r="N158" s="203" t="str">
        <f>M158</f>
        <v>CNR</v>
      </c>
      <c r="O158" s="205" t="str">
        <f>IF(AJ158=1,"",IF(AH158&lt;1,"DEL",""))</f>
        <v/>
      </c>
      <c r="P158" s="317"/>
      <c r="Q158" s="313"/>
      <c r="R158" s="313"/>
      <c r="S158" s="313"/>
      <c r="T158" s="313"/>
      <c r="U158" s="318" t="s">
        <v>943</v>
      </c>
      <c r="V158" s="320" t="s">
        <v>1123</v>
      </c>
      <c r="W158" s="172"/>
      <c r="X158" s="137"/>
      <c r="Y158" s="197" t="e">
        <f>IF(AF158,MONTH(M158),"")</f>
        <v>#VALUE!</v>
      </c>
      <c r="Z158" s="198" t="e">
        <f>IF(AF158,YEAR(M158),"")</f>
        <v>#VALUE!</v>
      </c>
      <c r="AA158" s="191" t="e">
        <f>IF(AF158,MONTH(N158),"")</f>
        <v>#VALUE!</v>
      </c>
      <c r="AB158" s="191" t="e">
        <f>IF(AF158,YEAR(N158),"")</f>
        <v>#VALUE!</v>
      </c>
      <c r="AC158" s="193" t="e">
        <f>CONCATENATE(Y158,Z158)</f>
        <v>#VALUE!</v>
      </c>
      <c r="AD158" s="194" t="e">
        <f>CONCATENATE(AA158,AB158)</f>
        <v>#VALUE!</v>
      </c>
      <c r="AE158" s="195" t="str">
        <f>IF(M158="CBU","",IF(M158="CNR","",IF(K158="Code Out","",MIN(M158,N158))))</f>
        <v/>
      </c>
      <c r="AF158" s="196" t="b">
        <f>--(ISNUMBER(SEARCH("lab",P158)))
=--(ISNUMBER(SEARCH("fred",A150)))</f>
        <v>1</v>
      </c>
      <c r="AG158" s="199" t="b">
        <f>IF(AE158&lt;$J$4,TRUE,FALSE)</f>
        <v>0</v>
      </c>
      <c r="AH158" s="192" t="str">
        <f>IF(K158="CBU","",IF(K158="CNR","",IF(K158="Code Out","",SUM(M158-$U$1))))</f>
        <v/>
      </c>
      <c r="AI158" s="192">
        <f>COUNTIF(O158,"Del")</f>
        <v>0</v>
      </c>
      <c r="AJ158" s="192">
        <f>COUNTIF(P158,"*at lab*")</f>
        <v>0</v>
      </c>
      <c r="AK158" s="200">
        <f>SUM(AI158:AJ158)</f>
        <v>0</v>
      </c>
    </row>
    <row r="159" spans="1:37" s="75" customFormat="1" x14ac:dyDescent="0.2">
      <c r="A159" s="207" t="s">
        <v>138</v>
      </c>
      <c r="B159" s="315" t="s">
        <v>946</v>
      </c>
      <c r="C159" s="309"/>
      <c r="D159" s="309" t="s">
        <v>974</v>
      </c>
      <c r="E159" s="309"/>
      <c r="F159" s="309" t="s">
        <v>942</v>
      </c>
      <c r="G159" s="309"/>
      <c r="H159" s="309" t="s">
        <v>974</v>
      </c>
      <c r="I159" s="309" t="s">
        <v>941</v>
      </c>
      <c r="J159" s="312">
        <v>5120015296953</v>
      </c>
      <c r="K159" s="299" t="s">
        <v>138</v>
      </c>
      <c r="L159" s="310" t="s">
        <v>138</v>
      </c>
      <c r="M159" s="202" t="str">
        <f>IF(K159="cnr","CNR",IF(K159="CBU", "CBU",IF(K159="Code Out","Code Out",K159+L159)))</f>
        <v>CNR</v>
      </c>
      <c r="N159" s="203" t="str">
        <f>M159</f>
        <v>CNR</v>
      </c>
      <c r="O159" s="205" t="str">
        <f>IF(AJ159=1,"",IF(AH159&lt;1,"DEL",""))</f>
        <v/>
      </c>
      <c r="P159" s="317"/>
      <c r="Q159" s="313"/>
      <c r="R159" s="313"/>
      <c r="S159" s="313"/>
      <c r="T159" s="313"/>
      <c r="U159" s="318" t="s">
        <v>943</v>
      </c>
      <c r="V159" s="320" t="s">
        <v>949</v>
      </c>
      <c r="W159" s="171"/>
      <c r="X159" s="140"/>
      <c r="Y159" s="197" t="e">
        <f>IF(AF159,MONTH(M159),"")</f>
        <v>#VALUE!</v>
      </c>
      <c r="Z159" s="198" t="e">
        <f>IF(AF159,YEAR(M159),"")</f>
        <v>#VALUE!</v>
      </c>
      <c r="AA159" s="191" t="e">
        <f>IF(AF159,MONTH(N159),"")</f>
        <v>#VALUE!</v>
      </c>
      <c r="AB159" s="191" t="e">
        <f>IF(AF159,YEAR(N159),"")</f>
        <v>#VALUE!</v>
      </c>
      <c r="AC159" s="193" t="e">
        <f>CONCATENATE(Y159,Z159)</f>
        <v>#VALUE!</v>
      </c>
      <c r="AD159" s="194" t="e">
        <f>CONCATENATE(AA159,AB159)</f>
        <v>#VALUE!</v>
      </c>
      <c r="AE159" s="195" t="str">
        <f>IF(M159="CBU","",IF(M159="CNR","",IF(K159="Code Out","",MIN(M159,N159))))</f>
        <v/>
      </c>
      <c r="AF159" s="196" t="b">
        <f>--(ISNUMBER(SEARCH("lab",P159)))
=--(ISNUMBER(SEARCH("fred",A151)))</f>
        <v>1</v>
      </c>
      <c r="AG159" s="199" t="b">
        <f>IF(AE159&lt;$J$4,TRUE,FALSE)</f>
        <v>0</v>
      </c>
      <c r="AH159" s="192" t="str">
        <f>IF(K159="CBU","",IF(K159="CNR","",IF(K159="Code Out","",SUM(M159-$U$1))))</f>
        <v/>
      </c>
      <c r="AI159" s="192">
        <f>COUNTIF(O159,"Del")</f>
        <v>0</v>
      </c>
      <c r="AJ159" s="192">
        <f>COUNTIF(P159,"*at lab*")</f>
        <v>0</v>
      </c>
      <c r="AK159" s="200">
        <f>SUM(AI159:AJ159)</f>
        <v>0</v>
      </c>
    </row>
    <row r="160" spans="1:37" s="75" customFormat="1" ht="25.5" x14ac:dyDescent="0.2">
      <c r="A160" s="207" t="s">
        <v>138</v>
      </c>
      <c r="B160" s="315" t="s">
        <v>948</v>
      </c>
      <c r="C160" s="309"/>
      <c r="D160" s="309" t="s">
        <v>974</v>
      </c>
      <c r="E160" s="309"/>
      <c r="F160" s="309" t="s">
        <v>942</v>
      </c>
      <c r="G160" s="309"/>
      <c r="H160" s="309" t="s">
        <v>974</v>
      </c>
      <c r="I160" s="309" t="s">
        <v>941</v>
      </c>
      <c r="J160" s="312">
        <v>5120015296953</v>
      </c>
      <c r="K160" s="299" t="s">
        <v>138</v>
      </c>
      <c r="L160" s="310" t="s">
        <v>138</v>
      </c>
      <c r="M160" s="202" t="str">
        <f>IF(K160="cnr","CNR",IF(K160="CBU", "CBU",IF(K160="Code Out","Code Out",K160+L160)))</f>
        <v>CNR</v>
      </c>
      <c r="N160" s="203" t="str">
        <f>M160</f>
        <v>CNR</v>
      </c>
      <c r="O160" s="205" t="str">
        <f>IF(AJ160=1,"",IF(AH160&lt;1,"DEL",""))</f>
        <v/>
      </c>
      <c r="P160" s="317"/>
      <c r="Q160" s="313"/>
      <c r="R160" s="313"/>
      <c r="S160" s="313"/>
      <c r="T160" s="313"/>
      <c r="U160" s="318" t="s">
        <v>943</v>
      </c>
      <c r="V160" s="320" t="s">
        <v>949</v>
      </c>
      <c r="W160" s="172"/>
      <c r="X160" s="137"/>
      <c r="Y160" s="197" t="e">
        <f>IF(AF160,MONTH(M160),"")</f>
        <v>#VALUE!</v>
      </c>
      <c r="Z160" s="198" t="e">
        <f>IF(AF160,YEAR(M160),"")</f>
        <v>#VALUE!</v>
      </c>
      <c r="AA160" s="191" t="e">
        <f>IF(AF160,MONTH(N160),"")</f>
        <v>#VALUE!</v>
      </c>
      <c r="AB160" s="191" t="e">
        <f>IF(AF160,YEAR(N160),"")</f>
        <v>#VALUE!</v>
      </c>
      <c r="AC160" s="193" t="e">
        <f>CONCATENATE(Y160,Z160)</f>
        <v>#VALUE!</v>
      </c>
      <c r="AD160" s="194" t="e">
        <f>CONCATENATE(AA160,AB160)</f>
        <v>#VALUE!</v>
      </c>
      <c r="AE160" s="195" t="str">
        <f>IF(M160="CBU","",IF(M160="CNR","",IF(K160="Code Out","",MIN(M160,N160))))</f>
        <v/>
      </c>
      <c r="AF160" s="196" t="b">
        <f>--(ISNUMBER(SEARCH("lab",P160)))
=--(ISNUMBER(SEARCH("fred",A152)))</f>
        <v>1</v>
      </c>
      <c r="AG160" s="199" t="b">
        <f>IF(AE160&lt;$J$4,TRUE,FALSE)</f>
        <v>0</v>
      </c>
      <c r="AH160" s="192" t="str">
        <f>IF(K160="CBU","",IF(K160="CNR","",IF(K160="Code Out","",SUM(M160-$U$1))))</f>
        <v/>
      </c>
      <c r="AI160" s="192">
        <f>COUNTIF(O160,"Del")</f>
        <v>0</v>
      </c>
      <c r="AJ160" s="192">
        <f>COUNTIF(P160,"*at lab*")</f>
        <v>0</v>
      </c>
      <c r="AK160" s="200">
        <f>SUM(AI160:AJ160)</f>
        <v>0</v>
      </c>
    </row>
    <row r="161" spans="1:37" s="75" customFormat="1" ht="25.5" x14ac:dyDescent="0.2">
      <c r="A161" s="207" t="s">
        <v>138</v>
      </c>
      <c r="B161" s="315" t="s">
        <v>947</v>
      </c>
      <c r="C161" s="309"/>
      <c r="D161" s="309" t="s">
        <v>974</v>
      </c>
      <c r="E161" s="309"/>
      <c r="F161" s="309" t="s">
        <v>942</v>
      </c>
      <c r="G161" s="309"/>
      <c r="H161" s="309" t="s">
        <v>974</v>
      </c>
      <c r="I161" s="309" t="s">
        <v>941</v>
      </c>
      <c r="J161" s="312">
        <v>5120015296953</v>
      </c>
      <c r="K161" s="299" t="s">
        <v>138</v>
      </c>
      <c r="L161" s="310" t="s">
        <v>138</v>
      </c>
      <c r="M161" s="202" t="str">
        <f>IF(K161="cnr","CNR",IF(K161="CBU", "CBU",IF(K161="Code Out","Code Out",K161+L161)))</f>
        <v>CNR</v>
      </c>
      <c r="N161" s="203" t="str">
        <f>M161</f>
        <v>CNR</v>
      </c>
      <c r="O161" s="205" t="str">
        <f>IF(AJ161=1,"",IF(AH161&lt;1,"DEL",""))</f>
        <v/>
      </c>
      <c r="P161" s="317"/>
      <c r="Q161" s="313"/>
      <c r="R161" s="313"/>
      <c r="S161" s="313"/>
      <c r="T161" s="313"/>
      <c r="U161" s="318" t="s">
        <v>943</v>
      </c>
      <c r="V161" s="320" t="s">
        <v>949</v>
      </c>
      <c r="W161" s="171"/>
      <c r="X161" s="140"/>
      <c r="Y161" s="197" t="e">
        <f>IF(AF161,MONTH(M161),"")</f>
        <v>#VALUE!</v>
      </c>
      <c r="Z161" s="198" t="e">
        <f>IF(AF161,YEAR(M161),"")</f>
        <v>#VALUE!</v>
      </c>
      <c r="AA161" s="191" t="e">
        <f>IF(AF161,MONTH(N161),"")</f>
        <v>#VALUE!</v>
      </c>
      <c r="AB161" s="191" t="e">
        <f>IF(AF161,YEAR(N161),"")</f>
        <v>#VALUE!</v>
      </c>
      <c r="AC161" s="193" t="e">
        <f>CONCATENATE(Y161,Z161)</f>
        <v>#VALUE!</v>
      </c>
      <c r="AD161" s="194" t="e">
        <f>CONCATENATE(AA161,AB161)</f>
        <v>#VALUE!</v>
      </c>
      <c r="AE161" s="195" t="str">
        <f>IF(M161="CBU","",IF(M161="CNR","",IF(K161="Code Out","",MIN(M161,N161))))</f>
        <v/>
      </c>
      <c r="AF161" s="196" t="b">
        <f>--(ISNUMBER(SEARCH("lab",P161)))
=--(ISNUMBER(SEARCH("fred",A153)))</f>
        <v>1</v>
      </c>
      <c r="AG161" s="199" t="b">
        <f>IF(AE161&lt;$J$4,TRUE,FALSE)</f>
        <v>0</v>
      </c>
      <c r="AH161" s="192" t="str">
        <f>IF(K161="CBU","",IF(K161="CNR","",IF(K161="Code Out","",SUM(M161-$U$1))))</f>
        <v/>
      </c>
      <c r="AI161" s="192">
        <f>COUNTIF(O161,"Del")</f>
        <v>0</v>
      </c>
      <c r="AJ161" s="192">
        <f>COUNTIF(P161,"*at lab*")</f>
        <v>0</v>
      </c>
      <c r="AK161" s="200">
        <f>SUM(AI161:AJ161)</f>
        <v>0</v>
      </c>
    </row>
    <row r="162" spans="1:37" s="75" customFormat="1" ht="25.5" x14ac:dyDescent="0.2">
      <c r="A162" s="207" t="s">
        <v>138</v>
      </c>
      <c r="B162" s="315" t="s">
        <v>906</v>
      </c>
      <c r="C162" s="309"/>
      <c r="D162" s="309" t="s">
        <v>855</v>
      </c>
      <c r="E162" s="309"/>
      <c r="F162" s="309" t="s">
        <v>907</v>
      </c>
      <c r="G162" s="309"/>
      <c r="H162" s="309" t="s">
        <v>855</v>
      </c>
      <c r="I162" s="309" t="s">
        <v>908</v>
      </c>
      <c r="J162" s="312">
        <v>6130014569729</v>
      </c>
      <c r="K162" s="299" t="s">
        <v>138</v>
      </c>
      <c r="L162" s="310" t="s">
        <v>138</v>
      </c>
      <c r="M162" s="202" t="str">
        <f>IF(K162="cnr","CNR",IF(K162="CBU", "CBU",IF(K162="Code Out","Code Out",K162+L162)))</f>
        <v>CNR</v>
      </c>
      <c r="N162" s="203" t="str">
        <f>M162</f>
        <v>CNR</v>
      </c>
      <c r="O162" s="206" t="str">
        <f>IF(AJ162=1,"",IF(AH162&lt;1,"DEL",""))</f>
        <v/>
      </c>
      <c r="P162" s="317"/>
      <c r="Q162" s="313"/>
      <c r="R162" s="313"/>
      <c r="S162" s="313"/>
      <c r="T162" s="313"/>
      <c r="U162" s="318" t="s">
        <v>909</v>
      </c>
      <c r="V162" s="320" t="s">
        <v>367</v>
      </c>
      <c r="W162" s="305"/>
      <c r="X162" s="304"/>
      <c r="Y162" s="197" t="e">
        <f>IF(AF162,MONTH(M162),"")</f>
        <v>#VALUE!</v>
      </c>
      <c r="Z162" s="198" t="e">
        <f>IF(AF162,YEAR(M162),"")</f>
        <v>#VALUE!</v>
      </c>
      <c r="AA162" s="191" t="e">
        <f>IF(AF162,MONTH(N162),"")</f>
        <v>#VALUE!</v>
      </c>
      <c r="AB162" s="191" t="e">
        <f>IF(AF162,YEAR(N162),"")</f>
        <v>#VALUE!</v>
      </c>
      <c r="AC162" s="193" t="e">
        <f>CONCATENATE(Y162,Z162)</f>
        <v>#VALUE!</v>
      </c>
      <c r="AD162" s="194" t="e">
        <f>CONCATENATE(AA162,AB162)</f>
        <v>#VALUE!</v>
      </c>
      <c r="AE162" s="195" t="str">
        <f>IF(M162="CBU","",IF(M162="CNR","",IF(K162="Code Out","",MIN(M162,N162))))</f>
        <v/>
      </c>
      <c r="AF162" s="196" t="b">
        <f>--(ISNUMBER(SEARCH("lab",P162)))
=--(ISNUMBER(SEARCH("fred",A154)))</f>
        <v>1</v>
      </c>
      <c r="AG162" s="199" t="b">
        <f>IF(AE162&lt;$J$4,TRUE,FALSE)</f>
        <v>0</v>
      </c>
      <c r="AH162" s="192" t="str">
        <f>IF(K162="CBU","",IF(K162="CNR","",IF(K162="Code Out","",SUM(M162-$U$1))))</f>
        <v/>
      </c>
      <c r="AI162" s="192">
        <f>COUNTIF(O162,"Del")</f>
        <v>0</v>
      </c>
      <c r="AJ162" s="192">
        <f>COUNTIF(P162,"*at lab*")</f>
        <v>0</v>
      </c>
      <c r="AK162" s="200">
        <f>SUM(AI162:AJ162)</f>
        <v>0</v>
      </c>
    </row>
    <row r="163" spans="1:37" s="75" customFormat="1" ht="25.5" x14ac:dyDescent="0.2">
      <c r="A163" s="207" t="s">
        <v>13</v>
      </c>
      <c r="B163" s="309" t="s">
        <v>14</v>
      </c>
      <c r="C163" s="310"/>
      <c r="D163" s="311">
        <v>1</v>
      </c>
      <c r="E163" s="311"/>
      <c r="F163" s="309" t="s">
        <v>15</v>
      </c>
      <c r="G163" s="309"/>
      <c r="H163" s="309" t="s">
        <v>855</v>
      </c>
      <c r="I163" s="311" t="s">
        <v>642</v>
      </c>
      <c r="J163" s="312">
        <v>5220012512120</v>
      </c>
      <c r="K163" s="299">
        <v>43166</v>
      </c>
      <c r="L163" s="311">
        <v>360</v>
      </c>
      <c r="M163" s="202">
        <f>IF(K163="cnr","CNR",IF(K163="CBU", "CBU",IF(K163="Code Out","Code Out",K163+L163)))</f>
        <v>43526</v>
      </c>
      <c r="N163" s="203">
        <f>M163</f>
        <v>43526</v>
      </c>
      <c r="O163" s="205" t="str">
        <f ca="1">IF(AJ163=1,"",IF(AH163&lt;1,"DEL",""))</f>
        <v/>
      </c>
      <c r="P163" s="299"/>
      <c r="Q163" s="313"/>
      <c r="R163" s="313"/>
      <c r="S163" s="313" t="s">
        <v>398</v>
      </c>
      <c r="T163" s="313"/>
      <c r="U163" s="298" t="s">
        <v>1526</v>
      </c>
      <c r="V163" s="314" t="s">
        <v>665</v>
      </c>
      <c r="W163" s="173"/>
      <c r="X163" s="139"/>
      <c r="Y163" s="191">
        <f>IF(AF163,MONTH(M163),"")</f>
        <v>3</v>
      </c>
      <c r="Z163" s="192">
        <f>IF(AF163,YEAR(M163),"")</f>
        <v>2019</v>
      </c>
      <c r="AA163" s="191">
        <f>IF(AF163,MONTH(N163),"")</f>
        <v>3</v>
      </c>
      <c r="AB163" s="191">
        <f>IF(AF163,YEAR(N163),"")</f>
        <v>2019</v>
      </c>
      <c r="AC163" s="193" t="str">
        <f>CONCATENATE(Y163,Z163)</f>
        <v>32019</v>
      </c>
      <c r="AD163" s="194" t="str">
        <f>CONCATENATE(AA163,AB163)</f>
        <v>32019</v>
      </c>
      <c r="AE163" s="195">
        <f>IF(M163="CBU","",IF(M163="CNR","",IF(K163="Code Out","",MIN(M163,N163))))</f>
        <v>43526</v>
      </c>
      <c r="AF163" s="196" t="b">
        <f>--(ISNUMBER(SEARCH("lab",P163)))
=--(ISNUMBER(SEARCH("fred",A156)))</f>
        <v>1</v>
      </c>
      <c r="AG163" s="199" t="b">
        <f>IF(AE163&lt;$J$4,TRUE,FALSE)</f>
        <v>0</v>
      </c>
      <c r="AH163" s="192">
        <f ca="1">IF(K163="CBU","",IF(K163="CNR","",IF(K163="Code Out","",SUM(M163-$U$1))))</f>
        <v>246.56816122685268</v>
      </c>
      <c r="AI163" s="192">
        <f ca="1">COUNTIF(O163,"Del")</f>
        <v>0</v>
      </c>
      <c r="AJ163" s="192">
        <f>COUNTIF(P163,"*at lab*")</f>
        <v>0</v>
      </c>
      <c r="AK163" s="200">
        <f ca="1">SUM(AI163:AJ163)</f>
        <v>0</v>
      </c>
    </row>
    <row r="164" spans="1:37" s="75" customFormat="1" ht="25.5" x14ac:dyDescent="0.2">
      <c r="A164" s="207" t="s">
        <v>549</v>
      </c>
      <c r="B164" s="315" t="s">
        <v>549</v>
      </c>
      <c r="C164" s="309"/>
      <c r="D164" s="309" t="s">
        <v>855</v>
      </c>
      <c r="E164" s="309"/>
      <c r="F164" s="309" t="s">
        <v>550</v>
      </c>
      <c r="G164" s="309"/>
      <c r="H164" s="309" t="s">
        <v>855</v>
      </c>
      <c r="I164" s="309" t="s">
        <v>551</v>
      </c>
      <c r="J164" s="312">
        <v>521000000000</v>
      </c>
      <c r="K164" s="299">
        <v>42858</v>
      </c>
      <c r="L164" s="310">
        <v>1080</v>
      </c>
      <c r="M164" s="202">
        <f>IF(K164="cnr","CNR",IF(K164="CBU", "CBU",IF(K164="Code Out","Code Out",K164+L164)))</f>
        <v>43938</v>
      </c>
      <c r="N164" s="203">
        <f>M164</f>
        <v>43938</v>
      </c>
      <c r="O164" s="206" t="str">
        <f ca="1">IF(AJ164=1,"",IF(AH164&lt;1,"DEL",""))</f>
        <v/>
      </c>
      <c r="P164" s="317"/>
      <c r="Q164" s="313"/>
      <c r="R164" s="313"/>
      <c r="S164" s="313" t="s">
        <v>398</v>
      </c>
      <c r="T164" s="313"/>
      <c r="U164" s="318" t="s">
        <v>1467</v>
      </c>
      <c r="V164" s="320" t="s">
        <v>670</v>
      </c>
      <c r="W164" s="172"/>
      <c r="X164" s="137"/>
      <c r="Y164" s="191">
        <f>IF(AF164,MONTH(M164),"")</f>
        <v>4</v>
      </c>
      <c r="Z164" s="192">
        <f>IF(AF164,YEAR(M164),"")</f>
        <v>2020</v>
      </c>
      <c r="AA164" s="191">
        <f>IF(AF164,MONTH(N164),"")</f>
        <v>4</v>
      </c>
      <c r="AB164" s="191">
        <f>IF(AF164,YEAR(N164),"")</f>
        <v>2020</v>
      </c>
      <c r="AC164" s="193" t="str">
        <f>CONCATENATE(Y164,Z164)</f>
        <v>42020</v>
      </c>
      <c r="AD164" s="194" t="str">
        <f>CONCATENATE(AA164,AB164)</f>
        <v>42020</v>
      </c>
      <c r="AE164" s="195">
        <f>IF(M164="CBU","",IF(M164="CNR","",IF(K164="Code Out","",MIN(M164,N164))))</f>
        <v>43938</v>
      </c>
      <c r="AF164" s="196" t="b">
        <f>--(ISNUMBER(SEARCH("lab",P164)))
=--(ISNUMBER(SEARCH("fred",A156)))</f>
        <v>1</v>
      </c>
      <c r="AG164" s="199" t="b">
        <f>IF(AE164&lt;$J$4,TRUE,FALSE)</f>
        <v>0</v>
      </c>
      <c r="AH164" s="192">
        <f ca="1">IF(K164="CBU","",IF(K164="CNR","",IF(K164="Code Out","",SUM(M164-$U$1))))</f>
        <v>658.56816122685268</v>
      </c>
      <c r="AI164" s="192">
        <f ca="1">COUNTIF(O164,"Del")</f>
        <v>0</v>
      </c>
      <c r="AJ164" s="192">
        <f>COUNTIF(P164,"*at lab*")</f>
        <v>0</v>
      </c>
      <c r="AK164" s="200">
        <f ca="1">SUM(AI164:AJ164)</f>
        <v>0</v>
      </c>
    </row>
    <row r="165" spans="1:37" s="75" customFormat="1" ht="25.5" x14ac:dyDescent="0.2">
      <c r="A165" s="207" t="s">
        <v>546</v>
      </c>
      <c r="B165" s="315" t="s">
        <v>546</v>
      </c>
      <c r="C165" s="309"/>
      <c r="D165" s="309" t="s">
        <v>855</v>
      </c>
      <c r="E165" s="309"/>
      <c r="F165" s="309" t="s">
        <v>547</v>
      </c>
      <c r="G165" s="309"/>
      <c r="H165" s="309" t="s">
        <v>855</v>
      </c>
      <c r="I165" s="309" t="s">
        <v>548</v>
      </c>
      <c r="J165" s="312">
        <v>521000000000</v>
      </c>
      <c r="K165" s="299">
        <v>42858</v>
      </c>
      <c r="L165" s="310">
        <v>1080</v>
      </c>
      <c r="M165" s="202">
        <f>IF(K165="cnr","CNR",IF(K165="CBU", "CBU",IF(K165="Code Out","Code Out",K165+L165)))</f>
        <v>43938</v>
      </c>
      <c r="N165" s="203">
        <f>M165</f>
        <v>43938</v>
      </c>
      <c r="O165" s="206" t="str">
        <f ca="1">IF(AJ165=1,"",IF(AH165&lt;1,"DEL",""))</f>
        <v/>
      </c>
      <c r="P165" s="317"/>
      <c r="Q165" s="313"/>
      <c r="R165" s="313"/>
      <c r="S165" s="313" t="s">
        <v>398</v>
      </c>
      <c r="T165" s="313"/>
      <c r="U165" s="318" t="s">
        <v>1467</v>
      </c>
      <c r="V165" s="320" t="s">
        <v>670</v>
      </c>
      <c r="W165" s="305"/>
      <c r="X165" s="304"/>
      <c r="Y165" s="197">
        <f>IF(AF165,MONTH(M165),"")</f>
        <v>4</v>
      </c>
      <c r="Z165" s="198">
        <f>IF(AF165,YEAR(M165),"")</f>
        <v>2020</v>
      </c>
      <c r="AA165" s="191">
        <f>IF(AF165,MONTH(N165),"")</f>
        <v>4</v>
      </c>
      <c r="AB165" s="191">
        <f>IF(AF165,YEAR(N165),"")</f>
        <v>2020</v>
      </c>
      <c r="AC165" s="193" t="str">
        <f>CONCATENATE(Y165,Z165)</f>
        <v>42020</v>
      </c>
      <c r="AD165" s="194" t="str">
        <f>CONCATENATE(AA165,AB165)</f>
        <v>42020</v>
      </c>
      <c r="AE165" s="195">
        <f>IF(M165="CBU","",IF(M165="CNR","",IF(K165="Code Out","",MIN(M165,N165))))</f>
        <v>43938</v>
      </c>
      <c r="AF165" s="196" t="b">
        <f>--(ISNUMBER(SEARCH("lab",P165)))
=--(ISNUMBER(SEARCH("fred",A157)))</f>
        <v>1</v>
      </c>
      <c r="AG165" s="199" t="b">
        <f>IF(AE165&lt;$J$4,TRUE,FALSE)</f>
        <v>0</v>
      </c>
      <c r="AH165" s="192">
        <f ca="1">IF(K165="CBU","",IF(K165="CNR","",IF(K165="Code Out","",SUM(M165-$U$1))))</f>
        <v>658.56816122685268</v>
      </c>
      <c r="AI165" s="192">
        <f ca="1">COUNTIF(O165,"Del")</f>
        <v>0</v>
      </c>
      <c r="AJ165" s="192">
        <f>COUNTIF(P165,"*at lab*")</f>
        <v>0</v>
      </c>
      <c r="AK165" s="200">
        <f ca="1">SUM(AI165:AJ165)</f>
        <v>0</v>
      </c>
    </row>
    <row r="166" spans="1:37" s="75" customFormat="1" ht="25.5" x14ac:dyDescent="0.2">
      <c r="A166" s="207" t="s">
        <v>543</v>
      </c>
      <c r="B166" s="315" t="s">
        <v>543</v>
      </c>
      <c r="C166" s="309"/>
      <c r="D166" s="309" t="s">
        <v>855</v>
      </c>
      <c r="E166" s="309"/>
      <c r="F166" s="309" t="s">
        <v>544</v>
      </c>
      <c r="G166" s="309"/>
      <c r="H166" s="309" t="s">
        <v>855</v>
      </c>
      <c r="I166" s="309" t="s">
        <v>545</v>
      </c>
      <c r="J166" s="312">
        <v>521000000000</v>
      </c>
      <c r="K166" s="299">
        <v>42858</v>
      </c>
      <c r="L166" s="310">
        <v>1080</v>
      </c>
      <c r="M166" s="202">
        <f>IF(K166="cnr","CNR",IF(K166="CBU", "CBU",IF(K166="Code Out","Code Out",K166+L166)))</f>
        <v>43938</v>
      </c>
      <c r="N166" s="203">
        <f>M166</f>
        <v>43938</v>
      </c>
      <c r="O166" s="206" t="str">
        <f ca="1">IF(AJ166=1,"",IF(AH166&lt;1,"DEL",""))</f>
        <v/>
      </c>
      <c r="P166" s="317"/>
      <c r="Q166" s="313"/>
      <c r="R166" s="313"/>
      <c r="S166" s="313" t="s">
        <v>398</v>
      </c>
      <c r="T166" s="313"/>
      <c r="U166" s="318" t="s">
        <v>1467</v>
      </c>
      <c r="V166" s="320" t="s">
        <v>670</v>
      </c>
      <c r="W166" s="172"/>
      <c r="X166" s="137"/>
      <c r="Y166" s="191">
        <f>IF(AF166,MONTH(M166),"")</f>
        <v>4</v>
      </c>
      <c r="Z166" s="192">
        <f>IF(AF166,YEAR(M166),"")</f>
        <v>2020</v>
      </c>
      <c r="AA166" s="191">
        <f>IF(AF166,MONTH(N166),"")</f>
        <v>4</v>
      </c>
      <c r="AB166" s="191">
        <f>IF(AF166,YEAR(N166),"")</f>
        <v>2020</v>
      </c>
      <c r="AC166" s="193" t="str">
        <f>CONCATENATE(Y166,Z166)</f>
        <v>42020</v>
      </c>
      <c r="AD166" s="194" t="str">
        <f>CONCATENATE(AA166,AB166)</f>
        <v>42020</v>
      </c>
      <c r="AE166" s="195">
        <f>IF(M166="CBU","",IF(M166="CNR","",IF(K166="Code Out","",MIN(M166,N166))))</f>
        <v>43938</v>
      </c>
      <c r="AF166" s="196" t="b">
        <f>--(ISNUMBER(SEARCH("lab",P166)))
=--(ISNUMBER(SEARCH("fred",A158)))</f>
        <v>1</v>
      </c>
      <c r="AG166" s="199" t="b">
        <f>IF(AE166&lt;$J$4,TRUE,FALSE)</f>
        <v>0</v>
      </c>
      <c r="AH166" s="192">
        <f ca="1">IF(K166="CBU","",IF(K166="CNR","",IF(K166="Code Out","",SUM(M166-$U$1))))</f>
        <v>658.56816122685268</v>
      </c>
      <c r="AI166" s="192">
        <f ca="1">COUNTIF(O166,"Del")</f>
        <v>0</v>
      </c>
      <c r="AJ166" s="192">
        <f>COUNTIF(P166,"*at lab*")</f>
        <v>0</v>
      </c>
      <c r="AK166" s="200">
        <f ca="1">SUM(AI166:AJ166)</f>
        <v>0</v>
      </c>
    </row>
    <row r="167" spans="1:37" s="75" customFormat="1" ht="25.5" x14ac:dyDescent="0.2">
      <c r="A167" s="207" t="s">
        <v>540</v>
      </c>
      <c r="B167" s="315" t="s">
        <v>540</v>
      </c>
      <c r="C167" s="309"/>
      <c r="D167" s="309" t="s">
        <v>855</v>
      </c>
      <c r="E167" s="309"/>
      <c r="F167" s="309" t="s">
        <v>541</v>
      </c>
      <c r="G167" s="309"/>
      <c r="H167" s="309" t="s">
        <v>855</v>
      </c>
      <c r="I167" s="309" t="s">
        <v>542</v>
      </c>
      <c r="J167" s="312">
        <v>521000000000</v>
      </c>
      <c r="K167" s="299">
        <v>42858</v>
      </c>
      <c r="L167" s="310">
        <v>1080</v>
      </c>
      <c r="M167" s="202">
        <f>IF(K167="cnr","CNR",IF(K167="CBU", "CBU",IF(K167="Code Out","Code Out",K167+L167)))</f>
        <v>43938</v>
      </c>
      <c r="N167" s="203">
        <f>M167</f>
        <v>43938</v>
      </c>
      <c r="O167" s="206" t="str">
        <f ca="1">IF(AJ167=1,"",IF(AH167&lt;1,"DEL",""))</f>
        <v/>
      </c>
      <c r="P167" s="317"/>
      <c r="Q167" s="313"/>
      <c r="R167" s="313"/>
      <c r="S167" s="313" t="s">
        <v>398</v>
      </c>
      <c r="T167" s="313"/>
      <c r="U167" s="318" t="s">
        <v>1467</v>
      </c>
      <c r="V167" s="320" t="s">
        <v>670</v>
      </c>
      <c r="W167" s="305"/>
      <c r="X167" s="304"/>
      <c r="Y167" s="197">
        <f>IF(AF167,MONTH(M167),"")</f>
        <v>4</v>
      </c>
      <c r="Z167" s="198">
        <f>IF(AF167,YEAR(M167),"")</f>
        <v>2020</v>
      </c>
      <c r="AA167" s="191">
        <f>IF(AF167,MONTH(N167),"")</f>
        <v>4</v>
      </c>
      <c r="AB167" s="191">
        <f>IF(AF167,YEAR(N167),"")</f>
        <v>2020</v>
      </c>
      <c r="AC167" s="193" t="str">
        <f>CONCATENATE(Y167,Z167)</f>
        <v>42020</v>
      </c>
      <c r="AD167" s="194" t="str">
        <f>CONCATENATE(AA167,AB167)</f>
        <v>42020</v>
      </c>
      <c r="AE167" s="195">
        <f>IF(M167="CBU","",IF(M167="CNR","",IF(K167="Code Out","",MIN(M167,N167))))</f>
        <v>43938</v>
      </c>
      <c r="AF167" s="196" t="b">
        <f>--(ISNUMBER(SEARCH("lab",P167)))
=--(ISNUMBER(SEARCH("fred",A159)))</f>
        <v>1</v>
      </c>
      <c r="AG167" s="199" t="b">
        <f>IF(AE167&lt;$J$4,TRUE,FALSE)</f>
        <v>0</v>
      </c>
      <c r="AH167" s="192">
        <f ca="1">IF(K167="CBU","",IF(K167="CNR","",IF(K167="Code Out","",SUM(M167-$U$1))))</f>
        <v>658.56816122685268</v>
      </c>
      <c r="AI167" s="192">
        <f ca="1">COUNTIF(O167,"Del")</f>
        <v>0</v>
      </c>
      <c r="AJ167" s="192">
        <f>COUNTIF(P167,"*at lab*")</f>
        <v>0</v>
      </c>
      <c r="AK167" s="200">
        <f ca="1">SUM(AI167:AJ167)</f>
        <v>0</v>
      </c>
    </row>
    <row r="168" spans="1:37" s="75" customFormat="1" ht="25.5" x14ac:dyDescent="0.2">
      <c r="A168" s="207" t="s">
        <v>537</v>
      </c>
      <c r="B168" s="315" t="s">
        <v>537</v>
      </c>
      <c r="C168" s="309"/>
      <c r="D168" s="309" t="s">
        <v>855</v>
      </c>
      <c r="E168" s="309"/>
      <c r="F168" s="309" t="s">
        <v>538</v>
      </c>
      <c r="G168" s="309"/>
      <c r="H168" s="309" t="s">
        <v>855</v>
      </c>
      <c r="I168" s="309" t="s">
        <v>539</v>
      </c>
      <c r="J168" s="312">
        <v>521000000000</v>
      </c>
      <c r="K168" s="299">
        <v>42858</v>
      </c>
      <c r="L168" s="310">
        <v>1080</v>
      </c>
      <c r="M168" s="202">
        <f>IF(K168="cnr","CNR",IF(K168="CBU", "CBU",IF(K168="Code Out","Code Out",K168+L168)))</f>
        <v>43938</v>
      </c>
      <c r="N168" s="203">
        <f>M168</f>
        <v>43938</v>
      </c>
      <c r="O168" s="206" t="str">
        <f ca="1">IF(AJ168=1,"",IF(AH168&lt;1,"DEL",""))</f>
        <v/>
      </c>
      <c r="P168" s="317"/>
      <c r="Q168" s="313"/>
      <c r="R168" s="313"/>
      <c r="S168" s="313" t="s">
        <v>398</v>
      </c>
      <c r="T168" s="313"/>
      <c r="U168" s="318" t="s">
        <v>1467</v>
      </c>
      <c r="V168" s="320" t="s">
        <v>670</v>
      </c>
      <c r="W168" s="172"/>
      <c r="X168" s="137"/>
      <c r="Y168" s="191">
        <f>IF(AF168,MONTH(M168),"")</f>
        <v>4</v>
      </c>
      <c r="Z168" s="192">
        <f>IF(AF168,YEAR(M168),"")</f>
        <v>2020</v>
      </c>
      <c r="AA168" s="191">
        <f>IF(AF168,MONTH(N168),"")</f>
        <v>4</v>
      </c>
      <c r="AB168" s="191">
        <f>IF(AF168,YEAR(N168),"")</f>
        <v>2020</v>
      </c>
      <c r="AC168" s="193" t="str">
        <f>CONCATENATE(Y168,Z168)</f>
        <v>42020</v>
      </c>
      <c r="AD168" s="194" t="str">
        <f>CONCATENATE(AA168,AB168)</f>
        <v>42020</v>
      </c>
      <c r="AE168" s="195">
        <f>IF(M168="CBU","",IF(M168="CNR","",IF(K168="Code Out","",MIN(M168,N168))))</f>
        <v>43938</v>
      </c>
      <c r="AF168" s="196" t="b">
        <f>--(ISNUMBER(SEARCH("lab",P168)))
=--(ISNUMBER(SEARCH("fred",A160)))</f>
        <v>1</v>
      </c>
      <c r="AG168" s="199" t="b">
        <f>IF(AE168&lt;$J$4,TRUE,FALSE)</f>
        <v>0</v>
      </c>
      <c r="AH168" s="192">
        <f ca="1">IF(K168="CBU","",IF(K168="CNR","",IF(K168="Code Out","",SUM(M168-$U$1))))</f>
        <v>658.56816122685268</v>
      </c>
      <c r="AI168" s="192">
        <f ca="1">COUNTIF(O168,"Del")</f>
        <v>0</v>
      </c>
      <c r="AJ168" s="192">
        <f>COUNTIF(P168,"*at lab*")</f>
        <v>0</v>
      </c>
      <c r="AK168" s="200">
        <f ca="1">SUM(AI168:AJ168)</f>
        <v>0</v>
      </c>
    </row>
    <row r="169" spans="1:37" s="75" customFormat="1" ht="25.5" x14ac:dyDescent="0.2">
      <c r="A169" s="207" t="s">
        <v>534</v>
      </c>
      <c r="B169" s="315" t="s">
        <v>534</v>
      </c>
      <c r="C169" s="309"/>
      <c r="D169" s="309" t="s">
        <v>855</v>
      </c>
      <c r="E169" s="309"/>
      <c r="F169" s="309" t="s">
        <v>535</v>
      </c>
      <c r="G169" s="309"/>
      <c r="H169" s="309" t="s">
        <v>855</v>
      </c>
      <c r="I169" s="309" t="s">
        <v>536</v>
      </c>
      <c r="J169" s="312">
        <v>5210000000000</v>
      </c>
      <c r="K169" s="299">
        <v>42858</v>
      </c>
      <c r="L169" s="310">
        <v>1080</v>
      </c>
      <c r="M169" s="202">
        <f>IF(K169="cnr","CNR",IF(K169="CBU", "CBU",IF(K169="Code Out","Code Out",K169+L169)))</f>
        <v>43938</v>
      </c>
      <c r="N169" s="203">
        <f>M169</f>
        <v>43938</v>
      </c>
      <c r="O169" s="206" t="str">
        <f ca="1">IF(AJ169=1,"",IF(AH169&lt;1,"DEL",""))</f>
        <v/>
      </c>
      <c r="P169" s="317"/>
      <c r="Q169" s="313"/>
      <c r="R169" s="313"/>
      <c r="S169" s="313" t="s">
        <v>398</v>
      </c>
      <c r="T169" s="313"/>
      <c r="U169" s="318" t="s">
        <v>1467</v>
      </c>
      <c r="V169" s="320" t="s">
        <v>670</v>
      </c>
      <c r="W169" s="305"/>
      <c r="X169" s="304"/>
      <c r="Y169" s="197">
        <f>IF(AF169,MONTH(M169),"")</f>
        <v>4</v>
      </c>
      <c r="Z169" s="198">
        <f>IF(AF169,YEAR(M169),"")</f>
        <v>2020</v>
      </c>
      <c r="AA169" s="191">
        <f>IF(AF169,MONTH(N169),"")</f>
        <v>4</v>
      </c>
      <c r="AB169" s="191">
        <f>IF(AF169,YEAR(N169),"")</f>
        <v>2020</v>
      </c>
      <c r="AC169" s="193" t="str">
        <f>CONCATENATE(Y169,Z169)</f>
        <v>42020</v>
      </c>
      <c r="AD169" s="194" t="str">
        <f>CONCATENATE(AA169,AB169)</f>
        <v>42020</v>
      </c>
      <c r="AE169" s="195">
        <f>IF(M169="CBU","",IF(M169="CNR","",IF(K169="Code Out","",MIN(M169,N169))))</f>
        <v>43938</v>
      </c>
      <c r="AF169" s="196" t="b">
        <f>--(ISNUMBER(SEARCH("lab",P169)))
=--(ISNUMBER(SEARCH("fred",A161)))</f>
        <v>1</v>
      </c>
      <c r="AG169" s="199" t="b">
        <f>IF(AE169&lt;$J$4,TRUE,FALSE)</f>
        <v>0</v>
      </c>
      <c r="AH169" s="192">
        <f ca="1">IF(K169="CBU","",IF(K169="CNR","",IF(K169="Code Out","",SUM(M169-$U$1))))</f>
        <v>658.56816122685268</v>
      </c>
      <c r="AI169" s="192">
        <f ca="1">COUNTIF(O169,"Del")</f>
        <v>0</v>
      </c>
      <c r="AJ169" s="192">
        <f>COUNTIF(P169,"*at lab*")</f>
        <v>0</v>
      </c>
      <c r="AK169" s="200">
        <f ca="1">SUM(AI169:AJ169)</f>
        <v>0</v>
      </c>
    </row>
    <row r="170" spans="1:37" s="75" customFormat="1" x14ac:dyDescent="0.2">
      <c r="A170" s="207" t="s">
        <v>527</v>
      </c>
      <c r="B170" s="315" t="s">
        <v>527</v>
      </c>
      <c r="C170" s="309"/>
      <c r="D170" s="309" t="s">
        <v>855</v>
      </c>
      <c r="E170" s="309"/>
      <c r="F170" s="309" t="s">
        <v>528</v>
      </c>
      <c r="G170" s="309"/>
      <c r="H170" s="309" t="s">
        <v>855</v>
      </c>
      <c r="I170" s="309" t="s">
        <v>529</v>
      </c>
      <c r="J170" s="312">
        <v>5210013723007</v>
      </c>
      <c r="K170" s="299">
        <v>42856</v>
      </c>
      <c r="L170" s="310">
        <v>1080</v>
      </c>
      <c r="M170" s="202">
        <f>IF(K170="cnr","CNR",IF(K170="CBU", "CBU",IF(K170="Code Out","Code Out",K170+L170)))</f>
        <v>43936</v>
      </c>
      <c r="N170" s="203">
        <f>M170</f>
        <v>43936</v>
      </c>
      <c r="O170" s="206" t="str">
        <f ca="1">IF(AJ170=1,"",IF(AH170&lt;1,"DEL",""))</f>
        <v/>
      </c>
      <c r="P170" s="317"/>
      <c r="Q170" s="313"/>
      <c r="R170" s="313"/>
      <c r="S170" s="313" t="s">
        <v>398</v>
      </c>
      <c r="T170" s="313"/>
      <c r="U170" s="318" t="s">
        <v>1467</v>
      </c>
      <c r="V170" s="320" t="s">
        <v>669</v>
      </c>
      <c r="W170" s="172"/>
      <c r="X170" s="137"/>
      <c r="Y170" s="191">
        <f>IF(AF170,MONTH(M170),"")</f>
        <v>4</v>
      </c>
      <c r="Z170" s="192">
        <f>IF(AF170,YEAR(M170),"")</f>
        <v>2020</v>
      </c>
      <c r="AA170" s="191">
        <f>IF(AF170,MONTH(N170),"")</f>
        <v>4</v>
      </c>
      <c r="AB170" s="191">
        <f>IF(AF170,YEAR(N170),"")</f>
        <v>2020</v>
      </c>
      <c r="AC170" s="193" t="str">
        <f>CONCATENATE(Y170,Z170)</f>
        <v>42020</v>
      </c>
      <c r="AD170" s="194" t="str">
        <f>CONCATENATE(AA170,AB170)</f>
        <v>42020</v>
      </c>
      <c r="AE170" s="195">
        <f>IF(M170="CBU","",IF(M170="CNR","",IF(K170="Code Out","",MIN(M170,N170))))</f>
        <v>43936</v>
      </c>
      <c r="AF170" s="196" t="b">
        <f>--(ISNUMBER(SEARCH("lab",P170)))
=--(ISNUMBER(SEARCH("fred",A162)))</f>
        <v>1</v>
      </c>
      <c r="AG170" s="199" t="b">
        <f>IF(AE170&lt;$J$4,TRUE,FALSE)</f>
        <v>0</v>
      </c>
      <c r="AH170" s="192">
        <f ca="1">IF(K170="CBU","",IF(K170="CNR","",IF(K170="Code Out","",SUM(M170-$U$1))))</f>
        <v>656.56816122685268</v>
      </c>
      <c r="AI170" s="192">
        <f ca="1">COUNTIF(O170,"Del")</f>
        <v>0</v>
      </c>
      <c r="AJ170" s="192">
        <f>COUNTIF(P170,"*at lab*")</f>
        <v>0</v>
      </c>
      <c r="AK170" s="200">
        <f ca="1">SUM(AI170:AJ170)</f>
        <v>0</v>
      </c>
    </row>
    <row r="171" spans="1:37" s="75" customFormat="1" ht="25.5" x14ac:dyDescent="0.2">
      <c r="A171" s="207" t="s">
        <v>461</v>
      </c>
      <c r="B171" s="315" t="s">
        <v>440</v>
      </c>
      <c r="C171" s="311" t="s">
        <v>517</v>
      </c>
      <c r="D171" s="311">
        <v>1</v>
      </c>
      <c r="E171" s="311"/>
      <c r="F171" s="309" t="s">
        <v>472</v>
      </c>
      <c r="G171" s="309"/>
      <c r="H171" s="309" t="s">
        <v>855</v>
      </c>
      <c r="I171" s="309" t="s">
        <v>442</v>
      </c>
      <c r="J171" s="312">
        <v>6635005301128</v>
      </c>
      <c r="K171" s="299">
        <v>43033</v>
      </c>
      <c r="L171" s="310">
        <v>840</v>
      </c>
      <c r="M171" s="202">
        <f>IF(K171="cnr","CNR",IF(K171="CBU", "CBU",IF(K171="Code Out","Code Out",K171+L171)))</f>
        <v>43873</v>
      </c>
      <c r="N171" s="203">
        <f>M171</f>
        <v>43873</v>
      </c>
      <c r="O171" s="206" t="str">
        <f ca="1">IF(AJ171=1,"",IF(AH171&lt;1,"DEL",""))</f>
        <v/>
      </c>
      <c r="P171" s="317"/>
      <c r="Q171" s="313"/>
      <c r="R171" s="313"/>
      <c r="S171" s="313" t="s">
        <v>398</v>
      </c>
      <c r="T171" s="313"/>
      <c r="U171" s="318" t="s">
        <v>1510</v>
      </c>
      <c r="V171" s="320" t="s">
        <v>1144</v>
      </c>
      <c r="W171" s="305"/>
      <c r="X171" s="304"/>
      <c r="Y171" s="197">
        <f>IF(AF171,MONTH(M171),"")</f>
        <v>2</v>
      </c>
      <c r="Z171" s="198">
        <f>IF(AF171,YEAR(M171),"")</f>
        <v>2020</v>
      </c>
      <c r="AA171" s="191">
        <f>IF(AF171,MONTH(N171),"")</f>
        <v>2</v>
      </c>
      <c r="AB171" s="191">
        <f>IF(AF171,YEAR(N171),"")</f>
        <v>2020</v>
      </c>
      <c r="AC171" s="193" t="str">
        <f>CONCATENATE(Y171,Z171)</f>
        <v>22020</v>
      </c>
      <c r="AD171" s="194" t="str">
        <f>CONCATENATE(AA171,AB171)</f>
        <v>22020</v>
      </c>
      <c r="AE171" s="195">
        <f>IF(M171="CBU","",IF(M171="CNR","",IF(K171="Code Out","",MIN(M171,N171))))</f>
        <v>43873</v>
      </c>
      <c r="AF171" s="196" t="b">
        <f>--(ISNUMBER(SEARCH("lab",P171)))
=--(ISNUMBER(SEARCH("fred",A163)))</f>
        <v>1</v>
      </c>
      <c r="AG171" s="199" t="b">
        <f>IF(AE171&lt;$J$4,TRUE,FALSE)</f>
        <v>0</v>
      </c>
      <c r="AH171" s="192">
        <f ca="1">IF(K171="CBU","",IF(K171="CNR","",IF(K171="Code Out","",SUM(M171-$U$1))))</f>
        <v>593.56816122685268</v>
      </c>
      <c r="AI171" s="192">
        <f ca="1">COUNTIF(O171,"Del")</f>
        <v>0</v>
      </c>
      <c r="AJ171" s="192">
        <f>COUNTIF(P171,"*at lab*")</f>
        <v>0</v>
      </c>
      <c r="AK171" s="200">
        <f ca="1">SUM(AI171:AJ171)</f>
        <v>0</v>
      </c>
    </row>
    <row r="172" spans="1:37" s="75" customFormat="1" ht="25.5" x14ac:dyDescent="0.2">
      <c r="A172" s="207" t="s">
        <v>554</v>
      </c>
      <c r="B172" s="315" t="s">
        <v>623</v>
      </c>
      <c r="C172" s="309"/>
      <c r="D172" s="309" t="s">
        <v>984</v>
      </c>
      <c r="E172" s="309"/>
      <c r="F172" s="309" t="s">
        <v>251</v>
      </c>
      <c r="G172" s="309"/>
      <c r="H172" s="309" t="s">
        <v>984</v>
      </c>
      <c r="I172" s="309" t="s">
        <v>638</v>
      </c>
      <c r="J172" s="312">
        <v>6670014074073</v>
      </c>
      <c r="K172" s="299">
        <v>43145</v>
      </c>
      <c r="L172" s="310">
        <v>840</v>
      </c>
      <c r="M172" s="202">
        <f>IF(K172="cnr","CNR",IF(K172="CBU", "CBU",IF(K172="Code Out","Code Out",K172+L172)))</f>
        <v>43985</v>
      </c>
      <c r="N172" s="203">
        <f>M172</f>
        <v>43985</v>
      </c>
      <c r="O172" s="206" t="str">
        <f ca="1">IF(AJ172=1,"",IF(AH172&lt;1,"DEL",""))</f>
        <v/>
      </c>
      <c r="P172" s="299"/>
      <c r="Q172" s="313"/>
      <c r="R172" s="313"/>
      <c r="S172" s="313" t="s">
        <v>398</v>
      </c>
      <c r="T172" s="313"/>
      <c r="U172" s="318" t="s">
        <v>1526</v>
      </c>
      <c r="V172" s="314" t="s">
        <v>1515</v>
      </c>
      <c r="W172" s="303"/>
      <c r="X172" s="302"/>
      <c r="Y172" s="197">
        <f>IF(AF172,MONTH(M172),"")</f>
        <v>6</v>
      </c>
      <c r="Z172" s="198">
        <f>IF(AF172,YEAR(M172),"")</f>
        <v>2020</v>
      </c>
      <c r="AA172" s="191">
        <f>IF(AF172,MONTH(N172),"")</f>
        <v>6</v>
      </c>
      <c r="AB172" s="191">
        <f>IF(AF172,YEAR(N172),"")</f>
        <v>2020</v>
      </c>
      <c r="AC172" s="193" t="str">
        <f>CONCATENATE(Y172,Z172)</f>
        <v>62020</v>
      </c>
      <c r="AD172" s="194" t="str">
        <f>CONCATENATE(AA172,AB172)</f>
        <v>62020</v>
      </c>
      <c r="AE172" s="195">
        <f>IF(M172="CBU","",IF(M172="CNR","",IF(K172="Code Out","",MIN(M172,N172))))</f>
        <v>43985</v>
      </c>
      <c r="AF172" s="196" t="b">
        <f>--(ISNUMBER(SEARCH("lab",P172)))
=--(ISNUMBER(SEARCH("fred",A164)))</f>
        <v>1</v>
      </c>
      <c r="AG172" s="199" t="b">
        <f>IF(AE172&lt;$J$4,TRUE,FALSE)</f>
        <v>0</v>
      </c>
      <c r="AH172" s="192">
        <f ca="1">IF(K172="CBU","",IF(K172="CNR","",IF(K172="Code Out","",SUM(M172-$U$1))))</f>
        <v>705.56816122685268</v>
      </c>
      <c r="AI172" s="192">
        <f ca="1">COUNTIF(O172,"Del")</f>
        <v>0</v>
      </c>
      <c r="AJ172" s="192">
        <f>COUNTIF(P172,"*at lab*")</f>
        <v>0</v>
      </c>
      <c r="AK172" s="200">
        <f ca="1">SUM(AI172:AJ172)</f>
        <v>0</v>
      </c>
    </row>
    <row r="173" spans="1:37" s="75" customFormat="1" x14ac:dyDescent="0.2">
      <c r="A173" s="207" t="s">
        <v>622</v>
      </c>
      <c r="B173" s="315" t="s">
        <v>623</v>
      </c>
      <c r="C173" s="309"/>
      <c r="D173" s="309"/>
      <c r="E173" s="309"/>
      <c r="F173" s="309" t="s">
        <v>1393</v>
      </c>
      <c r="G173" s="309"/>
      <c r="H173" s="309" t="s">
        <v>974</v>
      </c>
      <c r="I173" s="311" t="s">
        <v>1395</v>
      </c>
      <c r="J173" s="312">
        <v>6635012823746</v>
      </c>
      <c r="K173" s="299" t="s">
        <v>138</v>
      </c>
      <c r="L173" s="310">
        <v>1080</v>
      </c>
      <c r="M173" s="202" t="str">
        <f>IF(K173="cnr","CNR",IF(K173="CBU", "CBU",IF(K173="Code Out","Code Out",K173+L173)))</f>
        <v>CNR</v>
      </c>
      <c r="N173" s="203" t="str">
        <f>M173</f>
        <v>CNR</v>
      </c>
      <c r="O173" s="206" t="str">
        <f>IF(AJ173=1,"",IF(AH173&lt;1,"DEL",""))</f>
        <v/>
      </c>
      <c r="P173" s="317"/>
      <c r="Q173" s="313"/>
      <c r="R173" s="313"/>
      <c r="S173" s="313"/>
      <c r="T173" s="313"/>
      <c r="U173" s="318" t="s">
        <v>1355</v>
      </c>
      <c r="V173" s="314" t="s">
        <v>373</v>
      </c>
      <c r="W173" s="303"/>
      <c r="X173" s="302"/>
      <c r="Y173" s="197" t="e">
        <f>IF(AF173,MONTH(M173),"")</f>
        <v>#VALUE!</v>
      </c>
      <c r="Z173" s="198" t="e">
        <f>IF(AF173,YEAR(M173),"")</f>
        <v>#VALUE!</v>
      </c>
      <c r="AA173" s="191" t="e">
        <f>IF(AF173,MONTH(N173),"")</f>
        <v>#VALUE!</v>
      </c>
      <c r="AB173" s="191" t="e">
        <f>IF(AF173,YEAR(N173),"")</f>
        <v>#VALUE!</v>
      </c>
      <c r="AC173" s="193" t="e">
        <f>CONCATENATE(Y173,Z173)</f>
        <v>#VALUE!</v>
      </c>
      <c r="AD173" s="194" t="e">
        <f>CONCATENATE(AA173,AB173)</f>
        <v>#VALUE!</v>
      </c>
      <c r="AE173" s="195" t="str">
        <f>IF(M173="CBU","",IF(M173="CNR","",IF(K173="Code Out","",MIN(M173,N173))))</f>
        <v/>
      </c>
      <c r="AF173" s="196" t="b">
        <f>--(ISNUMBER(SEARCH("lab",P173)))
=--(ISNUMBER(SEARCH("fred",A165)))</f>
        <v>1</v>
      </c>
      <c r="AG173" s="199" t="b">
        <f>IF(AE173&lt;$J$4,TRUE,FALSE)</f>
        <v>0</v>
      </c>
      <c r="AH173" s="192" t="str">
        <f>IF(K173="CBU","",IF(K173="CNR","",IF(K173="Code Out","",SUM(M173-$U$1))))</f>
        <v/>
      </c>
      <c r="AI173" s="192">
        <f>COUNTIF(O173,"Del")</f>
        <v>0</v>
      </c>
      <c r="AJ173" s="192">
        <f>COUNTIF(P173,"*at lab*")</f>
        <v>0</v>
      </c>
      <c r="AK173" s="200">
        <f>SUM(AI173:AJ173)</f>
        <v>0</v>
      </c>
    </row>
    <row r="174" spans="1:37" s="75" customFormat="1" ht="76.5" x14ac:dyDescent="0.2">
      <c r="A174" s="415" t="s">
        <v>553</v>
      </c>
      <c r="B174" s="309" t="s">
        <v>553</v>
      </c>
      <c r="C174" s="309"/>
      <c r="D174" s="311">
        <v>3</v>
      </c>
      <c r="E174" s="311"/>
      <c r="F174" s="309" t="s">
        <v>602</v>
      </c>
      <c r="G174" s="309"/>
      <c r="H174" s="309" t="s">
        <v>973</v>
      </c>
      <c r="I174" s="309" t="s">
        <v>466</v>
      </c>
      <c r="J174" s="312">
        <v>6670002389777</v>
      </c>
      <c r="K174" s="299">
        <v>42909</v>
      </c>
      <c r="L174" s="310">
        <v>1080</v>
      </c>
      <c r="M174" s="202">
        <f>IF(K174="cnr","CNR",IF(K174="CBU", "CBU",IF(K174="Code Out","Code Out",K174+L174)))</f>
        <v>43989</v>
      </c>
      <c r="N174" s="203">
        <f>M174</f>
        <v>43989</v>
      </c>
      <c r="O174" s="205" t="str">
        <f ca="1">IF(AJ174=1,"",IF(AH174&lt;1,"DEL",""))</f>
        <v/>
      </c>
      <c r="P174" s="317"/>
      <c r="Q174" s="313"/>
      <c r="R174" s="313"/>
      <c r="S174" s="313" t="s">
        <v>398</v>
      </c>
      <c r="T174" s="313"/>
      <c r="U174" s="318" t="s">
        <v>1473</v>
      </c>
      <c r="V174" s="320" t="s">
        <v>666</v>
      </c>
      <c r="W174" s="305"/>
      <c r="X174" s="304"/>
      <c r="Y174" s="197">
        <f>IF(AF174,MONTH(M174),"")</f>
        <v>6</v>
      </c>
      <c r="Z174" s="198">
        <f>IF(AF174,YEAR(M174),"")</f>
        <v>2020</v>
      </c>
      <c r="AA174" s="191">
        <f>IF(AF174,MONTH(N174),"")</f>
        <v>6</v>
      </c>
      <c r="AB174" s="191">
        <f>IF(AF174,YEAR(N174),"")</f>
        <v>2020</v>
      </c>
      <c r="AC174" s="193" t="str">
        <f>CONCATENATE(Y174,Z174)</f>
        <v>62020</v>
      </c>
      <c r="AD174" s="194" t="str">
        <f>CONCATENATE(AA174,AB174)</f>
        <v>62020</v>
      </c>
      <c r="AE174" s="195">
        <f>IF(M174="CBU","",IF(M174="CNR","",IF(K174="Code Out","",MIN(M174,N174))))</f>
        <v>43989</v>
      </c>
      <c r="AF174" s="196" t="b">
        <f>--(ISNUMBER(SEARCH("lab",P174)))
=--(ISNUMBER(SEARCH("fred",A166)))</f>
        <v>1</v>
      </c>
      <c r="AG174" s="199" t="b">
        <f>IF(AE174&lt;$J$4,TRUE,FALSE)</f>
        <v>0</v>
      </c>
      <c r="AH174" s="192">
        <f ca="1">IF(K174="CBU","",IF(K174="CNR","",IF(K174="Code Out","",SUM(M174-$U$1))))</f>
        <v>709.56816122685268</v>
      </c>
      <c r="AI174" s="192">
        <f ca="1">COUNTIF(O174,"Del")</f>
        <v>0</v>
      </c>
      <c r="AJ174" s="192">
        <f>COUNTIF(P174,"*at lab*")</f>
        <v>0</v>
      </c>
      <c r="AK174" s="200">
        <f ca="1">SUM(AI174:AJ174)</f>
        <v>0</v>
      </c>
    </row>
    <row r="175" spans="1:37" s="75" customFormat="1" ht="25.5" x14ac:dyDescent="0.2">
      <c r="A175" s="207" t="s">
        <v>483</v>
      </c>
      <c r="B175" s="315" t="s">
        <v>483</v>
      </c>
      <c r="C175" s="309"/>
      <c r="D175" s="311">
        <v>1</v>
      </c>
      <c r="E175" s="311"/>
      <c r="F175" s="309" t="s">
        <v>617</v>
      </c>
      <c r="G175" s="309"/>
      <c r="H175" s="309" t="s">
        <v>855</v>
      </c>
      <c r="I175" s="309" t="s">
        <v>433</v>
      </c>
      <c r="J175" s="312">
        <v>5210006194045</v>
      </c>
      <c r="K175" s="299">
        <v>42856</v>
      </c>
      <c r="L175" s="310">
        <v>1080</v>
      </c>
      <c r="M175" s="202">
        <f>IF(K175="cnr","CNR",IF(K175="CBU", "CBU",IF(K175="Code Out","Code Out",K175+L175)))</f>
        <v>43936</v>
      </c>
      <c r="N175" s="203">
        <f>M175</f>
        <v>43936</v>
      </c>
      <c r="O175" s="205" t="str">
        <f ca="1">IF(AJ175=1,"",IF(AH175&lt;1,"DEL",""))</f>
        <v/>
      </c>
      <c r="P175" s="317"/>
      <c r="Q175" s="313"/>
      <c r="R175" s="313"/>
      <c r="S175" s="313" t="s">
        <v>398</v>
      </c>
      <c r="T175" s="313"/>
      <c r="U175" s="318" t="s">
        <v>1467</v>
      </c>
      <c r="V175" s="320" t="s">
        <v>671</v>
      </c>
      <c r="W175" s="172"/>
      <c r="X175" s="137"/>
      <c r="Y175" s="191">
        <f>IF(AF175,MONTH(M175),"")</f>
        <v>4</v>
      </c>
      <c r="Z175" s="192">
        <f>IF(AF175,YEAR(M175),"")</f>
        <v>2020</v>
      </c>
      <c r="AA175" s="191">
        <f>IF(AF175,MONTH(N175),"")</f>
        <v>4</v>
      </c>
      <c r="AB175" s="191">
        <f>IF(AF175,YEAR(N175),"")</f>
        <v>2020</v>
      </c>
      <c r="AC175" s="193" t="str">
        <f>CONCATENATE(Y175,Z175)</f>
        <v>42020</v>
      </c>
      <c r="AD175" s="194" t="str">
        <f>CONCATENATE(AA175,AB175)</f>
        <v>42020</v>
      </c>
      <c r="AE175" s="195">
        <f>IF(M175="CBU","",IF(M175="CNR","",IF(K175="Code Out","",MIN(M175,N175))))</f>
        <v>43936</v>
      </c>
      <c r="AF175" s="196" t="b">
        <f>--(ISNUMBER(SEARCH("lab",P175)))
=--(ISNUMBER(SEARCH("fred",A167)))</f>
        <v>1</v>
      </c>
      <c r="AG175" s="199" t="b">
        <f>IF(AE175&lt;$J$4,TRUE,FALSE)</f>
        <v>0</v>
      </c>
      <c r="AH175" s="192">
        <f ca="1">IF(K175="CBU","",IF(K175="CNR","",IF(K175="Code Out","",SUM(M175-$U$1))))</f>
        <v>656.56816122685268</v>
      </c>
      <c r="AI175" s="192">
        <f ca="1">COUNTIF(O175,"Del")</f>
        <v>0</v>
      </c>
      <c r="AJ175" s="192">
        <f>COUNTIF(P175,"*at lab*")</f>
        <v>0</v>
      </c>
      <c r="AK175" s="200">
        <f ca="1">SUM(AI175:AJ175)</f>
        <v>0</v>
      </c>
    </row>
    <row r="176" spans="1:37" s="75" customFormat="1" ht="38.25" x14ac:dyDescent="0.2">
      <c r="A176" s="415" t="s">
        <v>725</v>
      </c>
      <c r="B176" s="309" t="s">
        <v>1046</v>
      </c>
      <c r="C176" s="309"/>
      <c r="D176" s="309" t="s">
        <v>973</v>
      </c>
      <c r="E176" s="309"/>
      <c r="F176" s="309" t="s">
        <v>566</v>
      </c>
      <c r="G176" s="309"/>
      <c r="H176" s="309" t="s">
        <v>973</v>
      </c>
      <c r="I176" s="309" t="s">
        <v>1404</v>
      </c>
      <c r="J176" s="312">
        <v>6670002405821</v>
      </c>
      <c r="K176" s="299">
        <v>42909</v>
      </c>
      <c r="L176" s="310">
        <v>1080</v>
      </c>
      <c r="M176" s="202">
        <f>IF(K176="cnr","CNR",IF(K176="CBU", "CBU",IF(K176="Code Out","Code Out",K176+L176)))</f>
        <v>43989</v>
      </c>
      <c r="N176" s="357">
        <v>43623</v>
      </c>
      <c r="O176" s="205" t="str">
        <f ca="1">IF(AJ176=1,"",IF(AH176&lt;1,"DEL",""))</f>
        <v/>
      </c>
      <c r="P176" s="317"/>
      <c r="Q176" s="313"/>
      <c r="R176" s="313"/>
      <c r="S176" s="313" t="s">
        <v>398</v>
      </c>
      <c r="T176" s="313"/>
      <c r="U176" s="318" t="s">
        <v>1501</v>
      </c>
      <c r="V176" s="320" t="s">
        <v>666</v>
      </c>
      <c r="W176" s="172"/>
      <c r="X176" s="137"/>
      <c r="Y176" s="191">
        <f>IF(AF176,MONTH(M176),"")</f>
        <v>6</v>
      </c>
      <c r="Z176" s="192">
        <f>IF(AF176,YEAR(M176),"")</f>
        <v>2020</v>
      </c>
      <c r="AA176" s="191">
        <f>IF(AF176,MONTH(N176),"")</f>
        <v>6</v>
      </c>
      <c r="AB176" s="191">
        <f>IF(AF176,YEAR(N176),"")</f>
        <v>2019</v>
      </c>
      <c r="AC176" s="193" t="str">
        <f>CONCATENATE(Y176,Z176)</f>
        <v>62020</v>
      </c>
      <c r="AD176" s="194" t="str">
        <f>CONCATENATE(AA176,AB176)</f>
        <v>62019</v>
      </c>
      <c r="AE176" s="195">
        <f>IF(M176="CBU","",IF(M176="CNR","",IF(K176="Code Out","",MIN(M176,N176))))</f>
        <v>43623</v>
      </c>
      <c r="AF176" s="196" t="b">
        <f>--(ISNUMBER(SEARCH("lab",P176)))
=--(ISNUMBER(SEARCH("fred",A168)))</f>
        <v>1</v>
      </c>
      <c r="AG176" s="199" t="b">
        <f>IF(AE176&lt;$J$4,TRUE,FALSE)</f>
        <v>0</v>
      </c>
      <c r="AH176" s="192">
        <f ca="1">IF(K176="CBU","",IF(K176="CNR","",IF(K176="Code Out","",SUM(M176-$U$1))))</f>
        <v>709.56816122685268</v>
      </c>
      <c r="AI176" s="192">
        <f ca="1">COUNTIF(O176,"Del")</f>
        <v>0</v>
      </c>
      <c r="AJ176" s="192">
        <f>COUNTIF(P176,"*at lab*")</f>
        <v>0</v>
      </c>
      <c r="AK176" s="200">
        <f ca="1">SUM(AI176:AJ176)</f>
        <v>0</v>
      </c>
    </row>
    <row r="177" spans="1:37" s="75" customFormat="1" ht="38.25" x14ac:dyDescent="0.2">
      <c r="A177" s="207" t="s">
        <v>480</v>
      </c>
      <c r="B177" s="315" t="s">
        <v>480</v>
      </c>
      <c r="C177" s="309"/>
      <c r="D177" s="311">
        <v>9</v>
      </c>
      <c r="E177" s="311"/>
      <c r="F177" s="309" t="s">
        <v>141</v>
      </c>
      <c r="G177" s="309"/>
      <c r="H177" s="309" t="s">
        <v>976</v>
      </c>
      <c r="I177" s="309" t="s">
        <v>142</v>
      </c>
      <c r="J177" s="312">
        <v>6685008514577</v>
      </c>
      <c r="K177" s="299">
        <v>42901</v>
      </c>
      <c r="L177" s="310">
        <v>1080</v>
      </c>
      <c r="M177" s="202">
        <f>IF(K177="cnr","CNR",IF(K177="CBU", "CBU",IF(K177="Code Out","Code Out",K177+L177)))</f>
        <v>43981</v>
      </c>
      <c r="N177" s="203">
        <f>M177</f>
        <v>43981</v>
      </c>
      <c r="O177" s="205" t="str">
        <f ca="1">IF(AJ177=1,"",IF(AH177&lt;1,"DEL",""))</f>
        <v/>
      </c>
      <c r="P177" s="317"/>
      <c r="Q177" s="313"/>
      <c r="R177" s="313"/>
      <c r="S177" s="313" t="s">
        <v>1470</v>
      </c>
      <c r="T177" s="313"/>
      <c r="U177" s="321" t="s">
        <v>1471</v>
      </c>
      <c r="V177" s="314" t="s">
        <v>373</v>
      </c>
      <c r="W177" s="173"/>
      <c r="X177" s="139"/>
      <c r="Y177" s="191">
        <f>IF(AF177,MONTH(M177),"")</f>
        <v>5</v>
      </c>
      <c r="Z177" s="192">
        <f>IF(AF177,YEAR(M177),"")</f>
        <v>2020</v>
      </c>
      <c r="AA177" s="191">
        <f>IF(AF177,MONTH(N177),"")</f>
        <v>5</v>
      </c>
      <c r="AB177" s="191">
        <f>IF(AF177,YEAR(N177),"")</f>
        <v>2020</v>
      </c>
      <c r="AC177" s="193" t="str">
        <f>CONCATENATE(Y177,Z177)</f>
        <v>52020</v>
      </c>
      <c r="AD177" s="194" t="str">
        <f>CONCATENATE(AA177,AB177)</f>
        <v>52020</v>
      </c>
      <c r="AE177" s="195">
        <f>IF(M177="CBU","",IF(M177="CNR","",IF(K177="Code Out","",MIN(M177,N177))))</f>
        <v>43981</v>
      </c>
      <c r="AF177" s="196" t="b">
        <f>--(ISNUMBER(SEARCH("lab",P177)))
=--(ISNUMBER(SEARCH("fred",A169)))</f>
        <v>1</v>
      </c>
      <c r="AG177" s="199" t="b">
        <f>IF(AE177&lt;$J$4,TRUE,FALSE)</f>
        <v>0</v>
      </c>
      <c r="AH177" s="192">
        <f ca="1">IF(K177="CBU","",IF(K177="CNR","",IF(K177="Code Out","",SUM(M177-$U$1))))</f>
        <v>701.56816122685268</v>
      </c>
      <c r="AI177" s="192">
        <f ca="1">COUNTIF(O177,"Del")</f>
        <v>0</v>
      </c>
      <c r="AJ177" s="192">
        <f>COUNTIF(P177,"*at lab*")</f>
        <v>0</v>
      </c>
      <c r="AK177" s="200">
        <f ca="1">SUM(AI177:AJ177)</f>
        <v>0</v>
      </c>
    </row>
    <row r="178" spans="1:37" s="75" customFormat="1" ht="25.5" x14ac:dyDescent="0.2">
      <c r="A178" s="207" t="s">
        <v>477</v>
      </c>
      <c r="B178" s="315" t="s">
        <v>477</v>
      </c>
      <c r="C178" s="309"/>
      <c r="D178" s="311">
        <v>9</v>
      </c>
      <c r="E178" s="311"/>
      <c r="F178" s="309" t="s">
        <v>141</v>
      </c>
      <c r="G178" s="309"/>
      <c r="H178" s="309" t="s">
        <v>976</v>
      </c>
      <c r="I178" s="309" t="s">
        <v>142</v>
      </c>
      <c r="J178" s="312">
        <v>6685008514577</v>
      </c>
      <c r="K178" s="299">
        <v>42901</v>
      </c>
      <c r="L178" s="310">
        <v>1080</v>
      </c>
      <c r="M178" s="202">
        <f>IF(K178="cnr","CNR",IF(K178="CBU", "CBU",IF(K178="Code Out","Code Out",K178+L178)))</f>
        <v>43981</v>
      </c>
      <c r="N178" s="203">
        <f>M178</f>
        <v>43981</v>
      </c>
      <c r="O178" s="205" t="str">
        <f ca="1">IF(AJ178=1,"",IF(AH178&lt;1,"DEL",""))</f>
        <v/>
      </c>
      <c r="P178" s="317"/>
      <c r="Q178" s="313"/>
      <c r="R178" s="313"/>
      <c r="S178" s="313" t="s">
        <v>1470</v>
      </c>
      <c r="T178" s="313"/>
      <c r="U178" s="321" t="s">
        <v>1471</v>
      </c>
      <c r="V178" s="314" t="s">
        <v>373</v>
      </c>
      <c r="W178" s="303"/>
      <c r="X178" s="302"/>
      <c r="Y178" s="197">
        <f>IF(AF178,MONTH(M178),"")</f>
        <v>5</v>
      </c>
      <c r="Z178" s="198">
        <f>IF(AF178,YEAR(M178),"")</f>
        <v>2020</v>
      </c>
      <c r="AA178" s="191">
        <f>IF(AF178,MONTH(N178),"")</f>
        <v>5</v>
      </c>
      <c r="AB178" s="191">
        <f>IF(AF178,YEAR(N178),"")</f>
        <v>2020</v>
      </c>
      <c r="AC178" s="193" t="str">
        <f>CONCATENATE(Y178,Z178)</f>
        <v>52020</v>
      </c>
      <c r="AD178" s="194" t="str">
        <f>CONCATENATE(AA178,AB178)</f>
        <v>52020</v>
      </c>
      <c r="AE178" s="195">
        <f>IF(M178="CBU","",IF(M178="CNR","",IF(K178="Code Out","",MIN(M178,N178))))</f>
        <v>43981</v>
      </c>
      <c r="AF178" s="196" t="b">
        <f>--(ISNUMBER(SEARCH("lab",P178)))
=--(ISNUMBER(SEARCH("fred",A170)))</f>
        <v>1</v>
      </c>
      <c r="AG178" s="199" t="b">
        <f>IF(AE178&lt;$J$4,TRUE,FALSE)</f>
        <v>0</v>
      </c>
      <c r="AH178" s="192">
        <f ca="1">IF(K178="CBU","",IF(K178="CNR","",IF(K178="Code Out","",SUM(M178-$U$1))))</f>
        <v>701.56816122685268</v>
      </c>
      <c r="AI178" s="192">
        <f ca="1">COUNTIF(O178,"Del")</f>
        <v>0</v>
      </c>
      <c r="AJ178" s="192">
        <f>COUNTIF(P178,"*at lab*")</f>
        <v>0</v>
      </c>
      <c r="AK178" s="200">
        <f ca="1">SUM(AI178:AJ178)</f>
        <v>0</v>
      </c>
    </row>
    <row r="179" spans="1:37" s="75" customFormat="1" ht="28.5" x14ac:dyDescent="0.2">
      <c r="A179" s="207" t="s">
        <v>458</v>
      </c>
      <c r="B179" s="315" t="s">
        <v>446</v>
      </c>
      <c r="C179" s="309"/>
      <c r="D179" s="311">
        <v>2</v>
      </c>
      <c r="E179" s="311"/>
      <c r="F179" s="309" t="s">
        <v>416</v>
      </c>
      <c r="G179" s="309" t="s">
        <v>773</v>
      </c>
      <c r="H179" s="309" t="s">
        <v>870</v>
      </c>
      <c r="I179" s="309" t="s">
        <v>447</v>
      </c>
      <c r="J179" s="312">
        <v>5120001692986</v>
      </c>
      <c r="K179" s="299">
        <v>43203</v>
      </c>
      <c r="L179" s="310">
        <v>180</v>
      </c>
      <c r="M179" s="202">
        <f>IF(K179="cnr","CNR",IF(K179="CBU", "CBU",IF(K179="Code Out","Code Out",K179+L179)))</f>
        <v>43383</v>
      </c>
      <c r="N179" s="203">
        <f>M179</f>
        <v>43383</v>
      </c>
      <c r="O179" s="205" t="str">
        <f ca="1">IF(AJ179=1,"",IF(AH179&lt;1,"DEL",""))</f>
        <v/>
      </c>
      <c r="P179" s="299"/>
      <c r="Q179" s="313"/>
      <c r="R179" s="313"/>
      <c r="S179" s="313" t="s">
        <v>398</v>
      </c>
      <c r="T179" s="313"/>
      <c r="U179" s="298" t="s">
        <v>1550</v>
      </c>
      <c r="V179" s="320" t="s">
        <v>673</v>
      </c>
      <c r="W179" s="172"/>
      <c r="X179" s="137"/>
      <c r="Y179" s="191">
        <f>IF(AF179,MONTH(M179),"")</f>
        <v>10</v>
      </c>
      <c r="Z179" s="192">
        <f>IF(AF179,YEAR(M179),"")</f>
        <v>2018</v>
      </c>
      <c r="AA179" s="191">
        <f>IF(AF179,MONTH(N179),"")</f>
        <v>10</v>
      </c>
      <c r="AB179" s="191">
        <f>IF(AF179,YEAR(N179),"")</f>
        <v>2018</v>
      </c>
      <c r="AC179" s="193" t="str">
        <f>CONCATENATE(Y179,Z179)</f>
        <v>102018</v>
      </c>
      <c r="AD179" s="194" t="str">
        <f>CONCATENATE(AA179,AB179)</f>
        <v>102018</v>
      </c>
      <c r="AE179" s="195">
        <f>IF(M179="CBU","",IF(M179="CNR","",IF(K179="Code Out","",MIN(M179,N179))))</f>
        <v>43383</v>
      </c>
      <c r="AF179" s="196" t="b">
        <f>--(ISNUMBER(SEARCH("lab",P179)))
=--(ISNUMBER(SEARCH("fred",A171)))</f>
        <v>1</v>
      </c>
      <c r="AG179" s="199" t="b">
        <f>IF(AE179&lt;$J$4,TRUE,FALSE)</f>
        <v>0</v>
      </c>
      <c r="AH179" s="192">
        <f ca="1">IF(K179="CBU","",IF(K179="CNR","",IF(K179="Code Out","",SUM(M179-$U$1))))</f>
        <v>103.56816122685268</v>
      </c>
      <c r="AI179" s="192">
        <f ca="1">COUNTIF(O179,"Del")</f>
        <v>0</v>
      </c>
      <c r="AJ179" s="192">
        <f>COUNTIF(P179,"*at lab*")</f>
        <v>0</v>
      </c>
      <c r="AK179" s="200">
        <f ca="1">SUM(AI179:AJ179)</f>
        <v>0</v>
      </c>
    </row>
    <row r="180" spans="1:37" s="75" customFormat="1" ht="28.5" x14ac:dyDescent="0.2">
      <c r="A180" s="207" t="s">
        <v>526</v>
      </c>
      <c r="B180" s="315" t="s">
        <v>526</v>
      </c>
      <c r="C180" s="309"/>
      <c r="D180" s="311">
        <v>4</v>
      </c>
      <c r="E180" s="311"/>
      <c r="F180" s="309" t="s">
        <v>561</v>
      </c>
      <c r="G180" s="309"/>
      <c r="H180" s="309" t="s">
        <v>974</v>
      </c>
      <c r="I180" s="311" t="s">
        <v>91</v>
      </c>
      <c r="J180" s="312">
        <v>5210010104522</v>
      </c>
      <c r="K180" s="299">
        <v>43137</v>
      </c>
      <c r="L180" s="310">
        <v>1080</v>
      </c>
      <c r="M180" s="202">
        <f>IF(K180="cnr","CNR",IF(K180="CBU", "CBU",IF(K180="Code Out","Code Out",K180+L180)))</f>
        <v>44217</v>
      </c>
      <c r="N180" s="203">
        <f>M180</f>
        <v>44217</v>
      </c>
      <c r="O180" s="205" t="str">
        <f ca="1">IF(AJ180=1,"",IF(AH180&lt;1,"DEL",""))</f>
        <v/>
      </c>
      <c r="P180" s="299"/>
      <c r="Q180" s="313"/>
      <c r="R180" s="313"/>
      <c r="S180" s="313" t="s">
        <v>398</v>
      </c>
      <c r="T180" s="313"/>
      <c r="U180" s="318" t="s">
        <v>1526</v>
      </c>
      <c r="V180" s="320" t="s">
        <v>668</v>
      </c>
      <c r="W180" s="172"/>
      <c r="X180" s="137"/>
      <c r="Y180" s="191">
        <f>IF(AF180,MONTH(M180),"")</f>
        <v>1</v>
      </c>
      <c r="Z180" s="192">
        <f>IF(AF180,YEAR(M180),"")</f>
        <v>2021</v>
      </c>
      <c r="AA180" s="191">
        <f>IF(AF180,MONTH(N180),"")</f>
        <v>1</v>
      </c>
      <c r="AB180" s="191">
        <f>IF(AF180,YEAR(N180),"")</f>
        <v>2021</v>
      </c>
      <c r="AC180" s="193" t="str">
        <f>CONCATENATE(Y180,Z180)</f>
        <v>12021</v>
      </c>
      <c r="AD180" s="194" t="str">
        <f>CONCATENATE(AA180,AB180)</f>
        <v>12021</v>
      </c>
      <c r="AE180" s="195">
        <f>IF(M180="CBU","",IF(M180="CNR","",IF(K180="Code Out","",MIN(M180,N180))))</f>
        <v>44217</v>
      </c>
      <c r="AF180" s="196" t="b">
        <f>--(ISNUMBER(SEARCH("lab",P180)))
=--(ISNUMBER(SEARCH("fred",A172)))</f>
        <v>1</v>
      </c>
      <c r="AG180" s="199" t="b">
        <f>IF(AE180&lt;$J$4,TRUE,FALSE)</f>
        <v>0</v>
      </c>
      <c r="AH180" s="192">
        <f ca="1">IF(K180="CBU","",IF(K180="CNR","",IF(K180="Code Out","",SUM(M180-$U$1))))</f>
        <v>937.56816122685268</v>
      </c>
      <c r="AI180" s="192">
        <f ca="1">COUNTIF(O180,"Del")</f>
        <v>0</v>
      </c>
      <c r="AJ180" s="192">
        <f>COUNTIF(P180,"*at lab*")</f>
        <v>0</v>
      </c>
      <c r="AK180" s="200">
        <f ca="1">SUM(AI180:AJ180)</f>
        <v>0</v>
      </c>
    </row>
    <row r="181" spans="1:37" s="75" customFormat="1" ht="28.5" x14ac:dyDescent="0.2">
      <c r="A181" s="207" t="s">
        <v>460</v>
      </c>
      <c r="B181" s="315" t="s">
        <v>437</v>
      </c>
      <c r="C181" s="309"/>
      <c r="D181" s="309" t="s">
        <v>975</v>
      </c>
      <c r="E181" s="309"/>
      <c r="F181" s="309" t="s">
        <v>585</v>
      </c>
      <c r="G181" s="309"/>
      <c r="H181" s="309" t="s">
        <v>975</v>
      </c>
      <c r="I181" s="309" t="s">
        <v>485</v>
      </c>
      <c r="J181" s="312">
        <v>512000000000</v>
      </c>
      <c r="K181" s="299">
        <v>43175</v>
      </c>
      <c r="L181" s="310">
        <v>180</v>
      </c>
      <c r="M181" s="202">
        <f>IF(K181="cnr","CNR",IF(K181="CBU", "CBU",IF(K181="Code Out","Code Out",K181+L181)))</f>
        <v>43355</v>
      </c>
      <c r="N181" s="203">
        <f>M181</f>
        <v>43355</v>
      </c>
      <c r="O181" s="205" t="str">
        <f ca="1">IF(AJ181=1,"",IF(AH181&lt;1,"DEL",""))</f>
        <v/>
      </c>
      <c r="P181" s="299"/>
      <c r="Q181" s="313"/>
      <c r="R181" s="313"/>
      <c r="S181" s="313" t="s">
        <v>398</v>
      </c>
      <c r="T181" s="313"/>
      <c r="U181" s="298" t="s">
        <v>1533</v>
      </c>
      <c r="V181" s="320" t="s">
        <v>674</v>
      </c>
      <c r="W181" s="305"/>
      <c r="X181" s="304"/>
      <c r="Y181" s="197">
        <f>IF(AF181,MONTH(M181),"")</f>
        <v>9</v>
      </c>
      <c r="Z181" s="198">
        <f>IF(AF181,YEAR(M181),"")</f>
        <v>2018</v>
      </c>
      <c r="AA181" s="191">
        <f>IF(AF181,MONTH(N181),"")</f>
        <v>9</v>
      </c>
      <c r="AB181" s="191">
        <f>IF(AF181,YEAR(N181),"")</f>
        <v>2018</v>
      </c>
      <c r="AC181" s="193" t="str">
        <f>CONCATENATE(Y181,Z181)</f>
        <v>92018</v>
      </c>
      <c r="AD181" s="194" t="str">
        <f>CONCATENATE(AA181,AB181)</f>
        <v>92018</v>
      </c>
      <c r="AE181" s="195">
        <f>IF(M181="CBU","",IF(M181="CNR","",IF(K181="Code Out","",MIN(M181,N181))))</f>
        <v>43355</v>
      </c>
      <c r="AF181" s="196" t="b">
        <f>--(ISNUMBER(SEARCH("lab",P181)))
=--(ISNUMBER(SEARCH("fred",A173)))</f>
        <v>1</v>
      </c>
      <c r="AG181" s="199" t="b">
        <f>IF(AE181&lt;$J$4,TRUE,FALSE)</f>
        <v>0</v>
      </c>
      <c r="AH181" s="192">
        <f ca="1">IF(K181="CBU","",IF(K181="CNR","",IF(K181="Code Out","",SUM(M181-$U$1))))</f>
        <v>75.568161226852681</v>
      </c>
      <c r="AI181" s="192">
        <f ca="1">COUNTIF(O181,"Del")</f>
        <v>0</v>
      </c>
      <c r="AJ181" s="192">
        <f>COUNTIF(P181,"*at lab*")</f>
        <v>0</v>
      </c>
      <c r="AK181" s="200">
        <f ca="1">SUM(AI181:AJ181)</f>
        <v>0</v>
      </c>
    </row>
    <row r="182" spans="1:37" s="75" customFormat="1" ht="25.5" x14ac:dyDescent="0.2">
      <c r="A182" s="207" t="s">
        <v>464</v>
      </c>
      <c r="B182" s="309" t="s">
        <v>825</v>
      </c>
      <c r="C182" s="309"/>
      <c r="D182" s="309" t="s">
        <v>870</v>
      </c>
      <c r="E182" s="309"/>
      <c r="F182" s="309" t="s">
        <v>491</v>
      </c>
      <c r="G182" s="309"/>
      <c r="H182" s="309" t="s">
        <v>870</v>
      </c>
      <c r="I182" s="309" t="s">
        <v>436</v>
      </c>
      <c r="J182" s="312">
        <v>5120013999053</v>
      </c>
      <c r="K182" s="299">
        <v>43201</v>
      </c>
      <c r="L182" s="310">
        <v>180</v>
      </c>
      <c r="M182" s="202">
        <f>IF(K182="cnr","CNR",IF(K182="CBU", "CBU",IF(K182="Code Out","Code Out",K182+L182)))</f>
        <v>43381</v>
      </c>
      <c r="N182" s="203">
        <f>M182</f>
        <v>43381</v>
      </c>
      <c r="O182" s="205" t="str">
        <f ca="1">IF(AJ182=1,"",IF(AH182&lt;1,"DEL",""))</f>
        <v/>
      </c>
      <c r="P182" s="299"/>
      <c r="Q182" s="313"/>
      <c r="R182" s="313"/>
      <c r="S182" s="313" t="s">
        <v>398</v>
      </c>
      <c r="T182" s="313"/>
      <c r="U182" s="298" t="s">
        <v>1550</v>
      </c>
      <c r="V182" s="320" t="s">
        <v>674</v>
      </c>
      <c r="W182" s="172"/>
      <c r="X182" s="137"/>
      <c r="Y182" s="191">
        <f>IF(AF182,MONTH(M182),"")</f>
        <v>10</v>
      </c>
      <c r="Z182" s="192">
        <f>IF(AF182,YEAR(M182),"")</f>
        <v>2018</v>
      </c>
      <c r="AA182" s="191">
        <f>IF(AF182,MONTH(N182),"")</f>
        <v>10</v>
      </c>
      <c r="AB182" s="191">
        <f>IF(AF182,YEAR(N182),"")</f>
        <v>2018</v>
      </c>
      <c r="AC182" s="193" t="str">
        <f>CONCATENATE(Y182,Z182)</f>
        <v>102018</v>
      </c>
      <c r="AD182" s="194" t="str">
        <f>CONCATENATE(AA182,AB182)</f>
        <v>102018</v>
      </c>
      <c r="AE182" s="195">
        <f>IF(M182="CBU","",IF(M182="CNR","",IF(K182="Code Out","",MIN(M182,N182))))</f>
        <v>43381</v>
      </c>
      <c r="AF182" s="196" t="b">
        <f>--(ISNUMBER(SEARCH("lab",P182)))
=--(ISNUMBER(SEARCH("fred",A174)))</f>
        <v>1</v>
      </c>
      <c r="AG182" s="199" t="b">
        <f>IF(AE182&lt;$J$4,TRUE,FALSE)</f>
        <v>0</v>
      </c>
      <c r="AH182" s="192">
        <f ca="1">IF(K182="CBU","",IF(K182="CNR","",IF(K182="Code Out","",SUM(M182-$U$1))))</f>
        <v>101.56816122685268</v>
      </c>
      <c r="AI182" s="192">
        <f ca="1">COUNTIF(O182,"Del")</f>
        <v>0</v>
      </c>
      <c r="AJ182" s="192">
        <f>COUNTIF(P182,"*at lab*")</f>
        <v>0</v>
      </c>
      <c r="AK182" s="200">
        <f ca="1">SUM(AI182:AJ182)</f>
        <v>0</v>
      </c>
    </row>
    <row r="183" spans="1:37" s="75" customFormat="1" ht="25.5" x14ac:dyDescent="0.2">
      <c r="A183" s="207" t="s">
        <v>530</v>
      </c>
      <c r="B183" s="315" t="s">
        <v>1003</v>
      </c>
      <c r="C183" s="309"/>
      <c r="D183" s="309" t="s">
        <v>870</v>
      </c>
      <c r="E183" s="309"/>
      <c r="F183" s="309" t="s">
        <v>615</v>
      </c>
      <c r="G183" s="309"/>
      <c r="H183" s="309" t="s">
        <v>870</v>
      </c>
      <c r="I183" s="309" t="s">
        <v>531</v>
      </c>
      <c r="J183" s="312">
        <v>5210002348017</v>
      </c>
      <c r="K183" s="299">
        <v>42408</v>
      </c>
      <c r="L183" s="310">
        <v>1080</v>
      </c>
      <c r="M183" s="202">
        <f>IF(K183="cnr","CNR",IF(K183="CBU", "CBU",IF(K183="Code Out","Code Out",K183+L183)))</f>
        <v>43488</v>
      </c>
      <c r="N183" s="203">
        <f>M183</f>
        <v>43488</v>
      </c>
      <c r="O183" s="206" t="str">
        <f ca="1">IF(AJ183=1,"",IF(AH183&lt;1,"DEL",""))</f>
        <v/>
      </c>
      <c r="P183" s="317"/>
      <c r="Q183" s="313"/>
      <c r="R183" s="313"/>
      <c r="S183" s="313" t="s">
        <v>1370</v>
      </c>
      <c r="T183" s="313"/>
      <c r="U183" s="298" t="s">
        <v>1385</v>
      </c>
      <c r="V183" s="320" t="s">
        <v>669</v>
      </c>
      <c r="W183" s="172"/>
      <c r="X183" s="137"/>
      <c r="Y183" s="191">
        <f>IF(AF183,MONTH(M183),"")</f>
        <v>1</v>
      </c>
      <c r="Z183" s="192">
        <f>IF(AF183,YEAR(M183),"")</f>
        <v>2019</v>
      </c>
      <c r="AA183" s="191">
        <f>IF(AF183,MONTH(N183),"")</f>
        <v>1</v>
      </c>
      <c r="AB183" s="191">
        <f>IF(AF183,YEAR(N183),"")</f>
        <v>2019</v>
      </c>
      <c r="AC183" s="193" t="str">
        <f>CONCATENATE(Y183,Z183)</f>
        <v>12019</v>
      </c>
      <c r="AD183" s="194" t="str">
        <f>CONCATENATE(AA183,AB183)</f>
        <v>12019</v>
      </c>
      <c r="AE183" s="195">
        <f>IF(M183="CBU","",IF(M183="CNR","",IF(K183="Code Out","",MIN(M183,N183))))</f>
        <v>43488</v>
      </c>
      <c r="AF183" s="196" t="b">
        <f>--(ISNUMBER(SEARCH("lab",P183)))
=--(ISNUMBER(SEARCH("fred",A175)))</f>
        <v>1</v>
      </c>
      <c r="AG183" s="199" t="b">
        <f>IF(AE183&lt;$J$4,TRUE,FALSE)</f>
        <v>0</v>
      </c>
      <c r="AH183" s="192">
        <f ca="1">IF(K183="CBU","",IF(K183="CNR","",IF(K183="Code Out","",SUM(M183-$U$1))))</f>
        <v>208.56816122685268</v>
      </c>
      <c r="AI183" s="192">
        <f ca="1">COUNTIF(O183,"Del")</f>
        <v>0</v>
      </c>
      <c r="AJ183" s="192">
        <f>COUNTIF(P183,"*at lab*")</f>
        <v>0</v>
      </c>
      <c r="AK183" s="200">
        <f ca="1">SUM(AI183:AJ183)</f>
        <v>0</v>
      </c>
    </row>
    <row r="184" spans="1:37" s="75" customFormat="1" ht="25.5" x14ac:dyDescent="0.2">
      <c r="A184" s="207" t="s">
        <v>465</v>
      </c>
      <c r="B184" s="309" t="s">
        <v>824</v>
      </c>
      <c r="C184" s="309"/>
      <c r="D184" s="311">
        <v>2</v>
      </c>
      <c r="E184" s="311"/>
      <c r="F184" s="309" t="s">
        <v>491</v>
      </c>
      <c r="G184" s="309"/>
      <c r="H184" s="309" t="s">
        <v>870</v>
      </c>
      <c r="I184" s="309" t="s">
        <v>436</v>
      </c>
      <c r="J184" s="312">
        <v>5120013999053</v>
      </c>
      <c r="K184" s="299">
        <v>43138</v>
      </c>
      <c r="L184" s="310">
        <v>180</v>
      </c>
      <c r="M184" s="202">
        <f>IF(K184="cnr","CNR",IF(K184="CBU", "CBU",IF(K184="Code Out","Code Out",K184+L184)))</f>
        <v>43318</v>
      </c>
      <c r="N184" s="203">
        <f>M184</f>
        <v>43318</v>
      </c>
      <c r="O184" s="205" t="str">
        <f ca="1">IF(AJ184=1,"",IF(AH184&lt;1,"DEL",""))</f>
        <v/>
      </c>
      <c r="P184" s="299"/>
      <c r="Q184" s="313"/>
      <c r="R184" s="313"/>
      <c r="S184" s="313" t="s">
        <v>398</v>
      </c>
      <c r="T184" s="313"/>
      <c r="U184" s="298" t="s">
        <v>1526</v>
      </c>
      <c r="V184" s="320" t="s">
        <v>674</v>
      </c>
      <c r="W184" s="172"/>
      <c r="X184" s="137"/>
      <c r="Y184" s="191">
        <f>IF(AF184,MONTH(M184),"")</f>
        <v>8</v>
      </c>
      <c r="Z184" s="192">
        <f>IF(AF184,YEAR(M184),"")</f>
        <v>2018</v>
      </c>
      <c r="AA184" s="191">
        <f>IF(AF184,MONTH(N184),"")</f>
        <v>8</v>
      </c>
      <c r="AB184" s="191">
        <f>IF(AF184,YEAR(N184),"")</f>
        <v>2018</v>
      </c>
      <c r="AC184" s="193" t="str">
        <f>CONCATENATE(Y184,Z184)</f>
        <v>82018</v>
      </c>
      <c r="AD184" s="194" t="str">
        <f>CONCATENATE(AA184,AB184)</f>
        <v>82018</v>
      </c>
      <c r="AE184" s="195">
        <f>IF(M184="CBU","",IF(M184="CNR","",IF(K184="Code Out","",MIN(M184,N184))))</f>
        <v>43318</v>
      </c>
      <c r="AF184" s="196" t="b">
        <f>--(ISNUMBER(SEARCH("lab",P184)))
=--(ISNUMBER(SEARCH("fred",A176)))</f>
        <v>1</v>
      </c>
      <c r="AG184" s="199" t="b">
        <f>IF(AE184&lt;$J$4,TRUE,FALSE)</f>
        <v>0</v>
      </c>
      <c r="AH184" s="192">
        <f ca="1">IF(K184="CBU","",IF(K184="CNR","",IF(K184="Code Out","",SUM(M184-$U$1))))</f>
        <v>38.568161226852681</v>
      </c>
      <c r="AI184" s="192">
        <f ca="1">COUNTIF(O184,"Del")</f>
        <v>0</v>
      </c>
      <c r="AJ184" s="192">
        <f>COUNTIF(P184,"*at lab*")</f>
        <v>0</v>
      </c>
      <c r="AK184" s="200">
        <f ca="1">SUM(AI184:AJ184)</f>
        <v>0</v>
      </c>
    </row>
    <row r="185" spans="1:37" s="75" customFormat="1" ht="25.5" x14ac:dyDescent="0.2">
      <c r="A185" s="207" t="s">
        <v>481</v>
      </c>
      <c r="B185" s="315" t="s">
        <v>481</v>
      </c>
      <c r="C185" s="309"/>
      <c r="D185" s="311">
        <v>3</v>
      </c>
      <c r="E185" s="311"/>
      <c r="F185" s="309" t="s">
        <v>560</v>
      </c>
      <c r="G185" s="309"/>
      <c r="H185" s="309" t="s">
        <v>974</v>
      </c>
      <c r="I185" s="309" t="s">
        <v>559</v>
      </c>
      <c r="J185" s="312">
        <v>5210007104359</v>
      </c>
      <c r="K185" s="299">
        <v>42796</v>
      </c>
      <c r="L185" s="310">
        <v>1080</v>
      </c>
      <c r="M185" s="202">
        <f>IF(K185="cnr","CNR",IF(K185="CBU", "CBU",IF(K185="Code Out","Code Out",K185+L185)))</f>
        <v>43876</v>
      </c>
      <c r="N185" s="357">
        <v>43814</v>
      </c>
      <c r="O185" s="205" t="str">
        <f ca="1">IF(AJ185=1,"",IF(AH185&lt;1,"DEL",""))</f>
        <v/>
      </c>
      <c r="P185" s="317"/>
      <c r="Q185" s="313"/>
      <c r="R185" s="313"/>
      <c r="S185" s="313" t="s">
        <v>398</v>
      </c>
      <c r="T185" s="313"/>
      <c r="U185" s="298" t="s">
        <v>1500</v>
      </c>
      <c r="V185" s="320" t="s">
        <v>666</v>
      </c>
      <c r="W185" s="171"/>
      <c r="X185" s="140"/>
      <c r="Y185" s="197">
        <f>IF(AF185,MONTH(M185),"")</f>
        <v>2</v>
      </c>
      <c r="Z185" s="198">
        <f>IF(AF185,YEAR(M185),"")</f>
        <v>2020</v>
      </c>
      <c r="AA185" s="191">
        <f>IF(AF185,MONTH(N185),"")</f>
        <v>12</v>
      </c>
      <c r="AB185" s="191">
        <f>IF(AF185,YEAR(N185),"")</f>
        <v>2019</v>
      </c>
      <c r="AC185" s="193" t="str">
        <f>CONCATENATE(Y185,Z185)</f>
        <v>22020</v>
      </c>
      <c r="AD185" s="194" t="str">
        <f>CONCATENATE(AA185,AB185)</f>
        <v>122019</v>
      </c>
      <c r="AE185" s="195">
        <f>IF(M185="CBU","",IF(M185="CNR","",IF(K185="Code Out","",MIN(M185,N185))))</f>
        <v>43814</v>
      </c>
      <c r="AF185" s="196" t="b">
        <f>--(ISNUMBER(SEARCH("lab",P185)))
=--(ISNUMBER(SEARCH("fred",A177)))</f>
        <v>1</v>
      </c>
      <c r="AG185" s="199" t="b">
        <f>IF(AE185&lt;$J$4,TRUE,FALSE)</f>
        <v>0</v>
      </c>
      <c r="AH185" s="192">
        <f ca="1">IF(K185="CBU","",IF(K185="CNR","",IF(K185="Code Out","",SUM(M185-$U$1))))</f>
        <v>596.56816122685268</v>
      </c>
      <c r="AI185" s="192">
        <f ca="1">COUNTIF(O185,"Del")</f>
        <v>0</v>
      </c>
      <c r="AJ185" s="192">
        <f>COUNTIF(P185,"*at lab*")</f>
        <v>0</v>
      </c>
      <c r="AK185" s="200">
        <f ca="1">SUM(AI185:AJ185)</f>
        <v>0</v>
      </c>
    </row>
    <row r="186" spans="1:37" s="75" customFormat="1" ht="25.5" x14ac:dyDescent="0.2">
      <c r="A186" s="207" t="s">
        <v>463</v>
      </c>
      <c r="B186" s="315" t="s">
        <v>431</v>
      </c>
      <c r="C186" s="309"/>
      <c r="D186" s="309" t="s">
        <v>974</v>
      </c>
      <c r="E186" s="309"/>
      <c r="F186" s="309" t="s">
        <v>960</v>
      </c>
      <c r="G186" s="309" t="s">
        <v>772</v>
      </c>
      <c r="H186" s="309" t="s">
        <v>870</v>
      </c>
      <c r="I186" s="309" t="s">
        <v>5</v>
      </c>
      <c r="J186" s="312">
        <v>5120013965955</v>
      </c>
      <c r="K186" s="299">
        <v>43104</v>
      </c>
      <c r="L186" s="310">
        <v>180</v>
      </c>
      <c r="M186" s="202">
        <f>IF(K186="cnr","CNR",IF(K186="CBU", "CBU",IF(K186="Code Out","Code Out",K186+L186)))</f>
        <v>43284</v>
      </c>
      <c r="N186" s="203">
        <f>M186</f>
        <v>43284</v>
      </c>
      <c r="O186" s="205" t="str">
        <f ca="1">IF(AJ186=1,"",IF(AH186&lt;1,"DEL",""))</f>
        <v/>
      </c>
      <c r="P186" s="299" t="s">
        <v>851</v>
      </c>
      <c r="Q186" s="313"/>
      <c r="R186" s="313"/>
      <c r="S186" s="313" t="s">
        <v>398</v>
      </c>
      <c r="T186" s="313"/>
      <c r="U186" s="298" t="s">
        <v>1517</v>
      </c>
      <c r="V186" s="320" t="s">
        <v>674</v>
      </c>
      <c r="W186" s="171"/>
      <c r="X186" s="140"/>
      <c r="Y186" s="197">
        <f>IF(AF186,MONTH(M186),"")</f>
        <v>7</v>
      </c>
      <c r="Z186" s="198">
        <f>IF(AF186,YEAR(M186),"")</f>
        <v>2018</v>
      </c>
      <c r="AA186" s="191">
        <f>IF(AF186,MONTH(N186),"")</f>
        <v>7</v>
      </c>
      <c r="AB186" s="191">
        <f>IF(AF186,YEAR(N186),"")</f>
        <v>2018</v>
      </c>
      <c r="AC186" s="193" t="str">
        <f>CONCATENATE(Y186,Z186)</f>
        <v>72018</v>
      </c>
      <c r="AD186" s="194" t="str">
        <f>CONCATENATE(AA186,AB186)</f>
        <v>72018</v>
      </c>
      <c r="AE186" s="195">
        <f>IF(M186="CBU","",IF(M186="CNR","",IF(K186="Code Out","",MIN(M186,N186))))</f>
        <v>43284</v>
      </c>
      <c r="AF186" s="196" t="b">
        <f>--(ISNUMBER(SEARCH("lab",P186)))
=--(ISNUMBER(SEARCH("fred",#REF!)))</f>
        <v>1</v>
      </c>
      <c r="AG186" s="199" t="b">
        <f>IF(AE186&lt;$J$4,TRUE,FALSE)</f>
        <v>1</v>
      </c>
      <c r="AH186" s="192">
        <f ca="1">IF(K186="CBU","",IF(K186="CNR","",IF(K186="Code Out","",SUM(M186-$U$1))))</f>
        <v>4.5681612268526806</v>
      </c>
      <c r="AI186" s="192">
        <f ca="1">COUNTIF(O186,"Del")</f>
        <v>0</v>
      </c>
      <c r="AJ186" s="192">
        <f>COUNTIF(P186,"*at lab*")</f>
        <v>0</v>
      </c>
      <c r="AK186" s="200">
        <f ca="1">SUM(AI186:AJ186)</f>
        <v>0</v>
      </c>
    </row>
    <row r="187" spans="1:37" s="75" customFormat="1" ht="76.5" x14ac:dyDescent="0.2">
      <c r="A187" s="207" t="s">
        <v>475</v>
      </c>
      <c r="B187" s="315" t="s">
        <v>1507</v>
      </c>
      <c r="C187" s="309"/>
      <c r="D187" s="311">
        <v>2</v>
      </c>
      <c r="E187" s="311"/>
      <c r="F187" s="309" t="s">
        <v>552</v>
      </c>
      <c r="G187" s="309"/>
      <c r="H187" s="309" t="s">
        <v>870</v>
      </c>
      <c r="I187" s="309" t="s">
        <v>439</v>
      </c>
      <c r="J187" s="312">
        <v>5220012512120</v>
      </c>
      <c r="K187" s="299">
        <v>43033</v>
      </c>
      <c r="L187" s="310">
        <v>360</v>
      </c>
      <c r="M187" s="202">
        <f>IF(K187="cnr","CNR",IF(K187="CBU", "CBU",IF(K187="Code Out","Code Out",K187+L187)))</f>
        <v>43393</v>
      </c>
      <c r="N187" s="203">
        <f>(M187)</f>
        <v>43393</v>
      </c>
      <c r="O187" s="205" t="str">
        <f ca="1">IF(AJ187=1,"",IF(AH187&lt;1,"DEL",""))</f>
        <v/>
      </c>
      <c r="P187" s="317"/>
      <c r="Q187" s="313"/>
      <c r="R187" s="313"/>
      <c r="S187" s="313" t="s">
        <v>398</v>
      </c>
      <c r="T187" s="313"/>
      <c r="U187" s="298" t="s">
        <v>1509</v>
      </c>
      <c r="V187" s="314" t="s">
        <v>697</v>
      </c>
      <c r="W187" s="170"/>
      <c r="X187" s="138"/>
      <c r="Y187" s="197">
        <f>IF(AF187,MONTH(M187),"")</f>
        <v>10</v>
      </c>
      <c r="Z187" s="198">
        <f>IF(AF187,YEAR(M187),"")</f>
        <v>2018</v>
      </c>
      <c r="AA187" s="191">
        <f>IF(AF187,MONTH(N187),"")</f>
        <v>10</v>
      </c>
      <c r="AB187" s="191">
        <f>IF(AF187,YEAR(N187),"")</f>
        <v>2018</v>
      </c>
      <c r="AC187" s="193" t="str">
        <f>CONCATENATE(Y187,Z187)</f>
        <v>102018</v>
      </c>
      <c r="AD187" s="194" t="str">
        <f>CONCATENATE(AA187,AB187)</f>
        <v>102018</v>
      </c>
      <c r="AE187" s="195">
        <f>IF(M187="CBU","",IF(M187="CNR","",IF(K187="Code Out","",MIN(M187,N187))))</f>
        <v>43393</v>
      </c>
      <c r="AF187" s="196" t="b">
        <f>--(ISNUMBER(SEARCH("lab",P187)))
=--(ISNUMBER(SEARCH("fred",A179)))</f>
        <v>1</v>
      </c>
      <c r="AG187" s="199" t="b">
        <f>IF(AE187&lt;$J$4,TRUE,FALSE)</f>
        <v>0</v>
      </c>
      <c r="AH187" s="192">
        <f ca="1">IF(K187="CBU","",IF(K187="CNR","",IF(K187="Code Out","",SUM(M187-$U$1))))</f>
        <v>113.56816122685268</v>
      </c>
      <c r="AI187" s="192">
        <f ca="1">COUNTIF(O187,"Del")</f>
        <v>0</v>
      </c>
      <c r="AJ187" s="192">
        <f>COUNTIF(P187,"*at lab*")</f>
        <v>0</v>
      </c>
      <c r="AK187" s="200">
        <f ca="1">SUM(AI187:AJ187)</f>
        <v>0</v>
      </c>
    </row>
    <row r="188" spans="1:37" s="75" customFormat="1" ht="25.5" x14ac:dyDescent="0.2">
      <c r="A188" s="207" t="s">
        <v>389</v>
      </c>
      <c r="B188" s="315" t="s">
        <v>386</v>
      </c>
      <c r="C188" s="310"/>
      <c r="D188" s="309" t="s">
        <v>973</v>
      </c>
      <c r="E188" s="309"/>
      <c r="F188" s="309" t="s">
        <v>417</v>
      </c>
      <c r="G188" s="309" t="s">
        <v>777</v>
      </c>
      <c r="H188" s="309" t="s">
        <v>974</v>
      </c>
      <c r="I188" s="311" t="s">
        <v>5</v>
      </c>
      <c r="J188" s="316"/>
      <c r="K188" s="299">
        <v>43173</v>
      </c>
      <c r="L188" s="310">
        <v>180</v>
      </c>
      <c r="M188" s="202">
        <f>IF(K188="cnr","CNR",IF(K188="CBU", "CBU",IF(K188="Code Out","Code Out",K188+L188)))</f>
        <v>43353</v>
      </c>
      <c r="N188" s="203">
        <f>M188</f>
        <v>43353</v>
      </c>
      <c r="O188" s="205" t="str">
        <f ca="1">IF(AJ188=1,"",IF(AH188&lt;1,"DEL",""))</f>
        <v/>
      </c>
      <c r="P188" s="299"/>
      <c r="Q188" s="313"/>
      <c r="R188" s="313"/>
      <c r="S188" s="313" t="s">
        <v>398</v>
      </c>
      <c r="T188" s="313"/>
      <c r="U188" s="298" t="s">
        <v>1533</v>
      </c>
      <c r="V188" s="314" t="s">
        <v>741</v>
      </c>
      <c r="W188" s="170"/>
      <c r="X188" s="138"/>
      <c r="Y188" s="197">
        <f>IF(AF188,MONTH(M188),"")</f>
        <v>9</v>
      </c>
      <c r="Z188" s="198">
        <f>IF(AF188,YEAR(M188),"")</f>
        <v>2018</v>
      </c>
      <c r="AA188" s="191">
        <f>IF(AF188,MONTH(N188),"")</f>
        <v>9</v>
      </c>
      <c r="AB188" s="191">
        <f>IF(AF188,YEAR(N188),"")</f>
        <v>2018</v>
      </c>
      <c r="AC188" s="193" t="str">
        <f>CONCATENATE(Y188,Z188)</f>
        <v>92018</v>
      </c>
      <c r="AD188" s="194" t="str">
        <f>CONCATENATE(AA188,AB188)</f>
        <v>92018</v>
      </c>
      <c r="AE188" s="195">
        <f>IF(M188="CBU","",IF(M188="CNR","",IF(K188="Code Out","",MIN(M188,N188))))</f>
        <v>43353</v>
      </c>
      <c r="AF188" s="196" t="b">
        <f>--(ISNUMBER(SEARCH("lab",P188)))
=--(ISNUMBER(SEARCH("fred",A180)))</f>
        <v>1</v>
      </c>
      <c r="AG188" s="199" t="b">
        <f>IF(AE188&lt;$J$4,TRUE,FALSE)</f>
        <v>0</v>
      </c>
      <c r="AH188" s="192">
        <f ca="1">IF(K188="CBU","",IF(K188="CNR","",IF(K188="Code Out","",SUM(M188-$U$1))))</f>
        <v>73.568161226852681</v>
      </c>
      <c r="AI188" s="192">
        <f ca="1">COUNTIF(O188,"Del")</f>
        <v>0</v>
      </c>
      <c r="AJ188" s="192">
        <f>COUNTIF(P188,"*at lab*")</f>
        <v>0</v>
      </c>
      <c r="AK188" s="200">
        <f ca="1">SUM(AI188:AJ188)</f>
        <v>0</v>
      </c>
    </row>
    <row r="189" spans="1:37" s="75" customFormat="1" ht="25.5" x14ac:dyDescent="0.2">
      <c r="A189" s="207" t="s">
        <v>387</v>
      </c>
      <c r="B189" s="315" t="s">
        <v>385</v>
      </c>
      <c r="C189" s="310"/>
      <c r="D189" s="309" t="s">
        <v>973</v>
      </c>
      <c r="E189" s="309"/>
      <c r="F189" s="309" t="s">
        <v>417</v>
      </c>
      <c r="G189" s="309" t="s">
        <v>777</v>
      </c>
      <c r="H189" s="309" t="s">
        <v>974</v>
      </c>
      <c r="I189" s="309" t="s">
        <v>557</v>
      </c>
      <c r="J189" s="316"/>
      <c r="K189" s="299">
        <v>43138</v>
      </c>
      <c r="L189" s="310">
        <v>180</v>
      </c>
      <c r="M189" s="202">
        <f>IF(K189="cnr","CNR",IF(K189="CBU", "CBU",IF(K189="Code Out","Code Out",K189+L189)))</f>
        <v>43318</v>
      </c>
      <c r="N189" s="203">
        <f>M189</f>
        <v>43318</v>
      </c>
      <c r="O189" s="205" t="str">
        <f ca="1">IF(AJ189=1,"",IF(AH189&lt;1,"DEL",""))</f>
        <v/>
      </c>
      <c r="P189" s="299"/>
      <c r="Q189" s="313"/>
      <c r="R189" s="313"/>
      <c r="S189" s="313" t="s">
        <v>398</v>
      </c>
      <c r="T189" s="313"/>
      <c r="U189" s="298" t="s">
        <v>1526</v>
      </c>
      <c r="V189" s="314" t="s">
        <v>1514</v>
      </c>
      <c r="W189" s="303"/>
      <c r="X189" s="302"/>
      <c r="Y189" s="197">
        <f>IF(AF189,MONTH(M189),"")</f>
        <v>8</v>
      </c>
      <c r="Z189" s="198">
        <f>IF(AF189,YEAR(M189),"")</f>
        <v>2018</v>
      </c>
      <c r="AA189" s="191">
        <f>IF(AF189,MONTH(N189),"")</f>
        <v>8</v>
      </c>
      <c r="AB189" s="191">
        <f>IF(AF189,YEAR(N189),"")</f>
        <v>2018</v>
      </c>
      <c r="AC189" s="193" t="str">
        <f>CONCATENATE(Y189,Z189)</f>
        <v>82018</v>
      </c>
      <c r="AD189" s="194" t="str">
        <f>CONCATENATE(AA189,AB189)</f>
        <v>82018</v>
      </c>
      <c r="AE189" s="195">
        <f>IF(M189="CBU","",IF(M189="CNR","",IF(K189="Code Out","",MIN(M189,N189))))</f>
        <v>43318</v>
      </c>
      <c r="AF189" s="196" t="b">
        <f>--(ISNUMBER(SEARCH("lab",P189)))
=--(ISNUMBER(SEARCH("fred",A181)))</f>
        <v>1</v>
      </c>
      <c r="AG189" s="199" t="b">
        <f>IF(AE189&lt;$J$4,TRUE,FALSE)</f>
        <v>0</v>
      </c>
      <c r="AH189" s="192">
        <f ca="1">IF(K189="CBU","",IF(K189="CNR","",IF(K189="Code Out","",SUM(M189-$U$1))))</f>
        <v>38.568161226852681</v>
      </c>
      <c r="AI189" s="192">
        <f ca="1">COUNTIF(O189,"Del")</f>
        <v>0</v>
      </c>
      <c r="AJ189" s="192">
        <f>COUNTIF(P189,"*at lab*")</f>
        <v>0</v>
      </c>
      <c r="AK189" s="200">
        <f ca="1">SUM(AI189:AJ189)</f>
        <v>0</v>
      </c>
    </row>
    <row r="190" spans="1:37" s="75" customFormat="1" ht="25.5" x14ac:dyDescent="0.2">
      <c r="A190" s="207" t="s">
        <v>383</v>
      </c>
      <c r="B190" s="315" t="s">
        <v>384</v>
      </c>
      <c r="C190" s="310"/>
      <c r="D190" s="309" t="s">
        <v>973</v>
      </c>
      <c r="E190" s="309"/>
      <c r="F190" s="309" t="s">
        <v>417</v>
      </c>
      <c r="G190" s="309" t="s">
        <v>776</v>
      </c>
      <c r="H190" s="309" t="s">
        <v>974</v>
      </c>
      <c r="I190" s="311" t="s">
        <v>5</v>
      </c>
      <c r="J190" s="316"/>
      <c r="K190" s="299">
        <v>43104</v>
      </c>
      <c r="L190" s="310">
        <v>180</v>
      </c>
      <c r="M190" s="202">
        <f>IF(K190="cnr","CNR",IF(K190="CBU", "CBU",IF(K190="Code Out","Code Out",K190+L190)))</f>
        <v>43284</v>
      </c>
      <c r="N190" s="203">
        <f>M190</f>
        <v>43284</v>
      </c>
      <c r="O190" s="205" t="str">
        <f ca="1">IF(AJ190=1,"",IF(AH190&lt;1,"DEL",""))</f>
        <v/>
      </c>
      <c r="P190" s="299" t="s">
        <v>851</v>
      </c>
      <c r="Q190" s="313"/>
      <c r="R190" s="313"/>
      <c r="S190" s="313" t="s">
        <v>398</v>
      </c>
      <c r="T190" s="313"/>
      <c r="U190" s="298" t="s">
        <v>1517</v>
      </c>
      <c r="V190" s="314" t="s">
        <v>742</v>
      </c>
      <c r="W190" s="173"/>
      <c r="X190" s="139"/>
      <c r="Y190" s="191">
        <f>IF(AF190,MONTH(M190),"")</f>
        <v>7</v>
      </c>
      <c r="Z190" s="192">
        <f>IF(AF190,YEAR(M190),"")</f>
        <v>2018</v>
      </c>
      <c r="AA190" s="191">
        <f>IF(AF190,MONTH(N190),"")</f>
        <v>7</v>
      </c>
      <c r="AB190" s="191">
        <f>IF(AF190,YEAR(N190),"")</f>
        <v>2018</v>
      </c>
      <c r="AC190" s="193" t="str">
        <f>CONCATENATE(Y190,Z190)</f>
        <v>72018</v>
      </c>
      <c r="AD190" s="194" t="str">
        <f>CONCATENATE(AA190,AB190)</f>
        <v>72018</v>
      </c>
      <c r="AE190" s="195">
        <f>IF(M190="CBU","",IF(M190="CNR","",IF(K190="Code Out","",MIN(M190,N190))))</f>
        <v>43284</v>
      </c>
      <c r="AF190" s="196" t="b">
        <f>--(ISNUMBER(SEARCH("lab",P190)))
=--(ISNUMBER(SEARCH("fred",A183)))</f>
        <v>1</v>
      </c>
      <c r="AG190" s="199" t="b">
        <f>IF(AE190&lt;$J$4,TRUE,FALSE)</f>
        <v>1</v>
      </c>
      <c r="AH190" s="192">
        <f ca="1">IF(K190="CBU","",IF(K190="CNR","",IF(K190="Code Out","",SUM(M190-$U$1))))</f>
        <v>4.5681612268526806</v>
      </c>
      <c r="AI190" s="192">
        <f ca="1">COUNTIF(O190,"Del")</f>
        <v>0</v>
      </c>
      <c r="AJ190" s="192">
        <f>COUNTIF(P190,"*at lab*")</f>
        <v>0</v>
      </c>
      <c r="AK190" s="200">
        <f ca="1">SUM(AI190:AJ190)</f>
        <v>0</v>
      </c>
    </row>
    <row r="191" spans="1:37" s="75" customFormat="1" ht="25.5" x14ac:dyDescent="0.2">
      <c r="A191" s="207" t="s">
        <v>344</v>
      </c>
      <c r="B191" s="309" t="s">
        <v>337</v>
      </c>
      <c r="C191" s="309" t="s">
        <v>764</v>
      </c>
      <c r="D191" s="309" t="s">
        <v>855</v>
      </c>
      <c r="E191" s="309"/>
      <c r="F191" s="309" t="s">
        <v>338</v>
      </c>
      <c r="G191" s="309"/>
      <c r="H191" s="309" t="s">
        <v>980</v>
      </c>
      <c r="I191" s="311" t="s">
        <v>339</v>
      </c>
      <c r="J191" s="312">
        <v>6670015681177</v>
      </c>
      <c r="K191" s="299">
        <v>42940</v>
      </c>
      <c r="L191" s="311">
        <v>420</v>
      </c>
      <c r="M191" s="202">
        <f>IF(K191="cnr","CNR",IF(K191="CBU", "CBU",IF(K191="Code Out","Code Out",K191+L191)))</f>
        <v>43360</v>
      </c>
      <c r="N191" s="203">
        <f>M191</f>
        <v>43360</v>
      </c>
      <c r="O191" s="205"/>
      <c r="P191" s="317"/>
      <c r="Q191" s="313" t="s">
        <v>860</v>
      </c>
      <c r="R191" s="313"/>
      <c r="S191" s="313" t="s">
        <v>398</v>
      </c>
      <c r="T191" s="313"/>
      <c r="U191" s="323" t="s">
        <v>1490</v>
      </c>
      <c r="V191" s="314" t="s">
        <v>1143</v>
      </c>
      <c r="W191" s="170"/>
      <c r="X191" s="138"/>
      <c r="Y191" s="197">
        <f>IF(AF191,MONTH(M191),"")</f>
        <v>9</v>
      </c>
      <c r="Z191" s="198">
        <f>IF(AF191,YEAR(M191),"")</f>
        <v>2018</v>
      </c>
      <c r="AA191" s="191">
        <f>IF(AF191,MONTH(N191),"")</f>
        <v>9</v>
      </c>
      <c r="AB191" s="191">
        <f>IF(AF191,YEAR(N191),"")</f>
        <v>2018</v>
      </c>
      <c r="AC191" s="193" t="str">
        <f>CONCATENATE(Y191,Z191)</f>
        <v>92018</v>
      </c>
      <c r="AD191" s="194" t="str">
        <f>CONCATENATE(AA191,AB191)</f>
        <v>92018</v>
      </c>
      <c r="AE191" s="195">
        <f>IF(M191="CBU","",IF(M191="CNR","",IF(K191="Code Out","",MIN(M191,N191))))</f>
        <v>43360</v>
      </c>
      <c r="AF191" s="196" t="b">
        <f>--(ISNUMBER(SEARCH("lab",P191)))
=--(ISNUMBER(SEARCH("fred",A183)))</f>
        <v>1</v>
      </c>
      <c r="AG191" s="199" t="b">
        <f>IF(AE191&lt;$J$4,TRUE,FALSE)</f>
        <v>0</v>
      </c>
      <c r="AH191" s="192">
        <f ca="1">IF(K191="CBU","",IF(K191="CNR","",IF(K191="Code Out","",SUM(M191-$U$1))))</f>
        <v>80.568161226852681</v>
      </c>
      <c r="AI191" s="192">
        <f>COUNTIF(O191,"Del")</f>
        <v>0</v>
      </c>
      <c r="AJ191" s="192">
        <f>COUNTIF(P191,"*at lab*")</f>
        <v>0</v>
      </c>
      <c r="AK191" s="200">
        <f>SUM(AI191:AJ191)</f>
        <v>0</v>
      </c>
    </row>
    <row r="192" spans="1:37" s="75" customFormat="1" ht="25.5" x14ac:dyDescent="0.2">
      <c r="A192" s="207" t="s">
        <v>345</v>
      </c>
      <c r="B192" s="309" t="s">
        <v>340</v>
      </c>
      <c r="C192" s="309" t="s">
        <v>764</v>
      </c>
      <c r="D192" s="309" t="s">
        <v>855</v>
      </c>
      <c r="E192" s="309"/>
      <c r="F192" s="309" t="s">
        <v>338</v>
      </c>
      <c r="G192" s="309"/>
      <c r="H192" s="309" t="s">
        <v>980</v>
      </c>
      <c r="I192" s="311" t="s">
        <v>339</v>
      </c>
      <c r="J192" s="312">
        <v>6670015681177</v>
      </c>
      <c r="K192" s="299">
        <v>42940</v>
      </c>
      <c r="L192" s="311">
        <v>420</v>
      </c>
      <c r="M192" s="202">
        <f>IF(K192="cnr","CNR",IF(K192="CBU", "CBU",IF(K192="Code Out","Code Out",K192+L192)))</f>
        <v>43360</v>
      </c>
      <c r="N192" s="203">
        <f>M192</f>
        <v>43360</v>
      </c>
      <c r="O192" s="205"/>
      <c r="P192" s="317"/>
      <c r="Q192" s="313" t="s">
        <v>860</v>
      </c>
      <c r="R192" s="313"/>
      <c r="S192" s="313" t="s">
        <v>398</v>
      </c>
      <c r="T192" s="313"/>
      <c r="U192" s="323" t="s">
        <v>1490</v>
      </c>
      <c r="V192" s="314" t="s">
        <v>1143</v>
      </c>
      <c r="W192" s="173"/>
      <c r="X192" s="139"/>
      <c r="Y192" s="191">
        <f>IF(AF192,MONTH(M192),"")</f>
        <v>9</v>
      </c>
      <c r="Z192" s="192">
        <f>IF(AF192,YEAR(M192),"")</f>
        <v>2018</v>
      </c>
      <c r="AA192" s="191">
        <f>IF(AF192,MONTH(N192),"")</f>
        <v>9</v>
      </c>
      <c r="AB192" s="191">
        <f>IF(AF192,YEAR(N192),"")</f>
        <v>2018</v>
      </c>
      <c r="AC192" s="193" t="str">
        <f>CONCATENATE(Y192,Z192)</f>
        <v>92018</v>
      </c>
      <c r="AD192" s="194" t="str">
        <f>CONCATENATE(AA192,AB192)</f>
        <v>92018</v>
      </c>
      <c r="AE192" s="195">
        <f>IF(M192="CBU","",IF(M192="CNR","",IF(K192="Code Out","",MIN(M192,N192))))</f>
        <v>43360</v>
      </c>
      <c r="AF192" s="196" t="b">
        <f>--(ISNUMBER(SEARCH("lab",P192)))
=--(ISNUMBER(SEARCH("fred",A184)))</f>
        <v>1</v>
      </c>
      <c r="AG192" s="199" t="b">
        <f>IF(AE192&lt;$J$4,TRUE,FALSE)</f>
        <v>0</v>
      </c>
      <c r="AH192" s="192">
        <f ca="1">IF(K192="CBU","",IF(K192="CNR","",IF(K192="Code Out","",SUM(M192-$U$1))))</f>
        <v>80.568161226852681</v>
      </c>
      <c r="AI192" s="192">
        <f>COUNTIF(O192,"Del")</f>
        <v>0</v>
      </c>
      <c r="AJ192" s="192">
        <f>COUNTIF(P192,"*at lab*")</f>
        <v>0</v>
      </c>
      <c r="AK192" s="200">
        <f>SUM(AI192:AJ192)</f>
        <v>0</v>
      </c>
    </row>
    <row r="193" spans="1:37" s="75" customFormat="1" ht="25.5" x14ac:dyDescent="0.2">
      <c r="A193" s="207" t="s">
        <v>346</v>
      </c>
      <c r="B193" s="309" t="s">
        <v>341</v>
      </c>
      <c r="C193" s="309" t="s">
        <v>764</v>
      </c>
      <c r="D193" s="309" t="s">
        <v>855</v>
      </c>
      <c r="E193" s="309"/>
      <c r="F193" s="309" t="s">
        <v>338</v>
      </c>
      <c r="G193" s="309"/>
      <c r="H193" s="309" t="s">
        <v>980</v>
      </c>
      <c r="I193" s="311" t="s">
        <v>339</v>
      </c>
      <c r="J193" s="312">
        <v>6670015681177</v>
      </c>
      <c r="K193" s="299">
        <v>42940</v>
      </c>
      <c r="L193" s="311">
        <v>420</v>
      </c>
      <c r="M193" s="202">
        <f>IF(K193="cnr","CNR",IF(K193="CBU", "CBU",IF(K193="Code Out","Code Out",K193+L193)))</f>
        <v>43360</v>
      </c>
      <c r="N193" s="203">
        <f>M193</f>
        <v>43360</v>
      </c>
      <c r="O193" s="205"/>
      <c r="P193" s="317"/>
      <c r="Q193" s="313" t="s">
        <v>860</v>
      </c>
      <c r="R193" s="313"/>
      <c r="S193" s="313" t="s">
        <v>398</v>
      </c>
      <c r="T193" s="313"/>
      <c r="U193" s="323" t="s">
        <v>1490</v>
      </c>
      <c r="V193" s="314" t="s">
        <v>1143</v>
      </c>
      <c r="W193" s="170"/>
      <c r="X193" s="138"/>
      <c r="Y193" s="197">
        <f>IF(AF193,MONTH(M193),"")</f>
        <v>9</v>
      </c>
      <c r="Z193" s="198">
        <f>IF(AF193,YEAR(M193),"")</f>
        <v>2018</v>
      </c>
      <c r="AA193" s="191">
        <f>IF(AF193,MONTH(N193),"")</f>
        <v>9</v>
      </c>
      <c r="AB193" s="191">
        <f>IF(AF193,YEAR(N193),"")</f>
        <v>2018</v>
      </c>
      <c r="AC193" s="193" t="str">
        <f>CONCATENATE(Y193,Z193)</f>
        <v>92018</v>
      </c>
      <c r="AD193" s="194" t="str">
        <f>CONCATENATE(AA193,AB193)</f>
        <v>92018</v>
      </c>
      <c r="AE193" s="195">
        <f>IF(M193="CBU","",IF(M193="CNR","",IF(K193="Code Out","",MIN(M193,N193))))</f>
        <v>43360</v>
      </c>
      <c r="AF193" s="196" t="b">
        <f>--(ISNUMBER(SEARCH("lab",P193)))
=--(ISNUMBER(SEARCH("fred",A185)))</f>
        <v>1</v>
      </c>
      <c r="AG193" s="199" t="b">
        <f>IF(AE193&lt;$J$4,TRUE,FALSE)</f>
        <v>0</v>
      </c>
      <c r="AH193" s="192">
        <f ca="1">IF(K193="CBU","",IF(K193="CNR","",IF(K193="Code Out","",SUM(M193-$U$1))))</f>
        <v>80.568161226852681</v>
      </c>
      <c r="AI193" s="192">
        <f>COUNTIF(O193,"Del")</f>
        <v>0</v>
      </c>
      <c r="AJ193" s="192">
        <f>COUNTIF(P193,"*at lab*")</f>
        <v>0</v>
      </c>
      <c r="AK193" s="200">
        <f>SUM(AI193:AJ193)</f>
        <v>0</v>
      </c>
    </row>
    <row r="194" spans="1:37" s="75" customFormat="1" ht="25.5" x14ac:dyDescent="0.2">
      <c r="A194" s="207" t="s">
        <v>474</v>
      </c>
      <c r="B194" s="315" t="s">
        <v>474</v>
      </c>
      <c r="C194" s="309"/>
      <c r="D194" s="311">
        <v>2</v>
      </c>
      <c r="E194" s="311"/>
      <c r="F194" s="309" t="s">
        <v>552</v>
      </c>
      <c r="G194" s="309"/>
      <c r="H194" s="309" t="s">
        <v>870</v>
      </c>
      <c r="I194" s="309" t="s">
        <v>439</v>
      </c>
      <c r="J194" s="312">
        <v>5220012512120</v>
      </c>
      <c r="K194" s="299">
        <v>42804</v>
      </c>
      <c r="L194" s="310">
        <v>720</v>
      </c>
      <c r="M194" s="202">
        <f>IF(K194="cnr","CNR",IF(K194="CBU", "CBU",IF(K194="Code Out","Code Out",K194+L194)))</f>
        <v>43524</v>
      </c>
      <c r="N194" s="203">
        <f>M194</f>
        <v>43524</v>
      </c>
      <c r="O194" s="205" t="str">
        <f ca="1">IF(AJ194=1,"",IF(AH194&lt;1,"DEL",""))</f>
        <v/>
      </c>
      <c r="P194" s="317"/>
      <c r="Q194" s="313"/>
      <c r="R194" s="313"/>
      <c r="S194" s="313" t="s">
        <v>1432</v>
      </c>
      <c r="T194" s="313"/>
      <c r="U194" s="318" t="s">
        <v>1465</v>
      </c>
      <c r="V194" s="314" t="s">
        <v>697</v>
      </c>
      <c r="W194" s="170"/>
      <c r="X194" s="138"/>
      <c r="Y194" s="197">
        <f>IF(AF194,MONTH(M194),"")</f>
        <v>2</v>
      </c>
      <c r="Z194" s="198">
        <f>IF(AF194,YEAR(M194),"")</f>
        <v>2019</v>
      </c>
      <c r="AA194" s="191">
        <f>IF(AF194,MONTH(N194),"")</f>
        <v>2</v>
      </c>
      <c r="AB194" s="191">
        <f>IF(AF194,YEAR(N194),"")</f>
        <v>2019</v>
      </c>
      <c r="AC194" s="193" t="str">
        <f>CONCATENATE(Y194,Z194)</f>
        <v>22019</v>
      </c>
      <c r="AD194" s="194" t="str">
        <f>CONCATENATE(AA194,AB194)</f>
        <v>22019</v>
      </c>
      <c r="AE194" s="195">
        <f>IF(M194="CBU","",IF(M194="CNR","",IF(K194="Code Out","",MIN(M194,N194))))</f>
        <v>43524</v>
      </c>
      <c r="AF194" s="196" t="b">
        <f>--(ISNUMBER(SEARCH("lab",P194)))
=--(ISNUMBER(SEARCH("fred",A186)))</f>
        <v>1</v>
      </c>
      <c r="AG194" s="199" t="b">
        <f>IF(AE194&lt;$J$4,TRUE,FALSE)</f>
        <v>0</v>
      </c>
      <c r="AH194" s="192">
        <f ca="1">IF(K194="CBU","",IF(K194="CNR","",IF(K194="Code Out","",SUM(M194-$U$1))))</f>
        <v>244.56816122685268</v>
      </c>
      <c r="AI194" s="192">
        <f ca="1">COUNTIF(O194,"Del")</f>
        <v>0</v>
      </c>
      <c r="AJ194" s="192">
        <f>COUNTIF(P194,"*at lab*")</f>
        <v>0</v>
      </c>
      <c r="AK194" s="200">
        <f ca="1">SUM(AI194:AJ194)</f>
        <v>0</v>
      </c>
    </row>
    <row r="195" spans="1:37" s="75" customFormat="1" ht="51.75" customHeight="1" x14ac:dyDescent="0.2">
      <c r="A195" s="409" t="s">
        <v>469</v>
      </c>
      <c r="B195" s="315" t="s">
        <v>470</v>
      </c>
      <c r="C195" s="309"/>
      <c r="D195" s="309" t="s">
        <v>974</v>
      </c>
      <c r="E195" s="309"/>
      <c r="F195" s="309" t="s">
        <v>619</v>
      </c>
      <c r="G195" s="309"/>
      <c r="H195" s="309" t="s">
        <v>870</v>
      </c>
      <c r="I195" s="309" t="s">
        <v>5</v>
      </c>
      <c r="J195" s="312">
        <v>5120000000000</v>
      </c>
      <c r="K195" s="299">
        <v>43138</v>
      </c>
      <c r="L195" s="310">
        <v>180</v>
      </c>
      <c r="M195" s="202">
        <f>IF(K195="cnr","CNR",IF(K195="CBU", "CBU",IF(K195="Code Out","Code Out",K195+L195)))</f>
        <v>43318</v>
      </c>
      <c r="N195" s="203">
        <f>M195</f>
        <v>43318</v>
      </c>
      <c r="O195" s="205" t="str">
        <f ca="1">IF(AJ195=1,"",IF(AH195&lt;1,"DEL",""))</f>
        <v/>
      </c>
      <c r="P195" s="299"/>
      <c r="Q195" s="313"/>
      <c r="R195" s="313"/>
      <c r="S195" s="313" t="s">
        <v>398</v>
      </c>
      <c r="T195" s="313"/>
      <c r="U195" s="298" t="s">
        <v>1526</v>
      </c>
      <c r="V195" s="320" t="s">
        <v>672</v>
      </c>
      <c r="W195" s="171"/>
      <c r="X195" s="140"/>
      <c r="Y195" s="197">
        <f>IF(AF195,MONTH(M195),"")</f>
        <v>8</v>
      </c>
      <c r="Z195" s="198">
        <f>IF(AF195,YEAR(M195),"")</f>
        <v>2018</v>
      </c>
      <c r="AA195" s="191">
        <f>IF(AF195,MONTH(N195),"")</f>
        <v>8</v>
      </c>
      <c r="AB195" s="191">
        <f>IF(AF195,YEAR(N195),"")</f>
        <v>2018</v>
      </c>
      <c r="AC195" s="193" t="str">
        <f>CONCATENATE(Y195,Z195)</f>
        <v>82018</v>
      </c>
      <c r="AD195" s="194" t="str">
        <f>CONCATENATE(AA195,AB195)</f>
        <v>82018</v>
      </c>
      <c r="AE195" s="195">
        <f>IF(M195="CBU","",IF(M195="CNR","",IF(K195="Code Out","",MIN(M195,N195))))</f>
        <v>43318</v>
      </c>
      <c r="AF195" s="196" t="b">
        <f>--(ISNUMBER(SEARCH("lab",P195)))
=--(ISNUMBER(SEARCH("fred",A187)))</f>
        <v>1</v>
      </c>
      <c r="AG195" s="199" t="b">
        <f>IF(AE195&lt;$J$4,TRUE,FALSE)</f>
        <v>0</v>
      </c>
      <c r="AH195" s="192">
        <f ca="1">IF(K195="CBU","",IF(K195="CNR","",IF(K195="Code Out","",SUM(M195-$U$1))))</f>
        <v>38.568161226852681</v>
      </c>
      <c r="AI195" s="192">
        <f ca="1">COUNTIF(O195,"Del")</f>
        <v>0</v>
      </c>
      <c r="AJ195" s="192">
        <f>COUNTIF(P195,"*at lab*")</f>
        <v>0</v>
      </c>
      <c r="AK195" s="200">
        <f ca="1">SUM(AI195:AJ195)</f>
        <v>0</v>
      </c>
    </row>
    <row r="196" spans="1:37" s="75" customFormat="1" ht="25.5" x14ac:dyDescent="0.2">
      <c r="A196" s="409" t="s">
        <v>467</v>
      </c>
      <c r="B196" s="315" t="s">
        <v>468</v>
      </c>
      <c r="C196" s="366"/>
      <c r="D196" s="366" t="s">
        <v>974</v>
      </c>
      <c r="E196" s="366"/>
      <c r="F196" s="309" t="s">
        <v>619</v>
      </c>
      <c r="G196" s="366"/>
      <c r="H196" s="366" t="s">
        <v>870</v>
      </c>
      <c r="I196" s="309" t="s">
        <v>5</v>
      </c>
      <c r="J196" s="312">
        <v>5120000000000</v>
      </c>
      <c r="K196" s="299">
        <v>43104</v>
      </c>
      <c r="L196" s="310">
        <v>180</v>
      </c>
      <c r="M196" s="202">
        <f>IF(K196="cnr","CNR",IF(K196="CBU", "CBU",IF(K196="Code Out","Code Out",K196+L196)))</f>
        <v>43284</v>
      </c>
      <c r="N196" s="203">
        <f>M196</f>
        <v>43284</v>
      </c>
      <c r="O196" s="205" t="str">
        <f ca="1">IF(AJ196=1,"",IF(AH196&lt;1,"DEL",""))</f>
        <v/>
      </c>
      <c r="P196" s="299" t="s">
        <v>851</v>
      </c>
      <c r="Q196" s="313"/>
      <c r="R196" s="313"/>
      <c r="S196" s="313" t="s">
        <v>398</v>
      </c>
      <c r="T196" s="313"/>
      <c r="U196" s="298" t="s">
        <v>1517</v>
      </c>
      <c r="V196" s="320" t="s">
        <v>672</v>
      </c>
      <c r="W196" s="172"/>
      <c r="X196" s="137"/>
      <c r="Y196" s="191">
        <f>IF(AF196,MONTH(M196),"")</f>
        <v>7</v>
      </c>
      <c r="Z196" s="192">
        <f>IF(AF196,YEAR(M196),"")</f>
        <v>2018</v>
      </c>
      <c r="AA196" s="191">
        <f>IF(AF196,MONTH(N196),"")</f>
        <v>7</v>
      </c>
      <c r="AB196" s="191">
        <f>IF(AF196,YEAR(N196),"")</f>
        <v>2018</v>
      </c>
      <c r="AC196" s="193" t="str">
        <f>CONCATENATE(Y196,Z196)</f>
        <v>72018</v>
      </c>
      <c r="AD196" s="194" t="str">
        <f>CONCATENATE(AA196,AB196)</f>
        <v>72018</v>
      </c>
      <c r="AE196" s="195">
        <f>IF(M196="CBU","",IF(M196="CNR","",IF(K196="Code Out","",MIN(M196,N196))))</f>
        <v>43284</v>
      </c>
      <c r="AF196" s="196" t="b">
        <f>--(ISNUMBER(SEARCH("lab",P196)))
=--(ISNUMBER(SEARCH("fred",A188)))</f>
        <v>1</v>
      </c>
      <c r="AG196" s="199" t="b">
        <f>IF(AE196&lt;$J$4,TRUE,FALSE)</f>
        <v>1</v>
      </c>
      <c r="AH196" s="192">
        <f ca="1">IF(K196="CBU","",IF(K196="CNR","",IF(K196="Code Out","",SUM(M196-$U$1))))</f>
        <v>4.5681612268526806</v>
      </c>
      <c r="AI196" s="192">
        <f ca="1">COUNTIF(O196,"Del")</f>
        <v>0</v>
      </c>
      <c r="AJ196" s="192">
        <f>COUNTIF(P196,"*at lab*")</f>
        <v>0</v>
      </c>
      <c r="AK196" s="200">
        <f ca="1">SUM(AI196:AJ196)</f>
        <v>0</v>
      </c>
    </row>
    <row r="197" spans="1:37" s="75" customFormat="1" ht="25.5" x14ac:dyDescent="0.2">
      <c r="A197" s="207" t="s">
        <v>453</v>
      </c>
      <c r="B197" s="315" t="s">
        <v>434</v>
      </c>
      <c r="C197" s="309"/>
      <c r="D197" s="311">
        <v>3</v>
      </c>
      <c r="E197" s="311"/>
      <c r="F197" s="309" t="s">
        <v>454</v>
      </c>
      <c r="G197" s="309" t="s">
        <v>775</v>
      </c>
      <c r="H197" s="309" t="s">
        <v>973</v>
      </c>
      <c r="I197" s="309" t="s">
        <v>5</v>
      </c>
      <c r="J197" s="312">
        <v>5120013390369</v>
      </c>
      <c r="K197" s="299">
        <v>43175</v>
      </c>
      <c r="L197" s="310">
        <v>180</v>
      </c>
      <c r="M197" s="202">
        <f>IF(K197="cnr","CNR",IF(K197="CBU", "CBU",IF(K197="Code Out","Code Out",K197+L197)))</f>
        <v>43355</v>
      </c>
      <c r="N197" s="203">
        <f>M197</f>
        <v>43355</v>
      </c>
      <c r="O197" s="205" t="str">
        <f ca="1">IF(AJ197=1,"",IF(AH197&lt;1,"DEL",""))</f>
        <v/>
      </c>
      <c r="P197" s="299"/>
      <c r="Q197" s="313"/>
      <c r="R197" s="313"/>
      <c r="S197" s="313" t="s">
        <v>398</v>
      </c>
      <c r="T197" s="313"/>
      <c r="U197" s="298" t="s">
        <v>1533</v>
      </c>
      <c r="V197" s="320" t="s">
        <v>674</v>
      </c>
      <c r="W197" s="171"/>
      <c r="X197" s="140"/>
      <c r="Y197" s="197">
        <f>IF(AF197,MONTH(M197),"")</f>
        <v>9</v>
      </c>
      <c r="Z197" s="198">
        <f>IF(AF197,YEAR(M197),"")</f>
        <v>2018</v>
      </c>
      <c r="AA197" s="191">
        <f>IF(AF197,MONTH(N197),"")</f>
        <v>9</v>
      </c>
      <c r="AB197" s="191">
        <f>IF(AF197,YEAR(N197),"")</f>
        <v>2018</v>
      </c>
      <c r="AC197" s="193" t="str">
        <f>CONCATENATE(Y197,Z197)</f>
        <v>92018</v>
      </c>
      <c r="AD197" s="194" t="str">
        <f>CONCATENATE(AA197,AB197)</f>
        <v>92018</v>
      </c>
      <c r="AE197" s="195">
        <f>IF(M197="CBU","",IF(M197="CNR","",IF(K197="Code Out","",MIN(M197,N197))))</f>
        <v>43355</v>
      </c>
      <c r="AF197" s="196" t="b">
        <f>--(ISNUMBER(SEARCH("lab",P197)))
=--(ISNUMBER(SEARCH("fred",A189)))</f>
        <v>1</v>
      </c>
      <c r="AG197" s="199" t="b">
        <f>IF(AE197&lt;$J$4,TRUE,FALSE)</f>
        <v>0</v>
      </c>
      <c r="AH197" s="192">
        <f ca="1">IF(K197="CBU","",IF(K197="CNR","",IF(K197="Code Out","",SUM(M197-$U$1))))</f>
        <v>75.568161226852681</v>
      </c>
      <c r="AI197" s="192">
        <f ca="1">COUNTIF(O197,"Del")</f>
        <v>0</v>
      </c>
      <c r="AJ197" s="192">
        <f>COUNTIF(P197,"*at lab*")</f>
        <v>0</v>
      </c>
      <c r="AK197" s="200">
        <f ca="1">SUM(AI197:AJ197)</f>
        <v>0</v>
      </c>
    </row>
    <row r="198" spans="1:37" s="75" customFormat="1" ht="25.5" x14ac:dyDescent="0.2">
      <c r="A198" s="207" t="s">
        <v>451</v>
      </c>
      <c r="B198" s="315" t="s">
        <v>435</v>
      </c>
      <c r="C198" s="309"/>
      <c r="D198" s="311">
        <v>1</v>
      </c>
      <c r="E198" s="311"/>
      <c r="F198" s="309" t="s">
        <v>452</v>
      </c>
      <c r="G198" s="309" t="s">
        <v>772</v>
      </c>
      <c r="H198" s="309" t="s">
        <v>855</v>
      </c>
      <c r="I198" s="309" t="s">
        <v>5</v>
      </c>
      <c r="J198" s="312">
        <v>5120000000000</v>
      </c>
      <c r="K198" s="299">
        <v>43138</v>
      </c>
      <c r="L198" s="310">
        <v>180</v>
      </c>
      <c r="M198" s="202">
        <f>IF(K198="cnr","CNR",IF(K198="CBU", "CBU",IF(K198="Code Out","Code Out",K198+L198)))</f>
        <v>43318</v>
      </c>
      <c r="N198" s="203">
        <f>M198</f>
        <v>43318</v>
      </c>
      <c r="O198" s="205" t="str">
        <f ca="1">IF(AJ198=1,"",IF(AH198&lt;1,"DEL",""))</f>
        <v/>
      </c>
      <c r="P198" s="299"/>
      <c r="Q198" s="313"/>
      <c r="R198" s="313"/>
      <c r="S198" s="313" t="s">
        <v>398</v>
      </c>
      <c r="T198" s="313"/>
      <c r="U198" s="298" t="s">
        <v>1526</v>
      </c>
      <c r="V198" s="320" t="s">
        <v>674</v>
      </c>
      <c r="W198" s="172"/>
      <c r="X198" s="137"/>
      <c r="Y198" s="191">
        <f>IF(AF198,MONTH(M198),"")</f>
        <v>8</v>
      </c>
      <c r="Z198" s="192">
        <f>IF(AF198,YEAR(M198),"")</f>
        <v>2018</v>
      </c>
      <c r="AA198" s="191">
        <f>IF(AF198,MONTH(N198),"")</f>
        <v>8</v>
      </c>
      <c r="AB198" s="191">
        <f>IF(AF198,YEAR(N198),"")</f>
        <v>2018</v>
      </c>
      <c r="AC198" s="193" t="str">
        <f>CONCATENATE(Y198,Z198)</f>
        <v>82018</v>
      </c>
      <c r="AD198" s="194" t="str">
        <f>CONCATENATE(AA198,AB198)</f>
        <v>82018</v>
      </c>
      <c r="AE198" s="195">
        <f>IF(M198="CBU","",IF(M198="CNR","",IF(K198="Code Out","",MIN(M198,N198))))</f>
        <v>43318</v>
      </c>
      <c r="AF198" s="196" t="b">
        <f>--(ISNUMBER(SEARCH("lab",P198)))
=--(ISNUMBER(SEARCH("fred",A190)))</f>
        <v>1</v>
      </c>
      <c r="AG198" s="199" t="b">
        <f>IF(AE198&lt;$J$4,TRUE,FALSE)</f>
        <v>0</v>
      </c>
      <c r="AH198" s="192">
        <f ca="1">IF(K198="CBU","",IF(K198="CNR","",IF(K198="Code Out","",SUM(M198-$U$1))))</f>
        <v>38.568161226852681</v>
      </c>
      <c r="AI198" s="192">
        <f ca="1">COUNTIF(O198,"Del")</f>
        <v>0</v>
      </c>
      <c r="AJ198" s="192">
        <f>COUNTIF(P198,"*at lab*")</f>
        <v>0</v>
      </c>
      <c r="AK198" s="200">
        <f ca="1">SUM(AI198:AJ198)</f>
        <v>0</v>
      </c>
    </row>
    <row r="199" spans="1:37" s="75" customFormat="1" ht="25.5" x14ac:dyDescent="0.2">
      <c r="A199" s="207" t="s">
        <v>343</v>
      </c>
      <c r="B199" s="315" t="s">
        <v>343</v>
      </c>
      <c r="C199" s="310"/>
      <c r="D199" s="309" t="s">
        <v>975</v>
      </c>
      <c r="E199" s="309"/>
      <c r="F199" s="309" t="s">
        <v>404</v>
      </c>
      <c r="G199" s="309"/>
      <c r="H199" s="309" t="s">
        <v>975</v>
      </c>
      <c r="I199" s="311" t="s">
        <v>1391</v>
      </c>
      <c r="J199" s="316">
        <v>6635007900733</v>
      </c>
      <c r="K199" s="299">
        <v>42753</v>
      </c>
      <c r="L199" s="316">
        <v>1080</v>
      </c>
      <c r="M199" s="202">
        <f>IF(K199="cnr","CNR",IF(K199="CBU", "CBU",IF(K199="Code Out","Code Out",K199+L199)))</f>
        <v>43833</v>
      </c>
      <c r="N199" s="203">
        <f>M199</f>
        <v>43833</v>
      </c>
      <c r="O199" s="205" t="str">
        <f ca="1">IF(AJ199=1,"",IF(AH199&lt;1,"DEL",""))</f>
        <v/>
      </c>
      <c r="P199" s="317"/>
      <c r="Q199" s="313"/>
      <c r="R199" s="313"/>
      <c r="S199" s="313" t="s">
        <v>1432</v>
      </c>
      <c r="T199" s="313"/>
      <c r="U199" s="298" t="s">
        <v>1442</v>
      </c>
      <c r="V199" s="314" t="s">
        <v>1440</v>
      </c>
      <c r="W199" s="173"/>
      <c r="X199" s="139"/>
      <c r="Y199" s="191">
        <f>IF(AF199,MONTH(M199),"")</f>
        <v>1</v>
      </c>
      <c r="Z199" s="192">
        <f>IF(AF199,YEAR(M199),"")</f>
        <v>2020</v>
      </c>
      <c r="AA199" s="191">
        <f>IF(AF199,MONTH(N199),"")</f>
        <v>1</v>
      </c>
      <c r="AB199" s="191">
        <f>IF(AF199,YEAR(N199),"")</f>
        <v>2020</v>
      </c>
      <c r="AC199" s="193" t="str">
        <f>CONCATENATE(Y199,Z199)</f>
        <v>12020</v>
      </c>
      <c r="AD199" s="194" t="str">
        <f>CONCATENATE(AA199,AB199)</f>
        <v>12020</v>
      </c>
      <c r="AE199" s="195">
        <f>IF(M199="CBU","",IF(M199="CNR","",IF(K199="Code Out","",MIN(M199,N199))))</f>
        <v>43833</v>
      </c>
      <c r="AF199" s="196" t="b">
        <f>--(ISNUMBER(SEARCH("lab",P199)))
=--(ISNUMBER(SEARCH("fred",A191)))</f>
        <v>1</v>
      </c>
      <c r="AG199" s="199" t="b">
        <f>IF(AE199&lt;$J$4,TRUE,FALSE)</f>
        <v>0</v>
      </c>
      <c r="AH199" s="192">
        <f ca="1">IF(K199="CBU","",IF(K199="CNR","",IF(K199="Code Out","",SUM(M199-$U$1))))</f>
        <v>553.56816122685268</v>
      </c>
      <c r="AI199" s="192">
        <f ca="1">COUNTIF(O199,"Del")</f>
        <v>0</v>
      </c>
      <c r="AJ199" s="192">
        <f>COUNTIF(P199,"*at lab*")</f>
        <v>0</v>
      </c>
      <c r="AK199" s="200">
        <f ca="1">SUM(AI199:AJ199)</f>
        <v>0</v>
      </c>
    </row>
    <row r="200" spans="1:37" s="75" customFormat="1" ht="25.5" x14ac:dyDescent="0.2">
      <c r="A200" s="207" t="s">
        <v>334</v>
      </c>
      <c r="B200" s="315">
        <v>12800235</v>
      </c>
      <c r="C200" s="310"/>
      <c r="D200" s="311">
        <v>5</v>
      </c>
      <c r="E200" s="311"/>
      <c r="F200" s="309" t="s">
        <v>1347</v>
      </c>
      <c r="G200" s="309"/>
      <c r="H200" s="309" t="s">
        <v>975</v>
      </c>
      <c r="I200" s="311" t="s">
        <v>164</v>
      </c>
      <c r="J200" s="316">
        <v>6625013122930</v>
      </c>
      <c r="K200" s="299">
        <v>42297</v>
      </c>
      <c r="L200" s="310">
        <v>1080</v>
      </c>
      <c r="M200" s="202">
        <f>IF(K200="cnr","CNR",IF(K200="CBU", "CBU",IF(K200="Code Out","Code Out",K200+L200)))</f>
        <v>43377</v>
      </c>
      <c r="N200" s="203">
        <f>M200</f>
        <v>43377</v>
      </c>
      <c r="O200" s="205" t="str">
        <f ca="1">IF(AJ200=1,"",IF(AH200&lt;1,"DEL",""))</f>
        <v/>
      </c>
      <c r="P200" s="317"/>
      <c r="Q200" s="313"/>
      <c r="R200" s="313"/>
      <c r="S200" s="313" t="s">
        <v>1370</v>
      </c>
      <c r="T200" s="313"/>
      <c r="U200" s="298" t="s">
        <v>1356</v>
      </c>
      <c r="V200" s="314" t="s">
        <v>371</v>
      </c>
      <c r="W200" s="303"/>
      <c r="X200" s="302"/>
      <c r="Y200" s="197">
        <f>IF(AF200,MONTH(M200),"")</f>
        <v>10</v>
      </c>
      <c r="Z200" s="198">
        <f>IF(AF200,YEAR(M200),"")</f>
        <v>2018</v>
      </c>
      <c r="AA200" s="191">
        <f>IF(AF200,MONTH(N200),"")</f>
        <v>10</v>
      </c>
      <c r="AB200" s="191">
        <f>IF(AF200,YEAR(N200),"")</f>
        <v>2018</v>
      </c>
      <c r="AC200" s="193" t="str">
        <f>CONCATENATE(Y200,Z200)</f>
        <v>102018</v>
      </c>
      <c r="AD200" s="194" t="str">
        <f>CONCATENATE(AA200,AB200)</f>
        <v>102018</v>
      </c>
      <c r="AE200" s="195">
        <f>IF(M200="CBU","",IF(M200="CNR","",IF(K200="Code Out","",MIN(M200,N200))))</f>
        <v>43377</v>
      </c>
      <c r="AF200" s="196" t="b">
        <f>--(ISNUMBER(SEARCH("lab",P200)))
=--(ISNUMBER(SEARCH("fred",A192)))</f>
        <v>1</v>
      </c>
      <c r="AG200" s="199" t="b">
        <f>IF(AE200&lt;$J$4,TRUE,FALSE)</f>
        <v>0</v>
      </c>
      <c r="AH200" s="192">
        <f ca="1">IF(K200="CBU","",IF(K200="CNR","",IF(K200="Code Out","",SUM(M200-$U$1))))</f>
        <v>97.568161226852681</v>
      </c>
      <c r="AI200" s="192">
        <f ca="1">COUNTIF(O200,"Del")</f>
        <v>0</v>
      </c>
      <c r="AJ200" s="192">
        <f>COUNTIF(P200,"*at lab*")</f>
        <v>0</v>
      </c>
      <c r="AK200" s="200">
        <f ca="1">SUM(AI200:AJ200)</f>
        <v>0</v>
      </c>
    </row>
    <row r="201" spans="1:37" s="81" customFormat="1" ht="25.5" x14ac:dyDescent="0.2">
      <c r="A201" s="207" t="s">
        <v>333</v>
      </c>
      <c r="B201" s="315">
        <v>12810427</v>
      </c>
      <c r="C201" s="310"/>
      <c r="D201" s="311">
        <v>5</v>
      </c>
      <c r="E201" s="311"/>
      <c r="F201" s="309" t="s">
        <v>1347</v>
      </c>
      <c r="G201" s="309"/>
      <c r="H201" s="309" t="s">
        <v>975</v>
      </c>
      <c r="I201" s="311" t="s">
        <v>164</v>
      </c>
      <c r="J201" s="316">
        <v>6625013122930</v>
      </c>
      <c r="K201" s="299">
        <v>42297</v>
      </c>
      <c r="L201" s="310">
        <v>1080</v>
      </c>
      <c r="M201" s="202">
        <f>IF(K201="cnr","CNR",IF(K201="CBU", "CBU",IF(K201="Code Out","Code Out",K201+L201)))</f>
        <v>43377</v>
      </c>
      <c r="N201" s="203">
        <f>M201</f>
        <v>43377</v>
      </c>
      <c r="O201" s="205" t="str">
        <f ca="1">IF(AJ201=1,"",IF(AH201&lt;1,"DEL",""))</f>
        <v/>
      </c>
      <c r="P201" s="317"/>
      <c r="Q201" s="313"/>
      <c r="R201" s="313"/>
      <c r="S201" s="313" t="s">
        <v>1370</v>
      </c>
      <c r="T201" s="313"/>
      <c r="U201" s="298" t="s">
        <v>1356</v>
      </c>
      <c r="V201" s="314" t="s">
        <v>371</v>
      </c>
      <c r="W201" s="173"/>
      <c r="X201" s="139"/>
      <c r="Y201" s="191">
        <f>IF(AF201,MONTH(M201),"")</f>
        <v>10</v>
      </c>
      <c r="Z201" s="192">
        <f>IF(AF201,YEAR(M201),"")</f>
        <v>2018</v>
      </c>
      <c r="AA201" s="191">
        <f>IF(AF201,MONTH(N201),"")</f>
        <v>10</v>
      </c>
      <c r="AB201" s="191">
        <f>IF(AF201,YEAR(N201),"")</f>
        <v>2018</v>
      </c>
      <c r="AC201" s="193" t="str">
        <f>CONCATENATE(Y201,Z201)</f>
        <v>102018</v>
      </c>
      <c r="AD201" s="194" t="str">
        <f>CONCATENATE(AA201,AB201)</f>
        <v>102018</v>
      </c>
      <c r="AE201" s="195">
        <f>IF(M201="CBU","",IF(M201="CNR","",IF(K201="Code Out","",MIN(M201,N201))))</f>
        <v>43377</v>
      </c>
      <c r="AF201" s="196" t="b">
        <f>--(ISNUMBER(SEARCH("lab",P201)))
=--(ISNUMBER(SEARCH("fred",A193)))</f>
        <v>1</v>
      </c>
      <c r="AG201" s="199" t="b">
        <f>IF(AE201&lt;$J$4,TRUE,FALSE)</f>
        <v>0</v>
      </c>
      <c r="AH201" s="192">
        <f ca="1">IF(K201="CBU","",IF(K201="CNR","",IF(K201="Code Out","",SUM(M201-$U$1))))</f>
        <v>97.568161226852681</v>
      </c>
      <c r="AI201" s="192">
        <f ca="1">COUNTIF(O201,"Del")</f>
        <v>0</v>
      </c>
      <c r="AJ201" s="192">
        <f>COUNTIF(P201,"*at lab*")</f>
        <v>0</v>
      </c>
      <c r="AK201" s="200">
        <f ca="1">SUM(AI201:AJ201)</f>
        <v>0</v>
      </c>
    </row>
    <row r="202" spans="1:37" s="81" customFormat="1" ht="25.5" x14ac:dyDescent="0.2">
      <c r="A202" s="424" t="s">
        <v>1367</v>
      </c>
      <c r="B202" s="315" t="s">
        <v>1368</v>
      </c>
      <c r="C202" s="311"/>
      <c r="D202" s="311"/>
      <c r="E202" s="311"/>
      <c r="F202" s="309" t="s">
        <v>1083</v>
      </c>
      <c r="G202" s="309"/>
      <c r="H202" s="309"/>
      <c r="I202" s="311" t="s">
        <v>1369</v>
      </c>
      <c r="J202" s="316">
        <v>6625015164656</v>
      </c>
      <c r="K202" s="299">
        <v>42865</v>
      </c>
      <c r="L202" s="311">
        <v>450</v>
      </c>
      <c r="M202" s="202">
        <f>IF(K202="cnr","CNR",IF(K202="CBU", "CBU",IF(K202="Code Out","Code Out",K202+L202)))</f>
        <v>43315</v>
      </c>
      <c r="N202" s="203">
        <f>M202</f>
        <v>43315</v>
      </c>
      <c r="O202" s="205" t="str">
        <f ca="1">IF(AJ202=1,"",IF(AH202&lt;1,"DEL",""))</f>
        <v/>
      </c>
      <c r="P202" s="317"/>
      <c r="Q202" s="313"/>
      <c r="R202" s="313"/>
      <c r="S202" s="313" t="s">
        <v>1470</v>
      </c>
      <c r="T202" s="313"/>
      <c r="U202" s="321" t="s">
        <v>1471</v>
      </c>
      <c r="V202" s="314" t="s">
        <v>367</v>
      </c>
      <c r="W202" s="303"/>
      <c r="X202" s="302"/>
      <c r="Y202" s="197">
        <f>IF(AF202,MONTH(M202),"")</f>
        <v>8</v>
      </c>
      <c r="Z202" s="198">
        <f>IF(AF202,YEAR(M202),"")</f>
        <v>2018</v>
      </c>
      <c r="AA202" s="191">
        <f>IF(AF202,MONTH(N202),"")</f>
        <v>8</v>
      </c>
      <c r="AB202" s="191">
        <f>IF(AF202,YEAR(N202),"")</f>
        <v>2018</v>
      </c>
      <c r="AC202" s="193" t="str">
        <f>CONCATENATE(Y202,Z202)</f>
        <v>82018</v>
      </c>
      <c r="AD202" s="194" t="str">
        <f>CONCATENATE(AA202,AB202)</f>
        <v>82018</v>
      </c>
      <c r="AE202" s="195">
        <f>IF(M202="CBU","",IF(M202="CNR","",IF(K202="Code Out","",MIN(M202,N202))))</f>
        <v>43315</v>
      </c>
      <c r="AF202" s="196" t="b">
        <f>--(ISNUMBER(SEARCH("lab",P202)))
=--(ISNUMBER(SEARCH("fred",A194)))</f>
        <v>1</v>
      </c>
      <c r="AG202" s="199" t="b">
        <f>IF(AE202&lt;$J$4,TRUE,FALSE)</f>
        <v>0</v>
      </c>
      <c r="AH202" s="192">
        <f ca="1">IF(K202="CBU","",IF(K202="CNR","",IF(K202="Code Out","",SUM(M202-$U$1))))</f>
        <v>35.568161226852681</v>
      </c>
      <c r="AI202" s="192">
        <f ca="1">COUNTIF(O202,"Del")</f>
        <v>0</v>
      </c>
      <c r="AJ202" s="192">
        <f>COUNTIF(P202,"*at lab*")</f>
        <v>0</v>
      </c>
      <c r="AK202" s="200">
        <f ca="1">SUM(AI202:AJ202)</f>
        <v>0</v>
      </c>
    </row>
    <row r="203" spans="1:37" s="75" customFormat="1" ht="25.5" x14ac:dyDescent="0.2">
      <c r="A203" s="207" t="s">
        <v>324</v>
      </c>
      <c r="B203" s="309" t="s">
        <v>325</v>
      </c>
      <c r="C203" s="310"/>
      <c r="D203" s="311">
        <v>1</v>
      </c>
      <c r="E203" s="311"/>
      <c r="F203" s="309" t="s">
        <v>403</v>
      </c>
      <c r="G203" s="309"/>
      <c r="H203" s="309" t="s">
        <v>855</v>
      </c>
      <c r="I203" s="311" t="s">
        <v>179</v>
      </c>
      <c r="J203" s="312">
        <v>6130000000000</v>
      </c>
      <c r="K203" s="299" t="s">
        <v>138</v>
      </c>
      <c r="L203" s="311" t="s">
        <v>138</v>
      </c>
      <c r="M203" s="202" t="str">
        <f>IF(K203="cnr","CNR",IF(K203="CBU", "CBU",IF(K203="Code Out","Code Out",K203+L203)))</f>
        <v>CNR</v>
      </c>
      <c r="N203" s="203" t="str">
        <f>M203</f>
        <v>CNR</v>
      </c>
      <c r="O203" s="205" t="str">
        <f>IF(AJ203=1,"",IF(AH203&lt;1,"DEL",""))</f>
        <v/>
      </c>
      <c r="P203" s="317"/>
      <c r="Q203" s="313"/>
      <c r="R203" s="313"/>
      <c r="S203" s="313" t="s">
        <v>398</v>
      </c>
      <c r="T203" s="313"/>
      <c r="U203" s="298"/>
      <c r="V203" s="314" t="s">
        <v>887</v>
      </c>
      <c r="W203" s="173"/>
      <c r="X203" s="139"/>
      <c r="Y203" s="197" t="e">
        <f>IF(AF203,MONTH(M203),"")</f>
        <v>#VALUE!</v>
      </c>
      <c r="Z203" s="198" t="e">
        <f>IF(AF203,YEAR(M203),"")</f>
        <v>#VALUE!</v>
      </c>
      <c r="AA203" s="191" t="e">
        <f>IF(AF203,MONTH(N203),"")</f>
        <v>#VALUE!</v>
      </c>
      <c r="AB203" s="191" t="e">
        <f>IF(AF203,YEAR(N203),"")</f>
        <v>#VALUE!</v>
      </c>
      <c r="AC203" s="193" t="e">
        <f>CONCATENATE(Y203,Z203)</f>
        <v>#VALUE!</v>
      </c>
      <c r="AD203" s="194" t="e">
        <f>CONCATENATE(AA203,AB203)</f>
        <v>#VALUE!</v>
      </c>
      <c r="AE203" s="195" t="str">
        <f>IF(M203="CBU","",IF(M203="CNR","",IF(K203="Code Out","",MIN(M203,N203))))</f>
        <v/>
      </c>
      <c r="AF203" s="196" t="b">
        <f>--(ISNUMBER(SEARCH("lab",P203)))
=--(ISNUMBER(SEARCH("fred",A195)))</f>
        <v>1</v>
      </c>
      <c r="AG203" s="199" t="b">
        <f>IF(AE203&lt;$J$4,TRUE,FALSE)</f>
        <v>0</v>
      </c>
      <c r="AH203" s="192" t="str">
        <f>IF(K203="CBU","",IF(K203="CNR","",IF(K203="Code Out","",SUM(M203-$U$1))))</f>
        <v/>
      </c>
      <c r="AI203" s="192">
        <f>COUNTIF(O203,"Del")</f>
        <v>0</v>
      </c>
      <c r="AJ203" s="192">
        <f>COUNTIF(P203,"*at lab*")</f>
        <v>0</v>
      </c>
      <c r="AK203" s="200">
        <f>SUM(AI203:AJ203)</f>
        <v>0</v>
      </c>
    </row>
    <row r="204" spans="1:37" s="75" customFormat="1" ht="25.5" x14ac:dyDescent="0.2">
      <c r="A204" s="207" t="s">
        <v>318</v>
      </c>
      <c r="B204" s="309" t="s">
        <v>319</v>
      </c>
      <c r="C204" s="310"/>
      <c r="D204" s="311">
        <v>1</v>
      </c>
      <c r="E204" s="311"/>
      <c r="F204" s="309" t="s">
        <v>320</v>
      </c>
      <c r="G204" s="309"/>
      <c r="H204" s="309" t="s">
        <v>855</v>
      </c>
      <c r="I204" s="309" t="s">
        <v>317</v>
      </c>
      <c r="J204" s="312">
        <v>6625000000000</v>
      </c>
      <c r="K204" s="299" t="s">
        <v>138</v>
      </c>
      <c r="L204" s="311" t="s">
        <v>138</v>
      </c>
      <c r="M204" s="202" t="str">
        <f>IF(K204="cnr","CNR",IF(K204="CBU", "CBU",IF(K204="Code Out","Code Out",K204+L204)))</f>
        <v>CNR</v>
      </c>
      <c r="N204" s="203" t="str">
        <f>M204</f>
        <v>CNR</v>
      </c>
      <c r="O204" s="205" t="str">
        <f>IF(AJ204=1,"",IF(AH204&lt;1,"DEL",""))</f>
        <v/>
      </c>
      <c r="P204" s="317"/>
      <c r="Q204" s="313"/>
      <c r="R204" s="313"/>
      <c r="S204" s="313" t="s">
        <v>398</v>
      </c>
      <c r="T204" s="313"/>
      <c r="U204" s="298"/>
      <c r="V204" s="314" t="s">
        <v>373</v>
      </c>
      <c r="W204" s="170"/>
      <c r="X204" s="138"/>
      <c r="Y204" s="197" t="e">
        <f>IF(AF204,MONTH(M204),"")</f>
        <v>#VALUE!</v>
      </c>
      <c r="Z204" s="198" t="e">
        <f>IF(AF204,YEAR(M204),"")</f>
        <v>#VALUE!</v>
      </c>
      <c r="AA204" s="191" t="e">
        <f>IF(AF204,MONTH(N204),"")</f>
        <v>#VALUE!</v>
      </c>
      <c r="AB204" s="191" t="e">
        <f>IF(AF204,YEAR(N204),"")</f>
        <v>#VALUE!</v>
      </c>
      <c r="AC204" s="193" t="e">
        <f>CONCATENATE(Y204,Z204)</f>
        <v>#VALUE!</v>
      </c>
      <c r="AD204" s="194" t="e">
        <f>CONCATENATE(AA204,AB204)</f>
        <v>#VALUE!</v>
      </c>
      <c r="AE204" s="195" t="str">
        <f>IF(M204="CBU","",IF(M204="CNR","",IF(K204="Code Out","",MIN(M204,N204))))</f>
        <v/>
      </c>
      <c r="AF204" s="196" t="b">
        <f>--(ISNUMBER(SEARCH("lab",P204)))
=--(ISNUMBER(SEARCH("fred",A196)))</f>
        <v>1</v>
      </c>
      <c r="AG204" s="199" t="b">
        <f>IF(AE204&lt;$J$4,TRUE,FALSE)</f>
        <v>0</v>
      </c>
      <c r="AH204" s="192" t="str">
        <f>IF(K204="CBU","",IF(K204="CNR","",IF(K204="Code Out","",SUM(M204-$U$1))))</f>
        <v/>
      </c>
      <c r="AI204" s="192">
        <f>COUNTIF(O204,"Del")</f>
        <v>0</v>
      </c>
      <c r="AJ204" s="192">
        <f>COUNTIF(P204,"*at lab*")</f>
        <v>0</v>
      </c>
      <c r="AK204" s="200">
        <f>SUM(AI204:AJ204)</f>
        <v>0</v>
      </c>
    </row>
    <row r="205" spans="1:37" s="75" customFormat="1" ht="25.5" x14ac:dyDescent="0.2">
      <c r="A205" s="207" t="s">
        <v>314</v>
      </c>
      <c r="B205" s="309" t="s">
        <v>315</v>
      </c>
      <c r="C205" s="310"/>
      <c r="D205" s="311">
        <v>1</v>
      </c>
      <c r="E205" s="311"/>
      <c r="F205" s="309" t="s">
        <v>316</v>
      </c>
      <c r="G205" s="309"/>
      <c r="H205" s="309" t="s">
        <v>855</v>
      </c>
      <c r="I205" s="309" t="s">
        <v>317</v>
      </c>
      <c r="J205" s="312">
        <v>6625000000000</v>
      </c>
      <c r="K205" s="299" t="s">
        <v>138</v>
      </c>
      <c r="L205" s="311" t="s">
        <v>138</v>
      </c>
      <c r="M205" s="202" t="str">
        <f>IF(K205="cnr","CNR",IF(K205="CBU", "CBU",IF(K205="Code Out","Code Out",K205+L205)))</f>
        <v>CNR</v>
      </c>
      <c r="N205" s="203" t="str">
        <f>M205</f>
        <v>CNR</v>
      </c>
      <c r="O205" s="205" t="str">
        <f>IF(AJ205=1,"",IF(AH205&lt;1,"DEL",""))</f>
        <v/>
      </c>
      <c r="P205" s="317"/>
      <c r="Q205" s="313"/>
      <c r="R205" s="313"/>
      <c r="S205" s="313" t="s">
        <v>398</v>
      </c>
      <c r="T205" s="313"/>
      <c r="U205" s="298" t="s">
        <v>402</v>
      </c>
      <c r="V205" s="314" t="s">
        <v>887</v>
      </c>
      <c r="W205" s="173"/>
      <c r="X205" s="139"/>
      <c r="Y205" s="197" t="e">
        <f>IF(AF205,MONTH(M205),"")</f>
        <v>#VALUE!</v>
      </c>
      <c r="Z205" s="198" t="e">
        <f>IF(AF205,YEAR(M205),"")</f>
        <v>#VALUE!</v>
      </c>
      <c r="AA205" s="191" t="e">
        <f>IF(AF205,MONTH(N205),"")</f>
        <v>#VALUE!</v>
      </c>
      <c r="AB205" s="191" t="e">
        <f>IF(AF205,YEAR(N205),"")</f>
        <v>#VALUE!</v>
      </c>
      <c r="AC205" s="193" t="e">
        <f>CONCATENATE(Y205,Z205)</f>
        <v>#VALUE!</v>
      </c>
      <c r="AD205" s="194" t="e">
        <f>CONCATENATE(AA205,AB205)</f>
        <v>#VALUE!</v>
      </c>
      <c r="AE205" s="195" t="str">
        <f>IF(M205="CBU","",IF(M205="CNR","",IF(K205="Code Out","",MIN(M205,N205))))</f>
        <v/>
      </c>
      <c r="AF205" s="196" t="b">
        <f>--(ISNUMBER(SEARCH("lab",P205)))
=--(ISNUMBER(SEARCH("fred",A197)))</f>
        <v>1</v>
      </c>
      <c r="AG205" s="199" t="b">
        <f>IF(AE205&lt;$J$4,TRUE,FALSE)</f>
        <v>0</v>
      </c>
      <c r="AH205" s="192" t="str">
        <f>IF(K205="CBU","",IF(K205="CNR","",IF(K205="Code Out","",SUM(M205-$U$1))))</f>
        <v/>
      </c>
      <c r="AI205" s="192">
        <f>COUNTIF(O205,"Del")</f>
        <v>0</v>
      </c>
      <c r="AJ205" s="192">
        <f>COUNTIF(P205,"*at lab*")</f>
        <v>0</v>
      </c>
      <c r="AK205" s="200">
        <f>SUM(AI205:AJ205)</f>
        <v>0</v>
      </c>
    </row>
    <row r="206" spans="1:37" s="75" customFormat="1" ht="25.5" x14ac:dyDescent="0.2">
      <c r="A206" s="207" t="s">
        <v>321</v>
      </c>
      <c r="B206" s="309" t="s">
        <v>322</v>
      </c>
      <c r="C206" s="310"/>
      <c r="D206" s="311">
        <v>1</v>
      </c>
      <c r="E206" s="311"/>
      <c r="F206" s="309" t="s">
        <v>323</v>
      </c>
      <c r="G206" s="309"/>
      <c r="H206" s="309" t="s">
        <v>855</v>
      </c>
      <c r="I206" s="309" t="s">
        <v>317</v>
      </c>
      <c r="J206" s="312">
        <v>6625014323819</v>
      </c>
      <c r="K206" s="299" t="s">
        <v>138</v>
      </c>
      <c r="L206" s="311" t="s">
        <v>138</v>
      </c>
      <c r="M206" s="202" t="str">
        <f>IF(K206="cnr","CNR",IF(K206="CBU", "CBU",IF(K206="Code Out","Code Out",K206+L206)))</f>
        <v>CNR</v>
      </c>
      <c r="N206" s="203" t="str">
        <f>M206</f>
        <v>CNR</v>
      </c>
      <c r="O206" s="205" t="str">
        <f>IF(AJ206=1,"",IF(AH206&lt;1,"DEL",""))</f>
        <v/>
      </c>
      <c r="P206" s="317"/>
      <c r="Q206" s="313"/>
      <c r="R206" s="313"/>
      <c r="S206" s="313" t="s">
        <v>398</v>
      </c>
      <c r="T206" s="313"/>
      <c r="U206" s="298"/>
      <c r="V206" s="314" t="s">
        <v>373</v>
      </c>
      <c r="W206" s="303"/>
      <c r="X206" s="302"/>
      <c r="Y206" s="197" t="e">
        <f>IF(AF206,MONTH(M206),"")</f>
        <v>#VALUE!</v>
      </c>
      <c r="Z206" s="198" t="e">
        <f>IF(AF206,YEAR(M206),"")</f>
        <v>#VALUE!</v>
      </c>
      <c r="AA206" s="191" t="e">
        <f>IF(AF206,MONTH(N206),"")</f>
        <v>#VALUE!</v>
      </c>
      <c r="AB206" s="191" t="e">
        <f>IF(AF206,YEAR(N206),"")</f>
        <v>#VALUE!</v>
      </c>
      <c r="AC206" s="193" t="e">
        <f>CONCATENATE(Y206,Z206)</f>
        <v>#VALUE!</v>
      </c>
      <c r="AD206" s="194" t="e">
        <f>CONCATENATE(AA206,AB206)</f>
        <v>#VALUE!</v>
      </c>
      <c r="AE206" s="195" t="str">
        <f>IF(M206="CBU","",IF(M206="CNR","",IF(K206="Code Out","",MIN(M206,N206))))</f>
        <v/>
      </c>
      <c r="AF206" s="196" t="b">
        <f>--(ISNUMBER(SEARCH("lab",P206)))
=--(ISNUMBER(SEARCH("fred",A198)))</f>
        <v>1</v>
      </c>
      <c r="AG206" s="199" t="b">
        <f>IF(AE206&lt;$J$4,TRUE,FALSE)</f>
        <v>0</v>
      </c>
      <c r="AH206" s="192" t="str">
        <f>IF(K206="CBU","",IF(K206="CNR","",IF(K206="Code Out","",SUM(M206-$U$1))))</f>
        <v/>
      </c>
      <c r="AI206" s="192">
        <f>COUNTIF(O206,"Del")</f>
        <v>0</v>
      </c>
      <c r="AJ206" s="192">
        <f>COUNTIF(P206,"*at lab*")</f>
        <v>0</v>
      </c>
      <c r="AK206" s="200">
        <f>SUM(AI206:AJ206)</f>
        <v>0</v>
      </c>
    </row>
    <row r="207" spans="1:37" s="75" customFormat="1" ht="28.5" x14ac:dyDescent="0.2">
      <c r="A207" s="207" t="s">
        <v>298</v>
      </c>
      <c r="B207" s="309" t="s">
        <v>342</v>
      </c>
      <c r="C207" s="311" t="s">
        <v>500</v>
      </c>
      <c r="D207" s="311">
        <v>1</v>
      </c>
      <c r="E207" s="311"/>
      <c r="F207" s="309" t="s">
        <v>288</v>
      </c>
      <c r="G207" s="309"/>
      <c r="H207" s="309" t="s">
        <v>855</v>
      </c>
      <c r="I207" s="311" t="s">
        <v>127</v>
      </c>
      <c r="J207" s="312">
        <v>4920013886790</v>
      </c>
      <c r="K207" s="299">
        <v>42900</v>
      </c>
      <c r="L207" s="311">
        <v>420</v>
      </c>
      <c r="M207" s="202">
        <f>IF(K207="cnr","CNR",IF(K207="CBU", "CBU",IF(K207="Code Out","Code Out",K207+L207)))</f>
        <v>43320</v>
      </c>
      <c r="N207" s="203">
        <f>M207</f>
        <v>43320</v>
      </c>
      <c r="O207" s="206" t="str">
        <f ca="1">IF(AJ207=1,"",IF(AH207&lt;1,"DEL",""))</f>
        <v/>
      </c>
      <c r="P207" s="317"/>
      <c r="Q207" s="313"/>
      <c r="R207" s="313"/>
      <c r="S207" s="313" t="s">
        <v>1470</v>
      </c>
      <c r="T207" s="313"/>
      <c r="U207" s="318" t="s">
        <v>1471</v>
      </c>
      <c r="V207" s="314" t="s">
        <v>373</v>
      </c>
      <c r="W207" s="173"/>
      <c r="X207" s="139"/>
      <c r="Y207" s="191">
        <f>IF(AF207,MONTH(M207),"")</f>
        <v>8</v>
      </c>
      <c r="Z207" s="192">
        <f>IF(AF207,YEAR(M207),"")</f>
        <v>2018</v>
      </c>
      <c r="AA207" s="191">
        <f>IF(AF207,MONTH(N207),"")</f>
        <v>8</v>
      </c>
      <c r="AB207" s="191">
        <f>IF(AF207,YEAR(N207),"")</f>
        <v>2018</v>
      </c>
      <c r="AC207" s="193" t="str">
        <f>CONCATENATE(Y207,Z207)</f>
        <v>82018</v>
      </c>
      <c r="AD207" s="194" t="str">
        <f>CONCATENATE(AA207,AB207)</f>
        <v>82018</v>
      </c>
      <c r="AE207" s="195">
        <f>IF(M207="CBU","",IF(M207="CNR","",IF(K207="Code Out","",MIN(M207,N207))))</f>
        <v>43320</v>
      </c>
      <c r="AF207" s="196" t="b">
        <f>--(ISNUMBER(SEARCH("lab",P207)))
=--(ISNUMBER(SEARCH("fred",A199)))</f>
        <v>1</v>
      </c>
      <c r="AG207" s="199" t="b">
        <f>IF(AE207&lt;$J$4,TRUE,FALSE)</f>
        <v>0</v>
      </c>
      <c r="AH207" s="192">
        <f ca="1">IF(K207="CBU","",IF(K207="CNR","",IF(K207="Code Out","",SUM(M207-$U$1))))</f>
        <v>40.568161226852681</v>
      </c>
      <c r="AI207" s="192">
        <f ca="1">COUNTIF(O207,"Del")</f>
        <v>0</v>
      </c>
      <c r="AJ207" s="192">
        <f>COUNTIF(P207,"*at lab*")</f>
        <v>0</v>
      </c>
      <c r="AK207" s="200">
        <f ca="1">SUM(AI207:AJ207)</f>
        <v>0</v>
      </c>
    </row>
    <row r="208" spans="1:37" s="75" customFormat="1" ht="28.5" x14ac:dyDescent="0.2">
      <c r="A208" s="207" t="s">
        <v>284</v>
      </c>
      <c r="B208" s="315">
        <v>1009037100</v>
      </c>
      <c r="C208" s="310"/>
      <c r="D208" s="311">
        <v>9</v>
      </c>
      <c r="E208" s="311"/>
      <c r="F208" s="309" t="s">
        <v>967</v>
      </c>
      <c r="G208" s="309" t="s">
        <v>787</v>
      </c>
      <c r="H208" s="309" t="s">
        <v>977</v>
      </c>
      <c r="I208" s="311" t="s">
        <v>5</v>
      </c>
      <c r="J208" s="316">
        <v>5120013390367</v>
      </c>
      <c r="K208" s="299">
        <v>43070</v>
      </c>
      <c r="L208" s="310">
        <v>180</v>
      </c>
      <c r="M208" s="202">
        <f>IF(K208="cnr","CNR",IF(K208="CBU", "CBU",IF(K208="Code Out","Code Out",K208+L208)))</f>
        <v>43250</v>
      </c>
      <c r="N208" s="203">
        <f>M208</f>
        <v>43250</v>
      </c>
      <c r="O208" s="205" t="str">
        <f>IF(AJ208=1,"",IF(AH208&lt;1,"DEL",""))</f>
        <v/>
      </c>
      <c r="P208" s="299" t="s">
        <v>1551</v>
      </c>
      <c r="Q208" s="313"/>
      <c r="R208" s="313" t="s">
        <v>398</v>
      </c>
      <c r="S208" s="313"/>
      <c r="T208" s="313"/>
      <c r="U208" s="298" t="s">
        <v>1512</v>
      </c>
      <c r="V208" s="314" t="s">
        <v>1063</v>
      </c>
      <c r="W208" s="303"/>
      <c r="X208" s="302"/>
      <c r="Y208" s="197" t="str">
        <f>IF(AF208,MONTH(M208),"")</f>
        <v/>
      </c>
      <c r="Z208" s="198" t="str">
        <f>IF(AF208,YEAR(M208),"")</f>
        <v/>
      </c>
      <c r="AA208" s="191" t="str">
        <f>IF(AF208,MONTH(N208),"")</f>
        <v/>
      </c>
      <c r="AB208" s="191" t="str">
        <f>IF(AF208,YEAR(N208),"")</f>
        <v/>
      </c>
      <c r="AC208" s="193" t="str">
        <f>CONCATENATE(Y208,Z208)</f>
        <v/>
      </c>
      <c r="AD208" s="194" t="str">
        <f>CONCATENATE(AA208,AB208)</f>
        <v/>
      </c>
      <c r="AE208" s="195">
        <f>IF(M208="CBU","",IF(M208="CNR","",IF(K208="Code Out","",MIN(M208,N208))))</f>
        <v>43250</v>
      </c>
      <c r="AF208" s="196" t="b">
        <f>--(ISNUMBER(SEARCH("lab",P208)))
=--(ISNUMBER(SEARCH("fred",A200)))</f>
        <v>0</v>
      </c>
      <c r="AG208" s="199" t="b">
        <f>IF(AE208&lt;$J$4,TRUE,FALSE)</f>
        <v>1</v>
      </c>
      <c r="AH208" s="192">
        <f ca="1">IF(K208="CBU","",IF(K208="CNR","",IF(K208="Code Out","",SUM(M208-$U$1))))</f>
        <v>-29.431838773147319</v>
      </c>
      <c r="AI208" s="192">
        <f>COUNTIF(O208,"Del")</f>
        <v>0</v>
      </c>
      <c r="AJ208" s="192">
        <f>COUNTIF(P208,"*at lab*")</f>
        <v>1</v>
      </c>
      <c r="AK208" s="200">
        <f>SUM(AI208:AJ208)</f>
        <v>1</v>
      </c>
    </row>
    <row r="209" spans="1:37" s="75" customFormat="1" ht="38.25" x14ac:dyDescent="0.2">
      <c r="A209" s="207" t="s">
        <v>283</v>
      </c>
      <c r="B209" s="315">
        <v>1009037263</v>
      </c>
      <c r="C209" s="310"/>
      <c r="D209" s="311">
        <v>9</v>
      </c>
      <c r="E209" s="311"/>
      <c r="F209" s="309" t="s">
        <v>964</v>
      </c>
      <c r="G209" s="309" t="s">
        <v>786</v>
      </c>
      <c r="H209" s="309" t="s">
        <v>977</v>
      </c>
      <c r="I209" s="311" t="s">
        <v>5</v>
      </c>
      <c r="J209" s="316">
        <v>5120013390367</v>
      </c>
      <c r="K209" s="299">
        <v>43138</v>
      </c>
      <c r="L209" s="310">
        <v>180</v>
      </c>
      <c r="M209" s="202">
        <f>IF(K209="cnr","CNR",IF(K209="CBU", "CBU",IF(K209="Code Out","Code Out",K209+L209)))</f>
        <v>43318</v>
      </c>
      <c r="N209" s="203">
        <f>M209</f>
        <v>43318</v>
      </c>
      <c r="O209" s="205" t="str">
        <f ca="1">IF(AJ209=1,"",IF(AH209&lt;1,"DEL",""))</f>
        <v/>
      </c>
      <c r="P209" s="299"/>
      <c r="Q209" s="313"/>
      <c r="R209" s="313"/>
      <c r="S209" s="313" t="s">
        <v>398</v>
      </c>
      <c r="T209" s="313"/>
      <c r="U209" s="323" t="s">
        <v>1526</v>
      </c>
      <c r="V209" s="314" t="s">
        <v>1468</v>
      </c>
      <c r="W209" s="173"/>
      <c r="X209" s="139"/>
      <c r="Y209" s="191">
        <f>IF(AF209,MONTH(M209),"")</f>
        <v>8</v>
      </c>
      <c r="Z209" s="192">
        <f>IF(AF209,YEAR(M209),"")</f>
        <v>2018</v>
      </c>
      <c r="AA209" s="191">
        <f>IF(AF209,MONTH(N209),"")</f>
        <v>8</v>
      </c>
      <c r="AB209" s="191">
        <f>IF(AF209,YEAR(N209),"")</f>
        <v>2018</v>
      </c>
      <c r="AC209" s="193" t="str">
        <f>CONCATENATE(Y209,Z209)</f>
        <v>82018</v>
      </c>
      <c r="AD209" s="194" t="str">
        <f>CONCATENATE(AA209,AB209)</f>
        <v>82018</v>
      </c>
      <c r="AE209" s="195">
        <f>IF(M209="CBU","",IF(M209="CNR","",IF(K209="Code Out","",MIN(M209,N209))))</f>
        <v>43318</v>
      </c>
      <c r="AF209" s="196" t="b">
        <f>--(ISNUMBER(SEARCH("lab",P209)))
=--(ISNUMBER(SEARCH("fred",A201)))</f>
        <v>1</v>
      </c>
      <c r="AG209" s="199" t="b">
        <f>IF(AE209&lt;$J$4,TRUE,FALSE)</f>
        <v>0</v>
      </c>
      <c r="AH209" s="192">
        <f ca="1">IF(K209="CBU","",IF(K209="CNR","",IF(K209="Code Out","",SUM(M209-$U$1))))</f>
        <v>38.568161226852681</v>
      </c>
      <c r="AI209" s="192">
        <f ca="1">COUNTIF(O209,"Del")</f>
        <v>0</v>
      </c>
      <c r="AJ209" s="192">
        <f>COUNTIF(P209,"*at lab*")</f>
        <v>0</v>
      </c>
      <c r="AK209" s="200">
        <f ca="1">SUM(AI209:AJ209)</f>
        <v>0</v>
      </c>
    </row>
    <row r="210" spans="1:37" s="75" customFormat="1" ht="25.5" x14ac:dyDescent="0.2">
      <c r="A210" s="207" t="s">
        <v>278</v>
      </c>
      <c r="B210" s="309" t="s">
        <v>278</v>
      </c>
      <c r="C210" s="310"/>
      <c r="D210" s="311">
        <v>2</v>
      </c>
      <c r="E210" s="311"/>
      <c r="F210" s="309" t="s">
        <v>285</v>
      </c>
      <c r="G210" s="309"/>
      <c r="H210" s="309" t="s">
        <v>855</v>
      </c>
      <c r="I210" s="311" t="s">
        <v>41</v>
      </c>
      <c r="J210" s="312">
        <v>6685000000000</v>
      </c>
      <c r="K210" s="299">
        <v>42831</v>
      </c>
      <c r="L210" s="311">
        <v>720</v>
      </c>
      <c r="M210" s="202">
        <f>IF(K210="cnr","CNR",IF(K210="CBU", "CBU",IF(K210="Code Out","Code Out",K210+L210)))</f>
        <v>43551</v>
      </c>
      <c r="N210" s="203">
        <f>M210</f>
        <v>43551</v>
      </c>
      <c r="O210" s="205" t="str">
        <f ca="1">IF(AJ210=1,"",IF(AH210&lt;1,"DEL",""))</f>
        <v/>
      </c>
      <c r="P210" s="317"/>
      <c r="Q210" s="313"/>
      <c r="R210" s="313"/>
      <c r="S210" s="313" t="s">
        <v>398</v>
      </c>
      <c r="T210" s="313"/>
      <c r="U210" s="298" t="s">
        <v>1467</v>
      </c>
      <c r="V210" s="314" t="s">
        <v>373</v>
      </c>
      <c r="W210" s="170"/>
      <c r="X210" s="138"/>
      <c r="Y210" s="197">
        <f>IF(AF210,MONTH(M210),"")</f>
        <v>3</v>
      </c>
      <c r="Z210" s="198">
        <f>IF(AF210,YEAR(M210),"")</f>
        <v>2019</v>
      </c>
      <c r="AA210" s="191">
        <f>IF(AF210,MONTH(N210),"")</f>
        <v>3</v>
      </c>
      <c r="AB210" s="191">
        <f>IF(AF210,YEAR(N210),"")</f>
        <v>2019</v>
      </c>
      <c r="AC210" s="193" t="str">
        <f>CONCATENATE(Y210,Z210)</f>
        <v>32019</v>
      </c>
      <c r="AD210" s="194" t="str">
        <f>CONCATENATE(AA210,AB210)</f>
        <v>32019</v>
      </c>
      <c r="AE210" s="195">
        <f>IF(M210="CBU","",IF(M210="CNR","",IF(K210="Code Out","",MIN(M210,N210))))</f>
        <v>43551</v>
      </c>
      <c r="AF210" s="196" t="b">
        <f>--(ISNUMBER(SEARCH("lab",P210)))
=--(ISNUMBER(SEARCH("fred",A202)))</f>
        <v>1</v>
      </c>
      <c r="AG210" s="199" t="b">
        <f>IF(AE210&lt;$J$4,TRUE,FALSE)</f>
        <v>0</v>
      </c>
      <c r="AH210" s="192">
        <f ca="1">IF(K210="CBU","",IF(K210="CNR","",IF(K210="Code Out","",SUM(M210-$U$1))))</f>
        <v>271.56816122685268</v>
      </c>
      <c r="AI210" s="192">
        <f ca="1">COUNTIF(O210,"Del")</f>
        <v>0</v>
      </c>
      <c r="AJ210" s="192">
        <f>COUNTIF(P210,"*at lab*")</f>
        <v>0</v>
      </c>
      <c r="AK210" s="200">
        <f ca="1">SUM(AI210:AJ210)</f>
        <v>0</v>
      </c>
    </row>
    <row r="211" spans="1:37" s="75" customFormat="1" ht="25.5" x14ac:dyDescent="0.2">
      <c r="A211" s="207" t="s">
        <v>279</v>
      </c>
      <c r="B211" s="315">
        <v>96680040</v>
      </c>
      <c r="C211" s="310"/>
      <c r="D211" s="311">
        <v>5</v>
      </c>
      <c r="E211" s="311"/>
      <c r="F211" s="309" t="s">
        <v>1347</v>
      </c>
      <c r="G211" s="309"/>
      <c r="H211" s="309" t="s">
        <v>855</v>
      </c>
      <c r="I211" s="311" t="s">
        <v>164</v>
      </c>
      <c r="J211" s="316">
        <v>6625013122930</v>
      </c>
      <c r="K211" s="299">
        <v>43108</v>
      </c>
      <c r="L211" s="310">
        <v>1080</v>
      </c>
      <c r="M211" s="202">
        <f>IF(K211="cnr","CNR",IF(K211="CBU", "CBU",IF(K211="Code Out","Code Out",K211+L211)))</f>
        <v>44188</v>
      </c>
      <c r="N211" s="203">
        <f>M211</f>
        <v>44188</v>
      </c>
      <c r="O211" s="205" t="str">
        <f ca="1">IF(AJ211=1,"",IF(AH211&lt;1,"DEL",""))</f>
        <v/>
      </c>
      <c r="P211" s="317"/>
      <c r="Q211" s="313"/>
      <c r="R211" s="313"/>
      <c r="S211" s="313" t="s">
        <v>398</v>
      </c>
      <c r="T211" s="313"/>
      <c r="U211" s="318" t="s">
        <v>1517</v>
      </c>
      <c r="V211" s="314" t="s">
        <v>367</v>
      </c>
      <c r="W211" s="170"/>
      <c r="X211" s="138"/>
      <c r="Y211" s="197">
        <f>IF(AF211,MONTH(M211),"")</f>
        <v>12</v>
      </c>
      <c r="Z211" s="198">
        <f>IF(AF211,YEAR(M211),"")</f>
        <v>2020</v>
      </c>
      <c r="AA211" s="191">
        <f>IF(AF211,MONTH(N211),"")</f>
        <v>12</v>
      </c>
      <c r="AB211" s="191">
        <f>IF(AF211,YEAR(N211),"")</f>
        <v>2020</v>
      </c>
      <c r="AC211" s="193" t="str">
        <f>CONCATENATE(Y211,Z211)</f>
        <v>122020</v>
      </c>
      <c r="AD211" s="194" t="str">
        <f>CONCATENATE(AA211,AB211)</f>
        <v>122020</v>
      </c>
      <c r="AE211" s="195">
        <f>IF(M211="CBU","",IF(M211="CNR","",IF(K211="Code Out","",MIN(M211,N211))))</f>
        <v>44188</v>
      </c>
      <c r="AF211" s="196" t="b">
        <f>--(ISNUMBER(SEARCH("lab",P211)))
=--(ISNUMBER(SEARCH("fred",A203)))</f>
        <v>1</v>
      </c>
      <c r="AG211" s="199" t="b">
        <f>IF(AE211&lt;$J$4,TRUE,FALSE)</f>
        <v>0</v>
      </c>
      <c r="AH211" s="192">
        <f ca="1">IF(K211="CBU","",IF(K211="CNR","",IF(K211="Code Out","",SUM(M211-$U$1))))</f>
        <v>908.56816122685268</v>
      </c>
      <c r="AI211" s="192">
        <f ca="1">COUNTIF(O211,"Del")</f>
        <v>0</v>
      </c>
      <c r="AJ211" s="192">
        <f>COUNTIF(P211,"*at lab*")</f>
        <v>0</v>
      </c>
      <c r="AK211" s="200">
        <f ca="1">SUM(AI211:AJ211)</f>
        <v>0</v>
      </c>
    </row>
    <row r="212" spans="1:37" s="75" customFormat="1" ht="25.5" x14ac:dyDescent="0.2">
      <c r="A212" s="207" t="s">
        <v>280</v>
      </c>
      <c r="B212" s="315" t="s">
        <v>755</v>
      </c>
      <c r="C212" s="310"/>
      <c r="D212" s="311">
        <v>5</v>
      </c>
      <c r="E212" s="311"/>
      <c r="F212" s="309" t="s">
        <v>1347</v>
      </c>
      <c r="G212" s="309"/>
      <c r="H212" s="309" t="s">
        <v>975</v>
      </c>
      <c r="I212" s="311" t="s">
        <v>164</v>
      </c>
      <c r="J212" s="316">
        <v>6625013122930</v>
      </c>
      <c r="K212" s="299">
        <v>42970</v>
      </c>
      <c r="L212" s="310">
        <v>1080</v>
      </c>
      <c r="M212" s="202">
        <f>IF(K212="cnr","CNR",IF(K212="CBU", "CBU",IF(K212="Code Out","Code Out",K212+L212)))</f>
        <v>44050</v>
      </c>
      <c r="N212" s="203">
        <f>M212</f>
        <v>44050</v>
      </c>
      <c r="O212" s="205" t="str">
        <f ca="1">IF(AJ212=1,"",IF(AH212&lt;1,"DEL",""))</f>
        <v/>
      </c>
      <c r="P212" s="317"/>
      <c r="Q212" s="313"/>
      <c r="R212" s="313"/>
      <c r="S212" s="313" t="s">
        <v>1470</v>
      </c>
      <c r="T212" s="313"/>
      <c r="U212" s="318" t="s">
        <v>1494</v>
      </c>
      <c r="V212" s="314" t="s">
        <v>367</v>
      </c>
      <c r="W212" s="173"/>
      <c r="X212" s="139"/>
      <c r="Y212" s="191">
        <f>IF(AF212,MONTH(M212),"")</f>
        <v>8</v>
      </c>
      <c r="Z212" s="192">
        <f>IF(AF212,YEAR(M212),"")</f>
        <v>2020</v>
      </c>
      <c r="AA212" s="191">
        <f>IF(AF212,MONTH(N212),"")</f>
        <v>8</v>
      </c>
      <c r="AB212" s="191">
        <f>IF(AF212,YEAR(N212),"")</f>
        <v>2020</v>
      </c>
      <c r="AC212" s="193" t="str">
        <f>CONCATENATE(Y212,Z212)</f>
        <v>82020</v>
      </c>
      <c r="AD212" s="194" t="str">
        <f>CONCATENATE(AA212,AB212)</f>
        <v>82020</v>
      </c>
      <c r="AE212" s="195">
        <f>IF(M212="CBU","",IF(M212="CNR","",IF(K212="Code Out","",MIN(M212,N212))))</f>
        <v>44050</v>
      </c>
      <c r="AF212" s="196" t="b">
        <f>--(ISNUMBER(SEARCH("lab",P212)))
=--(ISNUMBER(SEARCH("fred",A204)))</f>
        <v>1</v>
      </c>
      <c r="AG212" s="199" t="b">
        <f>IF(AE212&lt;$J$4,TRUE,FALSE)</f>
        <v>0</v>
      </c>
      <c r="AH212" s="192">
        <f ca="1">IF(K212="CBU","",IF(K212="CNR","",IF(K212="Code Out","",SUM(M212-$U$1))))</f>
        <v>770.56816122685268</v>
      </c>
      <c r="AI212" s="192">
        <f ca="1">COUNTIF(O212,"Del")</f>
        <v>0</v>
      </c>
      <c r="AJ212" s="192">
        <f>COUNTIF(P212,"*at lab*")</f>
        <v>0</v>
      </c>
      <c r="AK212" s="200">
        <f ca="1">SUM(AI212:AJ212)</f>
        <v>0</v>
      </c>
    </row>
    <row r="213" spans="1:37" s="75" customFormat="1" ht="25.5" x14ac:dyDescent="0.2">
      <c r="A213" s="207" t="s">
        <v>74</v>
      </c>
      <c r="B213" s="309" t="s">
        <v>996</v>
      </c>
      <c r="C213" s="309" t="s">
        <v>749</v>
      </c>
      <c r="D213" s="309" t="s">
        <v>749</v>
      </c>
      <c r="E213" s="309"/>
      <c r="F213" s="309" t="s">
        <v>702</v>
      </c>
      <c r="G213" s="309"/>
      <c r="H213" s="309" t="s">
        <v>855</v>
      </c>
      <c r="I213" s="311" t="s">
        <v>1349</v>
      </c>
      <c r="J213" s="312">
        <v>6670013794840</v>
      </c>
      <c r="K213" s="299">
        <v>43213</v>
      </c>
      <c r="L213" s="311">
        <v>120</v>
      </c>
      <c r="M213" s="202">
        <f>IF(K213="cnr","CNR",IF(K213="CBU", "CBU",IF(K213="Code Out","Code Out",K213+L213)))</f>
        <v>43333</v>
      </c>
      <c r="N213" s="203">
        <f>M213</f>
        <v>43333</v>
      </c>
      <c r="O213" s="205" t="str">
        <f ca="1">IF(AJ213=1,"",IF(AH213&lt;1,"DEL",""))</f>
        <v/>
      </c>
      <c r="P213" s="299"/>
      <c r="Q213" s="313"/>
      <c r="R213" s="313"/>
      <c r="S213" s="313" t="s">
        <v>398</v>
      </c>
      <c r="T213" s="313"/>
      <c r="U213" s="298" t="s">
        <v>1550</v>
      </c>
      <c r="V213" s="314" t="s">
        <v>1384</v>
      </c>
      <c r="W213" s="170"/>
      <c r="X213" s="138"/>
      <c r="Y213" s="197">
        <f>IF(AF213,MONTH(M213),"")</f>
        <v>8</v>
      </c>
      <c r="Z213" s="198">
        <f>IF(AF213,YEAR(M213),"")</f>
        <v>2018</v>
      </c>
      <c r="AA213" s="191">
        <f>IF(AF213,MONTH(N213),"")</f>
        <v>8</v>
      </c>
      <c r="AB213" s="191">
        <f>IF(AF213,YEAR(N213),"")</f>
        <v>2018</v>
      </c>
      <c r="AC213" s="193" t="str">
        <f>CONCATENATE(Y213,Z213)</f>
        <v>82018</v>
      </c>
      <c r="AD213" s="194" t="str">
        <f>CONCATENATE(AA213,AB213)</f>
        <v>82018</v>
      </c>
      <c r="AE213" s="195">
        <f>IF(M213="CBU","",IF(M213="CNR","",IF(K213="Code Out","",MIN(M213,N213))))</f>
        <v>43333</v>
      </c>
      <c r="AF213" s="196" t="b">
        <f>--(ISNUMBER(SEARCH("lab",P213)))
=--(ISNUMBER(SEARCH("fred",A205)))</f>
        <v>1</v>
      </c>
      <c r="AG213" s="199" t="b">
        <f>IF(AE213&lt;$J$4,TRUE,FALSE)</f>
        <v>0</v>
      </c>
      <c r="AH213" s="192">
        <f ca="1">IF(K213="CBU","",IF(K213="CNR","",IF(K213="Code Out","",SUM(M213-$U$1))))</f>
        <v>53.568161226852681</v>
      </c>
      <c r="AI213" s="192">
        <f ca="1">COUNTIF(O213,"Del")</f>
        <v>0</v>
      </c>
      <c r="AJ213" s="192">
        <f>COUNTIF(P213,"*at lab*")</f>
        <v>0</v>
      </c>
      <c r="AK213" s="200">
        <f ca="1">SUM(AI213:AJ213)</f>
        <v>0</v>
      </c>
    </row>
    <row r="214" spans="1:37" s="75" customFormat="1" ht="25.5" x14ac:dyDescent="0.2">
      <c r="A214" s="207" t="s">
        <v>95</v>
      </c>
      <c r="B214" s="315" t="s">
        <v>96</v>
      </c>
      <c r="C214" s="311" t="s">
        <v>511</v>
      </c>
      <c r="D214" s="311">
        <v>2</v>
      </c>
      <c r="E214" s="311"/>
      <c r="F214" s="309" t="s">
        <v>97</v>
      </c>
      <c r="G214" s="309"/>
      <c r="H214" s="309" t="s">
        <v>973</v>
      </c>
      <c r="I214" s="311" t="s">
        <v>98</v>
      </c>
      <c r="J214" s="316">
        <v>6625013683429</v>
      </c>
      <c r="K214" s="299">
        <v>42506</v>
      </c>
      <c r="L214" s="310">
        <v>840</v>
      </c>
      <c r="M214" s="202">
        <f>IF(K214="cnr","CNR",IF(K214="CBU", "CBU",IF(K214="Code Out","Code Out",K214+L214)))</f>
        <v>43346</v>
      </c>
      <c r="N214" s="203">
        <f>M214</f>
        <v>43346</v>
      </c>
      <c r="O214" s="205" t="str">
        <f ca="1">IF(AJ214=1,"",IF(AH214&lt;1,"DEL",""))</f>
        <v/>
      </c>
      <c r="P214" s="317"/>
      <c r="Q214" s="313"/>
      <c r="R214" s="313"/>
      <c r="S214" s="313" t="s">
        <v>1370</v>
      </c>
      <c r="T214" s="313"/>
      <c r="U214" s="298" t="s">
        <v>1411</v>
      </c>
      <c r="V214" s="314" t="s">
        <v>367</v>
      </c>
      <c r="W214" s="173"/>
      <c r="X214" s="139"/>
      <c r="Y214" s="191">
        <f>IF(AF214,MONTH(M214),"")</f>
        <v>9</v>
      </c>
      <c r="Z214" s="192">
        <f>IF(AF214,YEAR(M214),"")</f>
        <v>2018</v>
      </c>
      <c r="AA214" s="191">
        <f>IF(AF214,MONTH(N214),"")</f>
        <v>9</v>
      </c>
      <c r="AB214" s="191">
        <f>IF(AF214,YEAR(N214),"")</f>
        <v>2018</v>
      </c>
      <c r="AC214" s="193" t="str">
        <f>CONCATENATE(Y214,Z214)</f>
        <v>92018</v>
      </c>
      <c r="AD214" s="194" t="str">
        <f>CONCATENATE(AA214,AB214)</f>
        <v>92018</v>
      </c>
      <c r="AE214" s="195">
        <f>IF(M214="CBU","",IF(M214="CNR","",IF(K214="Code Out","",MIN(M214,N214))))</f>
        <v>43346</v>
      </c>
      <c r="AF214" s="196" t="b">
        <f>--(ISNUMBER(SEARCH("lab",P214)))
=--(ISNUMBER(SEARCH("fred",A206)))</f>
        <v>1</v>
      </c>
      <c r="AG214" s="199" t="b">
        <f>IF(AE214&lt;$J$4,TRUE,FALSE)</f>
        <v>0</v>
      </c>
      <c r="AH214" s="192">
        <f ca="1">IF(K214="CBU","",IF(K214="CNR","",IF(K214="Code Out","",SUM(M214-$U$1))))</f>
        <v>66.568161226852681</v>
      </c>
      <c r="AI214" s="192">
        <f ca="1">COUNTIF(O214,"Del")</f>
        <v>0</v>
      </c>
      <c r="AJ214" s="192">
        <f>COUNTIF(P214,"*at lab*")</f>
        <v>0</v>
      </c>
      <c r="AK214" s="200">
        <f ca="1">SUM(AI214:AJ214)</f>
        <v>0</v>
      </c>
    </row>
    <row r="215" spans="1:37" s="75" customFormat="1" ht="38.25" x14ac:dyDescent="0.2">
      <c r="A215" s="207" t="s">
        <v>94</v>
      </c>
      <c r="B215" s="315">
        <v>523040</v>
      </c>
      <c r="C215" s="310"/>
      <c r="D215" s="311">
        <v>2</v>
      </c>
      <c r="E215" s="311"/>
      <c r="F215" s="309" t="s">
        <v>796</v>
      </c>
      <c r="G215" s="309" t="s">
        <v>774</v>
      </c>
      <c r="H215" s="309" t="s">
        <v>870</v>
      </c>
      <c r="I215" s="311" t="s">
        <v>5</v>
      </c>
      <c r="J215" s="316">
        <v>5120001695776</v>
      </c>
      <c r="K215" s="299">
        <v>43175</v>
      </c>
      <c r="L215" s="311">
        <v>180</v>
      </c>
      <c r="M215" s="202">
        <f>IF(K215="cnr","CNR",IF(K215="CBU", "CBU",IF(K215="Code Out","Code Out",K215+L215)))</f>
        <v>43355</v>
      </c>
      <c r="N215" s="203">
        <f>M215</f>
        <v>43355</v>
      </c>
      <c r="O215" s="205" t="str">
        <f ca="1">IF(AJ215=1,"",IF(AH215&lt;1,"DEL",""))</f>
        <v/>
      </c>
      <c r="P215" s="299"/>
      <c r="Q215" s="313"/>
      <c r="R215" s="313"/>
      <c r="S215" s="313" t="s">
        <v>398</v>
      </c>
      <c r="T215" s="313"/>
      <c r="U215" s="298" t="s">
        <v>1533</v>
      </c>
      <c r="V215" s="314" t="s">
        <v>367</v>
      </c>
      <c r="W215" s="170"/>
      <c r="X215" s="138"/>
      <c r="Y215" s="197">
        <f>IF(AF215,MONTH(M215),"")</f>
        <v>9</v>
      </c>
      <c r="Z215" s="198">
        <f>IF(AF215,YEAR(M215),"")</f>
        <v>2018</v>
      </c>
      <c r="AA215" s="191">
        <f>IF(AF215,MONTH(N215),"")</f>
        <v>9</v>
      </c>
      <c r="AB215" s="191">
        <f>IF(AF215,YEAR(N215),"")</f>
        <v>2018</v>
      </c>
      <c r="AC215" s="193" t="str">
        <f>CONCATENATE(Y215,Z215)</f>
        <v>92018</v>
      </c>
      <c r="AD215" s="194" t="str">
        <f>CONCATENATE(AA215,AB215)</f>
        <v>92018</v>
      </c>
      <c r="AE215" s="195">
        <f>IF(M215="CBU","",IF(M215="CNR","",IF(K215="Code Out","",MIN(M215,N215))))</f>
        <v>43355</v>
      </c>
      <c r="AF215" s="196" t="b">
        <f>--(ISNUMBER(SEARCH("lab",P215)))
=--(ISNUMBER(SEARCH("fred",A207)))</f>
        <v>1</v>
      </c>
      <c r="AG215" s="199" t="b">
        <f>IF(AE215&lt;$J$4,TRUE,FALSE)</f>
        <v>0</v>
      </c>
      <c r="AH215" s="192">
        <f ca="1">IF(K215="CBU","",IF(K215="CNR","",IF(K215="Code Out","",SUM(M215-$U$1))))</f>
        <v>75.568161226852681</v>
      </c>
      <c r="AI215" s="192">
        <f ca="1">COUNTIF(O215,"Del")</f>
        <v>0</v>
      </c>
      <c r="AJ215" s="192">
        <f>COUNTIF(P215,"*at lab*")</f>
        <v>0</v>
      </c>
      <c r="AK215" s="200">
        <f ca="1">SUM(AI215:AJ215)</f>
        <v>0</v>
      </c>
    </row>
    <row r="216" spans="1:37" s="75" customFormat="1" ht="38.25" x14ac:dyDescent="0.2">
      <c r="A216" s="207" t="s">
        <v>7</v>
      </c>
      <c r="B216" s="309" t="s">
        <v>8</v>
      </c>
      <c r="C216" s="310"/>
      <c r="D216" s="311">
        <v>3</v>
      </c>
      <c r="E216" s="311"/>
      <c r="F216" s="309" t="s">
        <v>612</v>
      </c>
      <c r="G216" s="309" t="s">
        <v>776</v>
      </c>
      <c r="H216" s="309" t="s">
        <v>973</v>
      </c>
      <c r="I216" s="311" t="s">
        <v>5</v>
      </c>
      <c r="J216" s="312">
        <v>5120013390369</v>
      </c>
      <c r="K216" s="299">
        <v>43138</v>
      </c>
      <c r="L216" s="311">
        <v>180</v>
      </c>
      <c r="M216" s="202">
        <f>IF(K216="cnr","CNR",IF(K216="CBU", "CBU",IF(K216="Code Out","Code Out",K216+L216)))</f>
        <v>43318</v>
      </c>
      <c r="N216" s="203">
        <f>M216</f>
        <v>43318</v>
      </c>
      <c r="O216" s="205" t="str">
        <f ca="1">IF(AJ216=1,"",IF(AH216&lt;1,"DEL",""))</f>
        <v/>
      </c>
      <c r="P216" s="299"/>
      <c r="Q216" s="313"/>
      <c r="R216" s="313"/>
      <c r="S216" s="313" t="s">
        <v>398</v>
      </c>
      <c r="T216" s="313"/>
      <c r="U216" s="298" t="s">
        <v>1526</v>
      </c>
      <c r="V216" s="314" t="s">
        <v>686</v>
      </c>
      <c r="W216" s="303"/>
      <c r="X216" s="302"/>
      <c r="Y216" s="197">
        <f>IF(AF216,MONTH(M216),"")</f>
        <v>8</v>
      </c>
      <c r="Z216" s="198">
        <f>IF(AF216,YEAR(M216),"")</f>
        <v>2018</v>
      </c>
      <c r="AA216" s="191">
        <f>IF(AF216,MONTH(N216),"")</f>
        <v>8</v>
      </c>
      <c r="AB216" s="191">
        <f>IF(AF216,YEAR(N216),"")</f>
        <v>2018</v>
      </c>
      <c r="AC216" s="193" t="str">
        <f>CONCATENATE(Y216,Z216)</f>
        <v>82018</v>
      </c>
      <c r="AD216" s="194" t="str">
        <f>CONCATENATE(AA216,AB216)</f>
        <v>82018</v>
      </c>
      <c r="AE216" s="195">
        <f>IF(M216="CBU","",IF(M216="CNR","",IF(K216="Code Out","",MIN(M216,N216))))</f>
        <v>43318</v>
      </c>
      <c r="AF216" s="196" t="b">
        <f>--(ISNUMBER(SEARCH("lab",P216)))
=--(ISNUMBER(SEARCH("fred",A208)))</f>
        <v>1</v>
      </c>
      <c r="AG216" s="199" t="b">
        <f>IF(AE216&lt;$J$4,TRUE,FALSE)</f>
        <v>0</v>
      </c>
      <c r="AH216" s="192">
        <f ca="1">IF(K216="CBU","",IF(K216="CNR","",IF(K216="Code Out","",SUM(M216-$U$1))))</f>
        <v>38.568161226852681</v>
      </c>
      <c r="AI216" s="192">
        <f ca="1">COUNTIF(O216,"Del")</f>
        <v>0</v>
      </c>
      <c r="AJ216" s="192">
        <f>COUNTIF(P216,"*at lab*")</f>
        <v>0</v>
      </c>
      <c r="AK216" s="200">
        <f ca="1">SUM(AI216:AJ216)</f>
        <v>0</v>
      </c>
    </row>
    <row r="217" spans="1:37" s="75" customFormat="1" ht="38.25" x14ac:dyDescent="0.2">
      <c r="A217" s="207" t="s">
        <v>160</v>
      </c>
      <c r="B217" s="309">
        <v>4522386</v>
      </c>
      <c r="C217" s="311" t="s">
        <v>1487</v>
      </c>
      <c r="D217" s="311">
        <v>1</v>
      </c>
      <c r="E217" s="311"/>
      <c r="F217" s="309" t="s">
        <v>161</v>
      </c>
      <c r="G217" s="309"/>
      <c r="H217" s="309" t="s">
        <v>855</v>
      </c>
      <c r="I217" s="311" t="s">
        <v>98</v>
      </c>
      <c r="J217" s="312">
        <v>6625012656000</v>
      </c>
      <c r="K217" s="299">
        <v>42312</v>
      </c>
      <c r="L217" s="311">
        <v>960</v>
      </c>
      <c r="M217" s="202">
        <f>IF(K217="cnr","CNR",IF(K217="CBU", "CBU",IF(K217="Code Out","Code Out",K217+L217)))</f>
        <v>43272</v>
      </c>
      <c r="N217" s="203">
        <f>M217</f>
        <v>43272</v>
      </c>
      <c r="O217" s="205" t="str">
        <f ca="1">IF(AJ217=1,"",IF(AH217&lt;1,"DEL",""))</f>
        <v>DEL</v>
      </c>
      <c r="P217" s="299" t="s">
        <v>851</v>
      </c>
      <c r="Q217" s="313"/>
      <c r="R217" s="313"/>
      <c r="S217" s="313" t="s">
        <v>1370</v>
      </c>
      <c r="T217" s="313"/>
      <c r="U217" s="298" t="s">
        <v>1356</v>
      </c>
      <c r="V217" s="314" t="s">
        <v>690</v>
      </c>
      <c r="W217" s="170"/>
      <c r="X217" s="138"/>
      <c r="Y217" s="197">
        <f>IF(AF217,MONTH(M217),"")</f>
        <v>6</v>
      </c>
      <c r="Z217" s="198">
        <f>IF(AF217,YEAR(M217),"")</f>
        <v>2018</v>
      </c>
      <c r="AA217" s="191">
        <f>IF(AF217,MONTH(N217),"")</f>
        <v>6</v>
      </c>
      <c r="AB217" s="191">
        <f>IF(AF217,YEAR(N217),"")</f>
        <v>2018</v>
      </c>
      <c r="AC217" s="193" t="str">
        <f>CONCATENATE(Y217,Z217)</f>
        <v>62018</v>
      </c>
      <c r="AD217" s="194" t="str">
        <f>CONCATENATE(AA217,AB217)</f>
        <v>62018</v>
      </c>
      <c r="AE217" s="195">
        <f>IF(M217="CBU","",IF(M217="CNR","",IF(K217="Code Out","",MIN(M217,N217))))</f>
        <v>43272</v>
      </c>
      <c r="AF217" s="196" t="b">
        <f>--(ISNUMBER(SEARCH("lab",P217)))
=--(ISNUMBER(SEARCH("fred",A209)))</f>
        <v>1</v>
      </c>
      <c r="AG217" s="199" t="b">
        <f>IF(AE217&lt;$J$4,TRUE,FALSE)</f>
        <v>1</v>
      </c>
      <c r="AH217" s="192">
        <f ca="1">IF(K217="CBU","",IF(K217="CNR","",IF(K217="Code Out","",SUM(M217-$U$1))))</f>
        <v>-7.4318387731473194</v>
      </c>
      <c r="AI217" s="192">
        <f ca="1">COUNTIF(O217,"Del")</f>
        <v>1</v>
      </c>
      <c r="AJ217" s="192">
        <f>COUNTIF(P217,"*at lab*")</f>
        <v>0</v>
      </c>
      <c r="AK217" s="200">
        <f ca="1">SUM(AI217:AJ217)</f>
        <v>1</v>
      </c>
    </row>
    <row r="218" spans="1:37" s="75" customFormat="1" ht="25.5" x14ac:dyDescent="0.2">
      <c r="A218" s="207" t="s">
        <v>1043</v>
      </c>
      <c r="B218" s="315" t="s">
        <v>1018</v>
      </c>
      <c r="C218" s="309"/>
      <c r="D218" s="309" t="s">
        <v>973</v>
      </c>
      <c r="E218" s="309"/>
      <c r="F218" s="309" t="s">
        <v>282</v>
      </c>
      <c r="G218" s="309"/>
      <c r="H218" s="309"/>
      <c r="I218" s="309" t="s">
        <v>188</v>
      </c>
      <c r="J218" s="312">
        <v>6625012886515</v>
      </c>
      <c r="K218" s="299">
        <v>42928</v>
      </c>
      <c r="L218" s="310">
        <v>360</v>
      </c>
      <c r="M218" s="202">
        <f>IF(K218="cnr","CNR",IF(K218="CBU", "CBU",IF(K218="Code Out","Code Out",K218+L218)))</f>
        <v>43288</v>
      </c>
      <c r="N218" s="203">
        <f>M218</f>
        <v>43288</v>
      </c>
      <c r="O218" s="205" t="str">
        <f ca="1">IF(AJ218=1,"",IF(AH218&lt;1,"DEL",""))</f>
        <v/>
      </c>
      <c r="P218" s="299" t="s">
        <v>851</v>
      </c>
      <c r="Q218" s="313"/>
      <c r="R218" s="313"/>
      <c r="S218" s="313" t="s">
        <v>1470</v>
      </c>
      <c r="T218" s="313"/>
      <c r="U218" s="298" t="s">
        <v>1493</v>
      </c>
      <c r="V218" s="320" t="s">
        <v>373</v>
      </c>
      <c r="W218" s="172"/>
      <c r="X218" s="137"/>
      <c r="Y218" s="191">
        <f>IF(AF218,MONTH(M218),"")</f>
        <v>7</v>
      </c>
      <c r="Z218" s="192">
        <f>IF(AF218,YEAR(M218),"")</f>
        <v>2018</v>
      </c>
      <c r="AA218" s="191">
        <f>IF(AF218,MONTH(N218),"")</f>
        <v>7</v>
      </c>
      <c r="AB218" s="191">
        <f>IF(AF218,YEAR(N218),"")</f>
        <v>2018</v>
      </c>
      <c r="AC218" s="193" t="str">
        <f>CONCATENATE(Y218,Z218)</f>
        <v>72018</v>
      </c>
      <c r="AD218" s="194" t="str">
        <f>CONCATENATE(AA218,AB218)</f>
        <v>72018</v>
      </c>
      <c r="AE218" s="195">
        <f>IF(M218="CBU","",IF(M218="CNR","",IF(K218="Code Out","",MIN(M218,N218))))</f>
        <v>43288</v>
      </c>
      <c r="AF218" s="196" t="b">
        <f>--(ISNUMBER(SEARCH("lab",P218)))
=--(ISNUMBER(SEARCH("fred",A210)))</f>
        <v>1</v>
      </c>
      <c r="AG218" s="199" t="b">
        <f>IF(AE218&lt;$J$4,TRUE,FALSE)</f>
        <v>1</v>
      </c>
      <c r="AH218" s="192">
        <f ca="1">IF(K218="CBU","",IF(K218="CNR","",IF(K218="Code Out","",SUM(M218-$U$1))))</f>
        <v>8.5681612268526806</v>
      </c>
      <c r="AI218" s="192">
        <f ca="1">COUNTIF(O218,"Del")</f>
        <v>0</v>
      </c>
      <c r="AJ218" s="192">
        <f>COUNTIF(P218,"*at lab*")</f>
        <v>0</v>
      </c>
      <c r="AK218" s="200">
        <f ca="1">SUM(AI218:AJ218)</f>
        <v>0</v>
      </c>
    </row>
    <row r="219" spans="1:37" s="75" customFormat="1" ht="25.5" x14ac:dyDescent="0.2">
      <c r="A219" s="207" t="s">
        <v>121</v>
      </c>
      <c r="B219" s="315" t="s">
        <v>122</v>
      </c>
      <c r="C219" s="310"/>
      <c r="D219" s="311">
        <v>2</v>
      </c>
      <c r="E219" s="311"/>
      <c r="F219" s="309" t="s">
        <v>711</v>
      </c>
      <c r="G219" s="309" t="s">
        <v>772</v>
      </c>
      <c r="H219" s="309" t="s">
        <v>855</v>
      </c>
      <c r="I219" s="309" t="s">
        <v>557</v>
      </c>
      <c r="J219" s="316">
        <v>5120005292552</v>
      </c>
      <c r="K219" s="299">
        <v>43173</v>
      </c>
      <c r="L219" s="310">
        <v>180</v>
      </c>
      <c r="M219" s="202">
        <f>IF(K219="cnr","CNR",IF(K219="CBU", "CBU",IF(K219="Code Out","Code Out",K219+L219)))</f>
        <v>43353</v>
      </c>
      <c r="N219" s="203">
        <f>M219</f>
        <v>43353</v>
      </c>
      <c r="O219" s="205" t="str">
        <f ca="1">IF(AJ219=1,"",IF(AH219&lt;1,"DEL",""))</f>
        <v/>
      </c>
      <c r="P219" s="299"/>
      <c r="Q219" s="313"/>
      <c r="R219" s="313"/>
      <c r="S219" s="313" t="s">
        <v>398</v>
      </c>
      <c r="T219" s="313"/>
      <c r="U219" s="298" t="s">
        <v>1533</v>
      </c>
      <c r="V219" s="314" t="s">
        <v>370</v>
      </c>
      <c r="W219" s="173"/>
      <c r="X219" s="139"/>
      <c r="Y219" s="191">
        <f>IF(AF219,MONTH(M219),"")</f>
        <v>9</v>
      </c>
      <c r="Z219" s="192">
        <f>IF(AF219,YEAR(M219),"")</f>
        <v>2018</v>
      </c>
      <c r="AA219" s="191">
        <f>IF(AF219,MONTH(N219),"")</f>
        <v>9</v>
      </c>
      <c r="AB219" s="191">
        <f>IF(AF219,YEAR(N219),"")</f>
        <v>2018</v>
      </c>
      <c r="AC219" s="193" t="str">
        <f>CONCATENATE(Y219,Z219)</f>
        <v>92018</v>
      </c>
      <c r="AD219" s="194" t="str">
        <f>CONCATENATE(AA219,AB219)</f>
        <v>92018</v>
      </c>
      <c r="AE219" s="195">
        <f>IF(M219="CBU","",IF(M219="CNR","",IF(K219="Code Out","",MIN(M219,N219))))</f>
        <v>43353</v>
      </c>
      <c r="AF219" s="196" t="b">
        <f>--(ISNUMBER(SEARCH("lab",P219)))
=--(ISNUMBER(SEARCH("fred",A211)))</f>
        <v>1</v>
      </c>
      <c r="AG219" s="199" t="b">
        <f>IF(AE219&lt;$J$4,TRUE,FALSE)</f>
        <v>0</v>
      </c>
      <c r="AH219" s="192">
        <f ca="1">IF(K219="CBU","",IF(K219="CNR","",IF(K219="Code Out","",SUM(M219-$U$1))))</f>
        <v>73.568161226852681</v>
      </c>
      <c r="AI219" s="192">
        <f ca="1">COUNTIF(O219,"Del")</f>
        <v>0</v>
      </c>
      <c r="AJ219" s="192">
        <f>COUNTIF(P219,"*at lab*")</f>
        <v>0</v>
      </c>
      <c r="AK219" s="200">
        <f ca="1">SUM(AI219:AJ219)</f>
        <v>0</v>
      </c>
    </row>
    <row r="220" spans="1:37" s="75" customFormat="1" ht="28.5" x14ac:dyDescent="0.2">
      <c r="A220" s="207" t="s">
        <v>313</v>
      </c>
      <c r="B220" s="309" t="s">
        <v>6</v>
      </c>
      <c r="C220" s="310"/>
      <c r="D220" s="309" t="s">
        <v>973</v>
      </c>
      <c r="E220" s="309"/>
      <c r="F220" s="309" t="s">
        <v>612</v>
      </c>
      <c r="G220" s="309" t="s">
        <v>777</v>
      </c>
      <c r="H220" s="309" t="s">
        <v>973</v>
      </c>
      <c r="I220" s="311" t="s">
        <v>5</v>
      </c>
      <c r="J220" s="312">
        <v>5120013390369</v>
      </c>
      <c r="K220" s="299">
        <v>43138</v>
      </c>
      <c r="L220" s="311">
        <v>180</v>
      </c>
      <c r="M220" s="202">
        <f>IF(K220="cnr","CNR",IF(K220="CBU", "CBU",IF(K220="Code Out","Code Out",K220+L220)))</f>
        <v>43318</v>
      </c>
      <c r="N220" s="203">
        <f>M220</f>
        <v>43318</v>
      </c>
      <c r="O220" s="205" t="str">
        <f ca="1">IF(AJ220=1,"",IF(AH220&lt;1,"DEL",""))</f>
        <v/>
      </c>
      <c r="P220" s="299"/>
      <c r="Q220" s="313"/>
      <c r="R220" s="313"/>
      <c r="S220" s="313" t="s">
        <v>398</v>
      </c>
      <c r="T220" s="313"/>
      <c r="U220" s="298" t="s">
        <v>1526</v>
      </c>
      <c r="V220" s="314" t="s">
        <v>686</v>
      </c>
      <c r="W220" s="173"/>
      <c r="X220" s="139"/>
      <c r="Y220" s="191">
        <f>IF(AF220,MONTH(M220),"")</f>
        <v>8</v>
      </c>
      <c r="Z220" s="192">
        <f>IF(AF220,YEAR(M220),"")</f>
        <v>2018</v>
      </c>
      <c r="AA220" s="191">
        <f>IF(AF220,MONTH(N220),"")</f>
        <v>8</v>
      </c>
      <c r="AB220" s="191">
        <f>IF(AF220,YEAR(N220),"")</f>
        <v>2018</v>
      </c>
      <c r="AC220" s="193" t="str">
        <f>CONCATENATE(Y220,Z220)</f>
        <v>82018</v>
      </c>
      <c r="AD220" s="194" t="str">
        <f>CONCATENATE(AA220,AB220)</f>
        <v>82018</v>
      </c>
      <c r="AE220" s="195">
        <f>IF(M220="CBU","",IF(M220="CNR","",IF(K220="Code Out","",MIN(M220,N220))))</f>
        <v>43318</v>
      </c>
      <c r="AF220" s="196" t="b">
        <f>--(ISNUMBER(SEARCH("lab",P220)))
=--(ISNUMBER(SEARCH("fred",A212)))</f>
        <v>1</v>
      </c>
      <c r="AG220" s="199" t="b">
        <f>IF(AE220&lt;$J$4,TRUE,FALSE)</f>
        <v>0</v>
      </c>
      <c r="AH220" s="192">
        <f ca="1">IF(K220="CBU","",IF(K220="CNR","",IF(K220="Code Out","",SUM(M220-$U$1))))</f>
        <v>38.568161226852681</v>
      </c>
      <c r="AI220" s="192">
        <f ca="1">COUNTIF(O220,"Del")</f>
        <v>0</v>
      </c>
      <c r="AJ220" s="192">
        <f>COUNTIF(P220,"*at lab*")</f>
        <v>0</v>
      </c>
      <c r="AK220" s="200">
        <f ca="1">SUM(AI220:AJ220)</f>
        <v>0</v>
      </c>
    </row>
    <row r="221" spans="1:37" s="75" customFormat="1" ht="25.5" x14ac:dyDescent="0.2">
      <c r="A221" s="401" t="s">
        <v>1520</v>
      </c>
      <c r="B221" s="309" t="s">
        <v>200</v>
      </c>
      <c r="C221" s="310"/>
      <c r="D221" s="311">
        <v>9</v>
      </c>
      <c r="E221" s="311"/>
      <c r="F221" s="309" t="s">
        <v>966</v>
      </c>
      <c r="G221" s="309" t="s">
        <v>794</v>
      </c>
      <c r="H221" s="309" t="s">
        <v>977</v>
      </c>
      <c r="I221" s="309" t="s">
        <v>557</v>
      </c>
      <c r="J221" s="312">
        <v>5120013741928</v>
      </c>
      <c r="K221" s="299" t="s">
        <v>999</v>
      </c>
      <c r="L221" s="311">
        <v>180</v>
      </c>
      <c r="M221" s="202" t="str">
        <f>IF(K221="cnr","CNR",IF(K221="CBU", "CBU",IF(K221="Code Out","Code Out",K221+L221)))</f>
        <v>Code Out</v>
      </c>
      <c r="N221" s="203" t="str">
        <f>M221</f>
        <v>Code Out</v>
      </c>
      <c r="O221" s="205" t="str">
        <f>IF(AJ221=1,"",IF(AH221&lt;1,"DEL",""))</f>
        <v/>
      </c>
      <c r="P221" s="317"/>
      <c r="Q221" s="313"/>
      <c r="R221" s="313"/>
      <c r="S221" s="313" t="s">
        <v>398</v>
      </c>
      <c r="T221" s="358"/>
      <c r="U221" s="412" t="s">
        <v>1539</v>
      </c>
      <c r="V221" s="314" t="s">
        <v>683</v>
      </c>
      <c r="W221" s="170"/>
      <c r="X221" s="138"/>
      <c r="Y221" s="197" t="e">
        <f>IF(AF221,MONTH(M221),"")</f>
        <v>#VALUE!</v>
      </c>
      <c r="Z221" s="198" t="e">
        <f>IF(AF221,YEAR(M221),"")</f>
        <v>#VALUE!</v>
      </c>
      <c r="AA221" s="191" t="e">
        <f>IF(AF221,MONTH(N221),"")</f>
        <v>#VALUE!</v>
      </c>
      <c r="AB221" s="191" t="e">
        <f>IF(AF221,YEAR(N221),"")</f>
        <v>#VALUE!</v>
      </c>
      <c r="AC221" s="193" t="e">
        <f>CONCATENATE(Y221,Z221)</f>
        <v>#VALUE!</v>
      </c>
      <c r="AD221" s="194" t="e">
        <f>CONCATENATE(AA221,AB221)</f>
        <v>#VALUE!</v>
      </c>
      <c r="AE221" s="195" t="str">
        <f>IF(M221="CBU","",IF(M221="CNR","",IF(K221="Code Out","",MIN(M221,N221))))</f>
        <v/>
      </c>
      <c r="AF221" s="196" t="b">
        <f>--(ISNUMBER(SEARCH("lab",P221)))
=--(ISNUMBER(SEARCH("fred",A213)))</f>
        <v>1</v>
      </c>
      <c r="AG221" s="199" t="b">
        <f>IF(AE221&lt;$J$4,TRUE,FALSE)</f>
        <v>0</v>
      </c>
      <c r="AH221" s="192" t="str">
        <f>IF(K221="CBU","",IF(K221="CNR","",IF(K221="Code Out","",SUM(M221-$U$1))))</f>
        <v/>
      </c>
      <c r="AI221" s="192">
        <f>COUNTIF(O221,"Del")</f>
        <v>0</v>
      </c>
      <c r="AJ221" s="192">
        <f>COUNTIF(P221,"*at lab*")</f>
        <v>0</v>
      </c>
      <c r="AK221" s="200">
        <f>SUM(AI221:AJ221)</f>
        <v>0</v>
      </c>
    </row>
    <row r="222" spans="1:37" s="75" customFormat="1" ht="25.5" x14ac:dyDescent="0.2">
      <c r="A222" s="207" t="s">
        <v>312</v>
      </c>
      <c r="B222" s="309" t="s">
        <v>202</v>
      </c>
      <c r="C222" s="310"/>
      <c r="D222" s="309" t="s">
        <v>855</v>
      </c>
      <c r="E222" s="309"/>
      <c r="F222" s="309" t="s">
        <v>533</v>
      </c>
      <c r="G222" s="309"/>
      <c r="H222" s="309" t="s">
        <v>870</v>
      </c>
      <c r="I222" s="311" t="s">
        <v>5</v>
      </c>
      <c r="J222" s="316">
        <v>5120014267557</v>
      </c>
      <c r="K222" s="299">
        <v>43046</v>
      </c>
      <c r="L222" s="311">
        <v>180</v>
      </c>
      <c r="M222" s="202">
        <f>IF(K222="cnr","CNR",IF(K222="CBU", "CBU",IF(K222="Code Out","Code Out",K222+L222)))</f>
        <v>43226</v>
      </c>
      <c r="N222" s="203">
        <f>M222</f>
        <v>43226</v>
      </c>
      <c r="O222" s="205" t="str">
        <f>IF(AJ222=1,"",IF(AH222&lt;1,"DEL",""))</f>
        <v/>
      </c>
      <c r="P222" s="299" t="s">
        <v>1551</v>
      </c>
      <c r="Q222" s="313"/>
      <c r="R222" s="313" t="s">
        <v>398</v>
      </c>
      <c r="S222" s="313"/>
      <c r="T222" s="313"/>
      <c r="U222" s="318" t="s">
        <v>1512</v>
      </c>
      <c r="V222" s="314" t="s">
        <v>1528</v>
      </c>
      <c r="W222" s="170"/>
      <c r="X222" s="138"/>
      <c r="Y222" s="197" t="str">
        <f>IF(AF222,MONTH(M222),"")</f>
        <v/>
      </c>
      <c r="Z222" s="198" t="str">
        <f>IF(AF222,YEAR(M222),"")</f>
        <v/>
      </c>
      <c r="AA222" s="191" t="str">
        <f>IF(AF222,MONTH(N222),"")</f>
        <v/>
      </c>
      <c r="AB222" s="191" t="str">
        <f>IF(AF222,YEAR(N222),"")</f>
        <v/>
      </c>
      <c r="AC222" s="193" t="str">
        <f>CONCATENATE(Y222,Z222)</f>
        <v/>
      </c>
      <c r="AD222" s="194" t="str">
        <f>CONCATENATE(AA222,AB222)</f>
        <v/>
      </c>
      <c r="AE222" s="195">
        <f>IF(M222="CBU","",IF(M222="CNR","",IF(K222="Code Out","",MIN(M222,N222))))</f>
        <v>43226</v>
      </c>
      <c r="AF222" s="196" t="b">
        <f>--(ISNUMBER(SEARCH("lab",P222)))
=--(ISNUMBER(SEARCH("fred",A214)))</f>
        <v>0</v>
      </c>
      <c r="AG222" s="199" t="b">
        <f>IF(AE222&lt;$J$4,TRUE,FALSE)</f>
        <v>1</v>
      </c>
      <c r="AH222" s="192">
        <f ca="1">IF(K222="CBU","",IF(K222="CNR","",IF(K222="Code Out","",SUM(M222-$U$1))))</f>
        <v>-53.431838773147319</v>
      </c>
      <c r="AI222" s="192">
        <f>COUNTIF(O222,"Del")</f>
        <v>0</v>
      </c>
      <c r="AJ222" s="192">
        <f>COUNTIF(P222,"*at lab*")</f>
        <v>1</v>
      </c>
      <c r="AK222" s="200">
        <f>SUM(AI222:AJ222)</f>
        <v>1</v>
      </c>
    </row>
    <row r="223" spans="1:37" s="75" customFormat="1" ht="25.5" x14ac:dyDescent="0.2">
      <c r="A223" s="207" t="s">
        <v>287</v>
      </c>
      <c r="B223" s="315" t="s">
        <v>109</v>
      </c>
      <c r="C223" s="310"/>
      <c r="D223" s="311">
        <v>2</v>
      </c>
      <c r="E223" s="311"/>
      <c r="F223" s="309" t="s">
        <v>796</v>
      </c>
      <c r="G223" s="309" t="s">
        <v>773</v>
      </c>
      <c r="H223" s="309" t="s">
        <v>870</v>
      </c>
      <c r="I223" s="311" t="s">
        <v>5</v>
      </c>
      <c r="J223" s="316">
        <v>5120001695776</v>
      </c>
      <c r="K223" s="299">
        <v>43105</v>
      </c>
      <c r="L223" s="310">
        <v>180</v>
      </c>
      <c r="M223" s="202">
        <f>IF(K223="cnr","CNR",IF(K223="CBU", "CBU",IF(K223="Code Out","Code Out",K223+L223)))</f>
        <v>43285</v>
      </c>
      <c r="N223" s="203">
        <f>M223</f>
        <v>43285</v>
      </c>
      <c r="O223" s="205" t="str">
        <f ca="1">IF(AJ223=1,"",IF(AH223&lt;1,"DEL",""))</f>
        <v/>
      </c>
      <c r="P223" s="299" t="s">
        <v>851</v>
      </c>
      <c r="Q223" s="313"/>
      <c r="R223" s="313"/>
      <c r="S223" s="313" t="s">
        <v>398</v>
      </c>
      <c r="T223" s="313"/>
      <c r="U223" s="298" t="s">
        <v>1517</v>
      </c>
      <c r="V223" s="314" t="s">
        <v>367</v>
      </c>
      <c r="W223" s="303"/>
      <c r="X223" s="302"/>
      <c r="Y223" s="197">
        <f>IF(AF223,MONTH(M223),"")</f>
        <v>7</v>
      </c>
      <c r="Z223" s="198">
        <f>IF(AF223,YEAR(M223),"")</f>
        <v>2018</v>
      </c>
      <c r="AA223" s="191">
        <f>IF(AF223,MONTH(N223),"")</f>
        <v>7</v>
      </c>
      <c r="AB223" s="191">
        <f>IF(AF223,YEAR(N223),"")</f>
        <v>2018</v>
      </c>
      <c r="AC223" s="193" t="str">
        <f>CONCATENATE(Y223,Z223)</f>
        <v>72018</v>
      </c>
      <c r="AD223" s="194" t="str">
        <f>CONCATENATE(AA223,AB223)</f>
        <v>72018</v>
      </c>
      <c r="AE223" s="195">
        <f>IF(M223="CBU","",IF(M223="CNR","",IF(K223="Code Out","",MIN(M223,N223))))</f>
        <v>43285</v>
      </c>
      <c r="AF223" s="196" t="b">
        <f>--(ISNUMBER(SEARCH("lab",P223)))
=--(ISNUMBER(SEARCH("fred",A216)))</f>
        <v>1</v>
      </c>
      <c r="AG223" s="199" t="b">
        <f>IF(AE223&lt;$J$4,TRUE,FALSE)</f>
        <v>1</v>
      </c>
      <c r="AH223" s="192">
        <f ca="1">IF(K223="CBU","",IF(K223="CNR","",IF(K223="Code Out","",SUM(M223-$U$1))))</f>
        <v>5.5681612268526806</v>
      </c>
      <c r="AI223" s="192">
        <f ca="1">COUNTIF(O223,"Del")</f>
        <v>0</v>
      </c>
      <c r="AJ223" s="192">
        <f>COUNTIF(P223,"*at lab*")</f>
        <v>0</v>
      </c>
      <c r="AK223" s="200">
        <f ca="1">SUM(AI223:AJ223)</f>
        <v>0</v>
      </c>
    </row>
    <row r="224" spans="1:37" s="75" customFormat="1" ht="25.5" x14ac:dyDescent="0.2">
      <c r="A224" s="207" t="s">
        <v>264</v>
      </c>
      <c r="B224" s="309">
        <v>1104355962</v>
      </c>
      <c r="C224" s="310"/>
      <c r="D224" s="311">
        <v>9</v>
      </c>
      <c r="E224" s="311"/>
      <c r="F224" s="309" t="s">
        <v>966</v>
      </c>
      <c r="G224" s="309" t="s">
        <v>788</v>
      </c>
      <c r="H224" s="309" t="s">
        <v>977</v>
      </c>
      <c r="I224" s="311" t="s">
        <v>5</v>
      </c>
      <c r="J224" s="312">
        <v>5120013741928</v>
      </c>
      <c r="K224" s="299">
        <v>43175</v>
      </c>
      <c r="L224" s="311">
        <v>180</v>
      </c>
      <c r="M224" s="202">
        <f>IF(K224="cnr","CNR",IF(K224="CBU", "CBU",IF(K224="Code Out","Code Out",K224+L224)))</f>
        <v>43355</v>
      </c>
      <c r="N224" s="203">
        <f>M224</f>
        <v>43355</v>
      </c>
      <c r="O224" s="205" t="str">
        <f ca="1">IF(AJ224=1,"",IF(AH224&lt;1,"DEL",""))</f>
        <v/>
      </c>
      <c r="P224" s="299"/>
      <c r="Q224" s="313"/>
      <c r="R224" s="313"/>
      <c r="S224" s="313"/>
      <c r="T224" s="313"/>
      <c r="U224" s="298" t="s">
        <v>1533</v>
      </c>
      <c r="V224" s="314" t="s">
        <v>683</v>
      </c>
      <c r="W224" s="173"/>
      <c r="X224" s="139"/>
      <c r="Y224" s="191">
        <f>IF(AF224,MONTH(M224),"")</f>
        <v>9</v>
      </c>
      <c r="Z224" s="192">
        <f>IF(AF224,YEAR(M224),"")</f>
        <v>2018</v>
      </c>
      <c r="AA224" s="191">
        <f>IF(AF224,MONTH(N224),"")</f>
        <v>9</v>
      </c>
      <c r="AB224" s="191">
        <f>IF(AF224,YEAR(N224),"")</f>
        <v>2018</v>
      </c>
      <c r="AC224" s="193" t="str">
        <f>CONCATENATE(Y224,Z224)</f>
        <v>92018</v>
      </c>
      <c r="AD224" s="194" t="str">
        <f>CONCATENATE(AA224,AB224)</f>
        <v>92018</v>
      </c>
      <c r="AE224" s="195">
        <f>IF(M224="CBU","",IF(M224="CNR","",IF(K224="Code Out","",MIN(M224,N224))))</f>
        <v>43355</v>
      </c>
      <c r="AF224" s="196" t="b">
        <f>--(ISNUMBER(SEARCH("lab",P224)))
=--(ISNUMBER(SEARCH("fred",A216)))</f>
        <v>1</v>
      </c>
      <c r="AG224" s="199" t="b">
        <f>IF(AE224&lt;$J$4,TRUE,FALSE)</f>
        <v>0</v>
      </c>
      <c r="AH224" s="192">
        <f ca="1">IF(K224="CBU","",IF(K224="CNR","",IF(K224="Code Out","",SUM(M224-$U$1))))</f>
        <v>75.568161226852681</v>
      </c>
      <c r="AI224" s="192">
        <f ca="1">COUNTIF(O224,"Del")</f>
        <v>0</v>
      </c>
      <c r="AJ224" s="192">
        <f>COUNTIF(P224,"*at lab*")</f>
        <v>0</v>
      </c>
      <c r="AK224" s="200">
        <f ca="1">SUM(AI224:AJ224)</f>
        <v>0</v>
      </c>
    </row>
    <row r="225" spans="1:37" s="75" customFormat="1" ht="25.5" x14ac:dyDescent="0.2">
      <c r="A225" s="207" t="s">
        <v>263</v>
      </c>
      <c r="B225" s="309" t="s">
        <v>37</v>
      </c>
      <c r="C225" s="310"/>
      <c r="D225" s="311">
        <v>3</v>
      </c>
      <c r="E225" s="311"/>
      <c r="F225" s="309" t="s">
        <v>38</v>
      </c>
      <c r="G225" s="309" t="s">
        <v>782</v>
      </c>
      <c r="H225" s="309" t="s">
        <v>973</v>
      </c>
      <c r="I225" s="311" t="s">
        <v>5</v>
      </c>
      <c r="J225" s="312">
        <v>5120008213441</v>
      </c>
      <c r="K225" s="299">
        <v>43104</v>
      </c>
      <c r="L225" s="311">
        <v>180</v>
      </c>
      <c r="M225" s="202">
        <f>IF(K225="cnr","CNR",IF(K225="CBU", "CBU",IF(K225="Code Out","Code Out",K225+L225)))</f>
        <v>43284</v>
      </c>
      <c r="N225" s="203">
        <f>M225</f>
        <v>43284</v>
      </c>
      <c r="O225" s="205" t="str">
        <f ca="1">IF(AJ225=1,"",IF(AH225&lt;1,"DEL",""))</f>
        <v/>
      </c>
      <c r="P225" s="299" t="s">
        <v>851</v>
      </c>
      <c r="Q225" s="313"/>
      <c r="R225" s="313"/>
      <c r="S225" s="313" t="s">
        <v>398</v>
      </c>
      <c r="T225" s="313"/>
      <c r="U225" s="298" t="s">
        <v>1517</v>
      </c>
      <c r="V225" s="314" t="s">
        <v>686</v>
      </c>
      <c r="W225" s="173"/>
      <c r="X225" s="139"/>
      <c r="Y225" s="191">
        <f>IF(AF225,MONTH(M225),"")</f>
        <v>7</v>
      </c>
      <c r="Z225" s="192">
        <f>IF(AF225,YEAR(M225),"")</f>
        <v>2018</v>
      </c>
      <c r="AA225" s="191">
        <f>IF(AF225,MONTH(N225),"")</f>
        <v>7</v>
      </c>
      <c r="AB225" s="191">
        <f>IF(AF225,YEAR(N225),"")</f>
        <v>2018</v>
      </c>
      <c r="AC225" s="193" t="str">
        <f>CONCATENATE(Y225,Z225)</f>
        <v>72018</v>
      </c>
      <c r="AD225" s="194" t="str">
        <f>CONCATENATE(AA225,AB225)</f>
        <v>72018</v>
      </c>
      <c r="AE225" s="195">
        <f>IF(M225="CBU","",IF(M225="CNR","",IF(K225="Code Out","",MIN(M225,N225))))</f>
        <v>43284</v>
      </c>
      <c r="AF225" s="196" t="b">
        <f>--(ISNUMBER(SEARCH("lab",P225)))
=--(ISNUMBER(SEARCH("fred",A218)))</f>
        <v>1</v>
      </c>
      <c r="AG225" s="199" t="b">
        <f>IF(AE225&lt;$J$4,TRUE,FALSE)</f>
        <v>1</v>
      </c>
      <c r="AH225" s="192">
        <f ca="1">IF(K225="CBU","",IF(K225="CNR","",IF(K225="Code Out","",SUM(M225-$U$1))))</f>
        <v>4.5681612268526806</v>
      </c>
      <c r="AI225" s="192">
        <f ca="1">COUNTIF(O225,"Del")</f>
        <v>0</v>
      </c>
      <c r="AJ225" s="192">
        <f>COUNTIF(P225,"*at lab*")</f>
        <v>0</v>
      </c>
      <c r="AK225" s="200">
        <f ca="1">SUM(AI225:AJ225)</f>
        <v>0</v>
      </c>
    </row>
    <row r="226" spans="1:37" s="75" customFormat="1" ht="25.5" x14ac:dyDescent="0.2">
      <c r="A226" s="207" t="s">
        <v>260</v>
      </c>
      <c r="B226" s="309" t="s">
        <v>261</v>
      </c>
      <c r="C226" s="311" t="s">
        <v>750</v>
      </c>
      <c r="D226" s="311">
        <v>2</v>
      </c>
      <c r="E226" s="311"/>
      <c r="F226" s="309" t="s">
        <v>262</v>
      </c>
      <c r="G226" s="309"/>
      <c r="H226" s="309" t="s">
        <v>870</v>
      </c>
      <c r="I226" s="311" t="s">
        <v>1390</v>
      </c>
      <c r="J226" s="312">
        <v>6635005785285</v>
      </c>
      <c r="K226" s="299">
        <v>42488</v>
      </c>
      <c r="L226" s="311">
        <v>1080</v>
      </c>
      <c r="M226" s="202">
        <f>IF(K226="cnr","CNR",IF(K226="CBU", "CBU",IF(K226="Code Out","Code Out",K226+L226)))</f>
        <v>43568</v>
      </c>
      <c r="N226" s="203">
        <f>M226</f>
        <v>43568</v>
      </c>
      <c r="O226" s="205" t="str">
        <f ca="1">IF(AJ226=1,"",IF(AH226&lt;1,"DEL",""))</f>
        <v/>
      </c>
      <c r="P226" s="317"/>
      <c r="Q226" s="313"/>
      <c r="R226" s="313"/>
      <c r="S226" s="313" t="s">
        <v>1370</v>
      </c>
      <c r="T226" s="313"/>
      <c r="U226" s="298" t="s">
        <v>1407</v>
      </c>
      <c r="V226" s="314" t="s">
        <v>690</v>
      </c>
      <c r="W226" s="173"/>
      <c r="X226" s="139"/>
      <c r="Y226" s="191">
        <f>IF(AF226,MONTH(M226),"")</f>
        <v>4</v>
      </c>
      <c r="Z226" s="192">
        <f>IF(AF226,YEAR(M226),"")</f>
        <v>2019</v>
      </c>
      <c r="AA226" s="191">
        <f>IF(AF226,MONTH(N226),"")</f>
        <v>4</v>
      </c>
      <c r="AB226" s="191">
        <f>IF(AF226,YEAR(N226),"")</f>
        <v>2019</v>
      </c>
      <c r="AC226" s="193" t="str">
        <f>CONCATENATE(Y226,Z226)</f>
        <v>42019</v>
      </c>
      <c r="AD226" s="194" t="str">
        <f>CONCATENATE(AA226,AB226)</f>
        <v>42019</v>
      </c>
      <c r="AE226" s="195">
        <f>IF(M226="CBU","",IF(M226="CNR","",IF(K226="Code Out","",MIN(M226,N226))))</f>
        <v>43568</v>
      </c>
      <c r="AF226" s="196" t="b">
        <f>--(ISNUMBER(SEARCH("lab",P226)))
=--(ISNUMBER(SEARCH("fred",A218)))</f>
        <v>1</v>
      </c>
      <c r="AG226" s="199" t="b">
        <f>IF(AE226&lt;$J$4,TRUE,FALSE)</f>
        <v>0</v>
      </c>
      <c r="AH226" s="192">
        <f ca="1">IF(K226="CBU","",IF(K226="CNR","",IF(K226="Code Out","",SUM(M226-$U$1))))</f>
        <v>288.56816122685268</v>
      </c>
      <c r="AI226" s="192">
        <f ca="1">COUNTIF(O226,"Del")</f>
        <v>0</v>
      </c>
      <c r="AJ226" s="192">
        <f>COUNTIF(P226,"*at lab*")</f>
        <v>0</v>
      </c>
      <c r="AK226" s="200">
        <f ca="1">SUM(AI226:AJ226)</f>
        <v>0</v>
      </c>
    </row>
    <row r="227" spans="1:37" s="75" customFormat="1" ht="25.5" x14ac:dyDescent="0.2">
      <c r="A227" s="207" t="s">
        <v>270</v>
      </c>
      <c r="B227" s="309" t="s">
        <v>970</v>
      </c>
      <c r="C227" s="310"/>
      <c r="D227" s="309" t="s">
        <v>855</v>
      </c>
      <c r="E227" s="309"/>
      <c r="F227" s="309" t="s">
        <v>1345</v>
      </c>
      <c r="G227" s="309" t="s">
        <v>772</v>
      </c>
      <c r="H227" s="309" t="s">
        <v>855</v>
      </c>
      <c r="I227" s="311" t="s">
        <v>5</v>
      </c>
      <c r="J227" s="312">
        <v>5120013995605</v>
      </c>
      <c r="K227" s="299">
        <v>43046</v>
      </c>
      <c r="L227" s="311">
        <v>180</v>
      </c>
      <c r="M227" s="202">
        <f>IF(K227="cnr","CNR",IF(K227="CBU", "CBU",IF(K227="Code Out","Code Out",K227+L227)))</f>
        <v>43226</v>
      </c>
      <c r="N227" s="203">
        <f>M227</f>
        <v>43226</v>
      </c>
      <c r="O227" s="205" t="str">
        <f>IF(AJ227=1,"",IF(AH227&lt;1,"DEL",""))</f>
        <v/>
      </c>
      <c r="P227" s="299" t="s">
        <v>1551</v>
      </c>
      <c r="Q227" s="313"/>
      <c r="R227" s="313" t="s">
        <v>398</v>
      </c>
      <c r="S227" s="313"/>
      <c r="T227" s="313"/>
      <c r="U227" s="298" t="s">
        <v>1512</v>
      </c>
      <c r="V227" s="314" t="s">
        <v>1528</v>
      </c>
      <c r="W227" s="173"/>
      <c r="X227" s="139"/>
      <c r="Y227" s="191" t="str">
        <f>IF(AF227,MONTH(M227),"")</f>
        <v/>
      </c>
      <c r="Z227" s="192" t="str">
        <f>IF(AF227,YEAR(M227),"")</f>
        <v/>
      </c>
      <c r="AA227" s="191" t="str">
        <f>IF(AF227,MONTH(N227),"")</f>
        <v/>
      </c>
      <c r="AB227" s="191" t="str">
        <f>IF(AF227,YEAR(N227),"")</f>
        <v/>
      </c>
      <c r="AC227" s="193" t="str">
        <f>CONCATENATE(Y227,Z227)</f>
        <v/>
      </c>
      <c r="AD227" s="194" t="str">
        <f>CONCATENATE(AA227,AB227)</f>
        <v/>
      </c>
      <c r="AE227" s="195">
        <f>IF(M227="CBU","",IF(M227="CNR","",IF(K227="Code Out","",MIN(M227,N227))))</f>
        <v>43226</v>
      </c>
      <c r="AF227" s="196" t="b">
        <f>--(ISNUMBER(SEARCH("lab",P227)))
=--(ISNUMBER(SEARCH("fred",A219)))</f>
        <v>0</v>
      </c>
      <c r="AG227" s="199" t="b">
        <f>IF(AE227&lt;$J$4,TRUE,FALSE)</f>
        <v>1</v>
      </c>
      <c r="AH227" s="192">
        <f ca="1">IF(K227="CBU","",IF(K227="CNR","",IF(K227="Code Out","",SUM(M227-$U$1))))</f>
        <v>-53.431838773147319</v>
      </c>
      <c r="AI227" s="192">
        <f>COUNTIF(O227,"Del")</f>
        <v>0</v>
      </c>
      <c r="AJ227" s="192">
        <f>COUNTIF(P227,"*at lab*")</f>
        <v>1</v>
      </c>
      <c r="AK227" s="200">
        <f>SUM(AI227:AJ227)</f>
        <v>1</v>
      </c>
    </row>
    <row r="228" spans="1:37" s="75" customFormat="1" x14ac:dyDescent="0.2">
      <c r="A228" s="207" t="s">
        <v>255</v>
      </c>
      <c r="B228" s="309" t="s">
        <v>1054</v>
      </c>
      <c r="C228" s="310"/>
      <c r="D228" s="311">
        <v>2</v>
      </c>
      <c r="E228" s="311"/>
      <c r="F228" s="309" t="s">
        <v>18</v>
      </c>
      <c r="G228" s="309" t="s">
        <v>774</v>
      </c>
      <c r="H228" s="309" t="s">
        <v>870</v>
      </c>
      <c r="I228" s="311" t="s">
        <v>5</v>
      </c>
      <c r="J228" s="312">
        <v>5120013995598</v>
      </c>
      <c r="K228" s="299">
        <v>43104</v>
      </c>
      <c r="L228" s="311">
        <v>180</v>
      </c>
      <c r="M228" s="202">
        <f>IF(K228="cnr","CNR",IF(K228="CBU", "CBU",IF(K228="Code Out","Code Out",K228+L228)))</f>
        <v>43284</v>
      </c>
      <c r="N228" s="203">
        <f>M228</f>
        <v>43284</v>
      </c>
      <c r="O228" s="205" t="str">
        <f ca="1">IF(AJ228=1,"",IF(AH228&lt;1,"DEL",""))</f>
        <v/>
      </c>
      <c r="P228" s="299" t="s">
        <v>851</v>
      </c>
      <c r="Q228" s="313"/>
      <c r="R228" s="313"/>
      <c r="S228" s="313" t="s">
        <v>398</v>
      </c>
      <c r="T228" s="313"/>
      <c r="U228" s="298" t="s">
        <v>1517</v>
      </c>
      <c r="V228" s="314" t="s">
        <v>1528</v>
      </c>
      <c r="W228" s="173"/>
      <c r="X228" s="139"/>
      <c r="Y228" s="191">
        <f>IF(AF228,MONTH(M228),"")</f>
        <v>7</v>
      </c>
      <c r="Z228" s="192">
        <f>IF(AF228,YEAR(M228),"")</f>
        <v>2018</v>
      </c>
      <c r="AA228" s="191">
        <f>IF(AF228,MONTH(N228),"")</f>
        <v>7</v>
      </c>
      <c r="AB228" s="191">
        <f>IF(AF228,YEAR(N228),"")</f>
        <v>2018</v>
      </c>
      <c r="AC228" s="193" t="str">
        <f>CONCATENATE(Y228,Z228)</f>
        <v>72018</v>
      </c>
      <c r="AD228" s="194" t="str">
        <f>CONCATENATE(AA228,AB228)</f>
        <v>72018</v>
      </c>
      <c r="AE228" s="195">
        <f>IF(M228="CBU","",IF(M228="CNR","",IF(K228="Code Out","",MIN(M228,N228))))</f>
        <v>43284</v>
      </c>
      <c r="AF228" s="196" t="b">
        <f>--(ISNUMBER(SEARCH("lab",P228)))
=--(ISNUMBER(SEARCH("fred",A221)))</f>
        <v>1</v>
      </c>
      <c r="AG228" s="199" t="b">
        <f>IF(AE228&lt;$J$4,TRUE,FALSE)</f>
        <v>1</v>
      </c>
      <c r="AH228" s="192">
        <f ca="1">IF(K228="CBU","",IF(K228="CNR","",IF(K228="Code Out","",SUM(M228-$U$1))))</f>
        <v>4.5681612268526806</v>
      </c>
      <c r="AI228" s="192">
        <f ca="1">COUNTIF(O228,"Del")</f>
        <v>0</v>
      </c>
      <c r="AJ228" s="192">
        <f>COUNTIF(P228,"*at lab*")</f>
        <v>0</v>
      </c>
      <c r="AK228" s="200">
        <f ca="1">SUM(AI228:AJ228)</f>
        <v>0</v>
      </c>
    </row>
    <row r="229" spans="1:37" s="75" customFormat="1" ht="25.5" x14ac:dyDescent="0.2">
      <c r="A229" s="207" t="s">
        <v>254</v>
      </c>
      <c r="B229" s="309" t="s">
        <v>1053</v>
      </c>
      <c r="C229" s="310"/>
      <c r="D229" s="311">
        <v>1</v>
      </c>
      <c r="E229" s="311"/>
      <c r="F229" s="309" t="s">
        <v>1164</v>
      </c>
      <c r="G229" s="309" t="s">
        <v>782</v>
      </c>
      <c r="H229" s="309" t="s">
        <v>973</v>
      </c>
      <c r="I229" s="311" t="s">
        <v>5</v>
      </c>
      <c r="J229" s="312">
        <v>5120013995605</v>
      </c>
      <c r="K229" s="299">
        <v>43201</v>
      </c>
      <c r="L229" s="311">
        <v>180</v>
      </c>
      <c r="M229" s="202">
        <f>IF(K229="cnr","CNR",IF(K229="CBU", "CBU",IF(K229="Code Out","Code Out",K229+L229)))</f>
        <v>43381</v>
      </c>
      <c r="N229" s="203">
        <f>M229</f>
        <v>43381</v>
      </c>
      <c r="O229" s="205" t="str">
        <f ca="1">IF(AJ229=1,"",IF(AH229&lt;1,"DEL",""))</f>
        <v/>
      </c>
      <c r="P229" s="299"/>
      <c r="Q229" s="313"/>
      <c r="R229" s="313"/>
      <c r="S229" s="313" t="s">
        <v>398</v>
      </c>
      <c r="T229" s="313"/>
      <c r="U229" s="298" t="s">
        <v>1550</v>
      </c>
      <c r="V229" s="314" t="s">
        <v>1528</v>
      </c>
      <c r="W229" s="170"/>
      <c r="X229" s="138"/>
      <c r="Y229" s="197">
        <f>IF(AF229,MONTH(M229),"")</f>
        <v>10</v>
      </c>
      <c r="Z229" s="198">
        <f>IF(AF229,YEAR(M229),"")</f>
        <v>2018</v>
      </c>
      <c r="AA229" s="191">
        <f>IF(AF229,MONTH(N229),"")</f>
        <v>10</v>
      </c>
      <c r="AB229" s="191">
        <f>IF(AF229,YEAR(N229),"")</f>
        <v>2018</v>
      </c>
      <c r="AC229" s="193" t="str">
        <f>CONCATENATE(Y229,Z229)</f>
        <v>102018</v>
      </c>
      <c r="AD229" s="194" t="str">
        <f>CONCATENATE(AA229,AB229)</f>
        <v>102018</v>
      </c>
      <c r="AE229" s="195">
        <f>IF(M229="CBU","",IF(M229="CNR","",IF(K229="Code Out","",MIN(M229,N229))))</f>
        <v>43381</v>
      </c>
      <c r="AF229" s="196" t="b">
        <f>--(ISNUMBER(SEARCH("lab",P229)))
=--(ISNUMBER(SEARCH("fred",A221)))</f>
        <v>1</v>
      </c>
      <c r="AG229" s="199" t="b">
        <f>IF(AE229&lt;$J$4,TRUE,FALSE)</f>
        <v>0</v>
      </c>
      <c r="AH229" s="192">
        <f ca="1">IF(K229="CBU","",IF(K229="CNR","",IF(K229="Code Out","",SUM(M229-$U$1))))</f>
        <v>101.56816122685268</v>
      </c>
      <c r="AI229" s="192">
        <f ca="1">COUNTIF(O229,"Del")</f>
        <v>0</v>
      </c>
      <c r="AJ229" s="192">
        <f>COUNTIF(P229,"*at lab*")</f>
        <v>0</v>
      </c>
      <c r="AK229" s="200">
        <f ca="1">SUM(AI229:AJ229)</f>
        <v>0</v>
      </c>
    </row>
    <row r="230" spans="1:37" s="75" customFormat="1" ht="25.5" x14ac:dyDescent="0.2">
      <c r="A230" s="207" t="s">
        <v>253</v>
      </c>
      <c r="B230" s="309" t="s">
        <v>128</v>
      </c>
      <c r="C230" s="310"/>
      <c r="D230" s="311">
        <v>2</v>
      </c>
      <c r="E230" s="311"/>
      <c r="F230" s="309" t="s">
        <v>456</v>
      </c>
      <c r="G230" s="309" t="s">
        <v>785</v>
      </c>
      <c r="H230" s="309" t="s">
        <v>973</v>
      </c>
      <c r="I230" s="311" t="s">
        <v>5</v>
      </c>
      <c r="J230" s="312">
        <v>5120013965954</v>
      </c>
      <c r="K230" s="299">
        <v>43201</v>
      </c>
      <c r="L230" s="311">
        <v>180</v>
      </c>
      <c r="M230" s="202">
        <f>IF(K230="cnr","CNR",IF(K230="CBU", "CBU",IF(K230="Code Out","Code Out",K230+L230)))</f>
        <v>43381</v>
      </c>
      <c r="N230" s="203">
        <f>M230</f>
        <v>43381</v>
      </c>
      <c r="O230" s="206" t="str">
        <f ca="1">IF(AJ230=1,"",IF(AH230&lt;1,"DEL",""))</f>
        <v/>
      </c>
      <c r="P230" s="299"/>
      <c r="Q230" s="313"/>
      <c r="R230" s="313"/>
      <c r="S230" s="313" t="s">
        <v>398</v>
      </c>
      <c r="T230" s="313"/>
      <c r="U230" s="298" t="s">
        <v>1550</v>
      </c>
      <c r="V230" s="314" t="s">
        <v>682</v>
      </c>
      <c r="W230" s="303"/>
      <c r="X230" s="302"/>
      <c r="Y230" s="197">
        <f>IF(AF230,MONTH(M230),"")</f>
        <v>10</v>
      </c>
      <c r="Z230" s="198">
        <f>IF(AF230,YEAR(M230),"")</f>
        <v>2018</v>
      </c>
      <c r="AA230" s="191">
        <f>IF(AF230,MONTH(N230),"")</f>
        <v>10</v>
      </c>
      <c r="AB230" s="191">
        <f>IF(AF230,YEAR(N230),"")</f>
        <v>2018</v>
      </c>
      <c r="AC230" s="193" t="str">
        <f>CONCATENATE(Y230,Z230)</f>
        <v>102018</v>
      </c>
      <c r="AD230" s="194" t="str">
        <f>CONCATENATE(AA230,AB230)</f>
        <v>102018</v>
      </c>
      <c r="AE230" s="195">
        <f>IF(M230="CBU","",IF(M230="CNR","",IF(K230="Code Out","",MIN(M230,N230))))</f>
        <v>43381</v>
      </c>
      <c r="AF230" s="196" t="b">
        <f>--(ISNUMBER(SEARCH("lab",P230)))
=--(ISNUMBER(SEARCH("fred",A223)))</f>
        <v>1</v>
      </c>
      <c r="AG230" s="199" t="b">
        <f>IF(AE230&lt;$J$4,TRUE,FALSE)</f>
        <v>0</v>
      </c>
      <c r="AH230" s="192">
        <f ca="1">IF(K230="CBU","",IF(K230="CNR","",IF(K230="Code Out","",SUM(M230-$U$1))))</f>
        <v>101.56816122685268</v>
      </c>
      <c r="AI230" s="192">
        <f ca="1">COUNTIF(O230,"Del")</f>
        <v>0</v>
      </c>
      <c r="AJ230" s="192">
        <f>COUNTIF(P230,"*at lab*")</f>
        <v>0</v>
      </c>
      <c r="AK230" s="200">
        <f ca="1">SUM(AI230:AJ230)</f>
        <v>0</v>
      </c>
    </row>
    <row r="231" spans="1:37" s="176" customFormat="1" ht="25.5" x14ac:dyDescent="0.2">
      <c r="A231" s="207" t="s">
        <v>296</v>
      </c>
      <c r="B231" s="309">
        <v>1646968</v>
      </c>
      <c r="C231" s="310"/>
      <c r="D231" s="311">
        <v>2</v>
      </c>
      <c r="E231" s="311"/>
      <c r="F231" s="309" t="s">
        <v>401</v>
      </c>
      <c r="G231" s="309"/>
      <c r="H231" s="309" t="s">
        <v>870</v>
      </c>
      <c r="I231" s="311" t="s">
        <v>426</v>
      </c>
      <c r="J231" s="312">
        <v>6635012553238</v>
      </c>
      <c r="K231" s="299">
        <v>42892</v>
      </c>
      <c r="L231" s="311">
        <v>360</v>
      </c>
      <c r="M231" s="202">
        <f>IF(K231="cnr","CNR",IF(K231="CBU", "CBU",IF(K231="Code Out","Code Out",K231+L231)))</f>
        <v>43252</v>
      </c>
      <c r="N231" s="203">
        <f>M231</f>
        <v>43252</v>
      </c>
      <c r="O231" s="205" t="str">
        <f>IF(AJ231=1,"",IF(AH231&lt;1,"DEL",""))</f>
        <v/>
      </c>
      <c r="P231" s="299" t="s">
        <v>1551</v>
      </c>
      <c r="Q231" s="313"/>
      <c r="R231" s="313" t="s">
        <v>398</v>
      </c>
      <c r="S231" s="313"/>
      <c r="T231" s="313"/>
      <c r="U231" s="318" t="s">
        <v>1473</v>
      </c>
      <c r="V231" s="314" t="s">
        <v>556</v>
      </c>
      <c r="W231" s="303"/>
      <c r="X231" s="302"/>
      <c r="Y231" s="197" t="str">
        <f>IF(AF231,MONTH(M231),"")</f>
        <v/>
      </c>
      <c r="Z231" s="198" t="str">
        <f>IF(AF231,YEAR(M231),"")</f>
        <v/>
      </c>
      <c r="AA231" s="191" t="str">
        <f>IF(AF231,MONTH(N231),"")</f>
        <v/>
      </c>
      <c r="AB231" s="191" t="str">
        <f>IF(AF231,YEAR(N231),"")</f>
        <v/>
      </c>
      <c r="AC231" s="193" t="str">
        <f>CONCATENATE(Y231,Z231)</f>
        <v/>
      </c>
      <c r="AD231" s="194" t="str">
        <f>CONCATENATE(AA231,AB231)</f>
        <v/>
      </c>
      <c r="AE231" s="195">
        <f>IF(M231="CBU","",IF(M231="CNR","",IF(K231="Code Out","",MIN(M231,N231))))</f>
        <v>43252</v>
      </c>
      <c r="AF231" s="196" t="b">
        <f>--(ISNUMBER(SEARCH("lab",P231)))
=--(ISNUMBER(SEARCH("fred",A223)))</f>
        <v>0</v>
      </c>
      <c r="AG231" s="199" t="b">
        <f>IF(AE231&lt;$J$4,TRUE,FALSE)</f>
        <v>1</v>
      </c>
      <c r="AH231" s="192">
        <f ca="1">IF(K231="CBU","",IF(K231="CNR","",IF(K231="Code Out","",SUM(M231-$U$1))))</f>
        <v>-27.431838773147319</v>
      </c>
      <c r="AI231" s="192">
        <f>COUNTIF(O231,"Del")</f>
        <v>0</v>
      </c>
      <c r="AJ231" s="192">
        <f>COUNTIF(P231,"*at lab*")</f>
        <v>1</v>
      </c>
      <c r="AK231" s="200">
        <f>SUM(AI231:AJ231)</f>
        <v>1</v>
      </c>
    </row>
    <row r="232" spans="1:37" s="75" customFormat="1" ht="25.5" x14ac:dyDescent="0.2">
      <c r="A232" s="207" t="s">
        <v>228</v>
      </c>
      <c r="B232" s="309" t="s">
        <v>227</v>
      </c>
      <c r="C232" s="311" t="s">
        <v>520</v>
      </c>
      <c r="D232" s="311">
        <v>1</v>
      </c>
      <c r="E232" s="311"/>
      <c r="F232" s="309" t="s">
        <v>425</v>
      </c>
      <c r="G232" s="309"/>
      <c r="H232" s="309" t="s">
        <v>870</v>
      </c>
      <c r="I232" s="311" t="s">
        <v>12</v>
      </c>
      <c r="J232" s="312">
        <v>6625012975305</v>
      </c>
      <c r="K232" s="299">
        <v>42838</v>
      </c>
      <c r="L232" s="311">
        <v>840</v>
      </c>
      <c r="M232" s="202">
        <f>IF(K232="cnr","CNR",IF(K232="CBU", "CBU",IF(K232="Code Out","Code Out",K232+L232)))</f>
        <v>43678</v>
      </c>
      <c r="N232" s="203">
        <f>M232</f>
        <v>43678</v>
      </c>
      <c r="O232" s="205" t="str">
        <f ca="1">IF(AJ232=1,"",IF(AH232&lt;1,"DEL",""))</f>
        <v/>
      </c>
      <c r="P232" s="317"/>
      <c r="Q232" s="313"/>
      <c r="R232" s="313"/>
      <c r="S232" s="313" t="s">
        <v>398</v>
      </c>
      <c r="T232" s="313"/>
      <c r="U232" s="298" t="s">
        <v>1467</v>
      </c>
      <c r="V232" s="314" t="s">
        <v>693</v>
      </c>
      <c r="W232" s="173"/>
      <c r="X232" s="139"/>
      <c r="Y232" s="191">
        <f>IF(AF232,MONTH(M232),"")</f>
        <v>8</v>
      </c>
      <c r="Z232" s="192">
        <f>IF(AF232,YEAR(M232),"")</f>
        <v>2019</v>
      </c>
      <c r="AA232" s="191">
        <f>IF(AF232,MONTH(N232),"")</f>
        <v>8</v>
      </c>
      <c r="AB232" s="191">
        <f>IF(AF232,YEAR(N232),"")</f>
        <v>2019</v>
      </c>
      <c r="AC232" s="193" t="str">
        <f>CONCATENATE(Y232,Z232)</f>
        <v>82019</v>
      </c>
      <c r="AD232" s="194" t="str">
        <f>CONCATENATE(AA232,AB232)</f>
        <v>82019</v>
      </c>
      <c r="AE232" s="195">
        <f>IF(M232="CBU","",IF(M232="CNR","",IF(K232="Code Out","",MIN(M232,N232))))</f>
        <v>43678</v>
      </c>
      <c r="AF232" s="196" t="b">
        <f>--(ISNUMBER(SEARCH("lab",P232)))
=--(ISNUMBER(SEARCH("fred",A224)))</f>
        <v>1</v>
      </c>
      <c r="AG232" s="199" t="b">
        <f>IF(AE232&lt;$J$4,TRUE,FALSE)</f>
        <v>0</v>
      </c>
      <c r="AH232" s="192">
        <f ca="1">IF(K232="CBU","",IF(K232="CNR","",IF(K232="Code Out","",SUM(M232-$U$1))))</f>
        <v>398.56816122685268</v>
      </c>
      <c r="AI232" s="192">
        <f ca="1">COUNTIF(O232,"Del")</f>
        <v>0</v>
      </c>
      <c r="AJ232" s="192">
        <f>COUNTIF(P232,"*at lab*")</f>
        <v>0</v>
      </c>
      <c r="AK232" s="200">
        <f ca="1">SUM(AI232:AJ232)</f>
        <v>0</v>
      </c>
    </row>
    <row r="233" spans="1:37" s="75" customFormat="1" x14ac:dyDescent="0.2">
      <c r="A233" s="207" t="s">
        <v>359</v>
      </c>
      <c r="B233" s="309" t="s">
        <v>1426</v>
      </c>
      <c r="C233" s="311" t="s">
        <v>759</v>
      </c>
      <c r="D233" s="311">
        <v>1</v>
      </c>
      <c r="E233" s="311"/>
      <c r="F233" s="309" t="s">
        <v>555</v>
      </c>
      <c r="G233" s="309"/>
      <c r="H233" s="309" t="s">
        <v>855</v>
      </c>
      <c r="I233" s="311" t="s">
        <v>220</v>
      </c>
      <c r="J233" s="316">
        <v>6625013092825</v>
      </c>
      <c r="K233" s="299">
        <v>42926</v>
      </c>
      <c r="L233" s="310">
        <v>360</v>
      </c>
      <c r="M233" s="202">
        <f>IF(K233="cnr","CNR",IF(K233="CBU", "CBU",IF(K233="Code Out","Code Out",K233+L233)))</f>
        <v>43286</v>
      </c>
      <c r="N233" s="203">
        <f>M233</f>
        <v>43286</v>
      </c>
      <c r="O233" s="205" t="str">
        <f ca="1">IF(AJ233=1,"",IF(AH233&lt;1,"DEL",""))</f>
        <v/>
      </c>
      <c r="P233" s="299" t="s">
        <v>851</v>
      </c>
      <c r="Q233" s="313"/>
      <c r="R233" s="313"/>
      <c r="S233" s="313" t="s">
        <v>1470</v>
      </c>
      <c r="T233" s="313"/>
      <c r="U233" s="298" t="s">
        <v>1494</v>
      </c>
      <c r="V233" s="314" t="s">
        <v>367</v>
      </c>
      <c r="W233" s="173"/>
      <c r="X233" s="139"/>
      <c r="Y233" s="191">
        <f>IF(AF233,MONTH(M233),"")</f>
        <v>7</v>
      </c>
      <c r="Z233" s="192">
        <f>IF(AF233,YEAR(M233),"")</f>
        <v>2018</v>
      </c>
      <c r="AA233" s="191">
        <f>IF(AF233,MONTH(N233),"")</f>
        <v>7</v>
      </c>
      <c r="AB233" s="191">
        <f>IF(AF233,YEAR(N233),"")</f>
        <v>2018</v>
      </c>
      <c r="AC233" s="193" t="str">
        <f>CONCATENATE(Y233,Z233)</f>
        <v>72018</v>
      </c>
      <c r="AD233" s="194" t="str">
        <f>CONCATENATE(AA233,AB233)</f>
        <v>72018</v>
      </c>
      <c r="AE233" s="195">
        <f>IF(M233="CBU","",IF(M233="CNR","",IF(K233="Code Out","",MIN(M233,N233))))</f>
        <v>43286</v>
      </c>
      <c r="AF233" s="196" t="b">
        <f>--(ISNUMBER(SEARCH("lab",P233)))
=--(ISNUMBER(SEARCH("fred",A225)))</f>
        <v>1</v>
      </c>
      <c r="AG233" s="199" t="b">
        <f>IF(AE233&lt;$J$4,TRUE,FALSE)</f>
        <v>1</v>
      </c>
      <c r="AH233" s="192">
        <f ca="1">IF(K233="CBU","",IF(K233="CNR","",IF(K233="Code Out","",SUM(M233-$U$1))))</f>
        <v>6.5681612268526806</v>
      </c>
      <c r="AI233" s="192">
        <f ca="1">COUNTIF(O233,"Del")</f>
        <v>0</v>
      </c>
      <c r="AJ233" s="192">
        <f>COUNTIF(P233,"*at lab*")</f>
        <v>0</v>
      </c>
      <c r="AK233" s="200">
        <f ca="1">SUM(AI233:AJ233)</f>
        <v>0</v>
      </c>
    </row>
    <row r="234" spans="1:37" s="75" customFormat="1" x14ac:dyDescent="0.2">
      <c r="A234" s="207" t="s">
        <v>244</v>
      </c>
      <c r="B234" s="309">
        <v>974091</v>
      </c>
      <c r="C234" s="310"/>
      <c r="D234" s="311">
        <v>1</v>
      </c>
      <c r="E234" s="311"/>
      <c r="F234" s="309" t="s">
        <v>424</v>
      </c>
      <c r="G234" s="309" t="s">
        <v>772</v>
      </c>
      <c r="H234" s="309" t="s">
        <v>855</v>
      </c>
      <c r="I234" s="309" t="s">
        <v>557</v>
      </c>
      <c r="J234" s="312">
        <v>5120006184433</v>
      </c>
      <c r="K234" s="299">
        <v>43173</v>
      </c>
      <c r="L234" s="311">
        <v>180</v>
      </c>
      <c r="M234" s="202">
        <f>IF(K234="cnr","CNR",IF(K234="CBU", "CBU",IF(K234="Code Out","Code Out",K234+L234)))</f>
        <v>43353</v>
      </c>
      <c r="N234" s="203">
        <f>M234</f>
        <v>43353</v>
      </c>
      <c r="O234" s="205" t="str">
        <f ca="1">IF(AJ234=1,"",IF(AH234&lt;1,"DEL",""))</f>
        <v/>
      </c>
      <c r="P234" s="299"/>
      <c r="Q234" s="313"/>
      <c r="R234" s="313"/>
      <c r="S234" s="313" t="s">
        <v>398</v>
      </c>
      <c r="T234" s="313"/>
      <c r="U234" s="298" t="s">
        <v>1533</v>
      </c>
      <c r="V234" s="314" t="s">
        <v>687</v>
      </c>
      <c r="W234" s="173"/>
      <c r="X234" s="139"/>
      <c r="Y234" s="191">
        <f>IF(AF234,MONTH(M234),"")</f>
        <v>9</v>
      </c>
      <c r="Z234" s="192">
        <f>IF(AF234,YEAR(M234),"")</f>
        <v>2018</v>
      </c>
      <c r="AA234" s="191">
        <f>IF(AF234,MONTH(N234),"")</f>
        <v>9</v>
      </c>
      <c r="AB234" s="191">
        <f>IF(AF234,YEAR(N234),"")</f>
        <v>2018</v>
      </c>
      <c r="AC234" s="193" t="str">
        <f>CONCATENATE(Y234,Z234)</f>
        <v>92018</v>
      </c>
      <c r="AD234" s="194" t="str">
        <f>CONCATENATE(AA234,AB234)</f>
        <v>92018</v>
      </c>
      <c r="AE234" s="195">
        <f>IF(M234="CBU","",IF(M234="CNR","",IF(K234="Code Out","",MIN(M234,N234))))</f>
        <v>43353</v>
      </c>
      <c r="AF234" s="196" t="b">
        <f>--(ISNUMBER(SEARCH("lab",P234)))
=--(ISNUMBER(SEARCH("fred",A226)))</f>
        <v>1</v>
      </c>
      <c r="AG234" s="199" t="b">
        <f>IF(AE234&lt;$J$4,TRUE,FALSE)</f>
        <v>0</v>
      </c>
      <c r="AH234" s="192">
        <f ca="1">IF(K234="CBU","",IF(K234="CNR","",IF(K234="Code Out","",SUM(M234-$U$1))))</f>
        <v>73.568161226852681</v>
      </c>
      <c r="AI234" s="192">
        <f ca="1">COUNTIF(O234,"Del")</f>
        <v>0</v>
      </c>
      <c r="AJ234" s="192">
        <f>COUNTIF(P234,"*at lab*")</f>
        <v>0</v>
      </c>
      <c r="AK234" s="200">
        <f ca="1">SUM(AI234:AJ234)</f>
        <v>0</v>
      </c>
    </row>
    <row r="235" spans="1:37" s="75" customFormat="1" ht="25.5" x14ac:dyDescent="0.2">
      <c r="A235" s="207" t="s">
        <v>210</v>
      </c>
      <c r="B235" s="309" t="s">
        <v>27</v>
      </c>
      <c r="C235" s="310"/>
      <c r="D235" s="309" t="s">
        <v>978</v>
      </c>
      <c r="E235" s="309"/>
      <c r="F235" s="309" t="s">
        <v>23</v>
      </c>
      <c r="G235" s="309"/>
      <c r="H235" s="309" t="s">
        <v>978</v>
      </c>
      <c r="I235" s="311" t="s">
        <v>24</v>
      </c>
      <c r="J235" s="312">
        <v>4920000820436</v>
      </c>
      <c r="K235" s="299">
        <v>42747</v>
      </c>
      <c r="L235" s="311">
        <v>540</v>
      </c>
      <c r="M235" s="202">
        <f>IF(K235="cnr","CNR",IF(K235="CBU", "CBU",IF(K235="Code Out","Code Out",K235+L235)))</f>
        <v>43287</v>
      </c>
      <c r="N235" s="203">
        <f>M235</f>
        <v>43287</v>
      </c>
      <c r="O235" s="205" t="str">
        <f ca="1">IF(AJ235=1,"",IF(AH235&lt;1,"DEL",""))</f>
        <v/>
      </c>
      <c r="P235" s="299" t="s">
        <v>851</v>
      </c>
      <c r="Q235" s="313"/>
      <c r="R235" s="313"/>
      <c r="S235" s="313" t="s">
        <v>1432</v>
      </c>
      <c r="T235" s="313"/>
      <c r="U235" s="298" t="s">
        <v>1445</v>
      </c>
      <c r="V235" s="314" t="s">
        <v>691</v>
      </c>
      <c r="W235" s="173"/>
      <c r="X235" s="139"/>
      <c r="Y235" s="191">
        <f>IF(AF235,MONTH(M235),"")</f>
        <v>7</v>
      </c>
      <c r="Z235" s="192">
        <f>IF(AF235,YEAR(M235),"")</f>
        <v>2018</v>
      </c>
      <c r="AA235" s="191">
        <f>IF(AF235,MONTH(N235),"")</f>
        <v>7</v>
      </c>
      <c r="AB235" s="191">
        <f>IF(AF235,YEAR(N235),"")</f>
        <v>2018</v>
      </c>
      <c r="AC235" s="193" t="str">
        <f>CONCATENATE(Y235,Z235)</f>
        <v>72018</v>
      </c>
      <c r="AD235" s="194" t="str">
        <f>CONCATENATE(AA235,AB235)</f>
        <v>72018</v>
      </c>
      <c r="AE235" s="195">
        <f>IF(M235="CBU","",IF(M235="CNR","",IF(K235="Code Out","",MIN(M235,N235))))</f>
        <v>43287</v>
      </c>
      <c r="AF235" s="196" t="b">
        <f>--(ISNUMBER(SEARCH("lab",P235)))
=--(ISNUMBER(SEARCH("fred",A227)))</f>
        <v>1</v>
      </c>
      <c r="AG235" s="199" t="b">
        <f>IF(AE235&lt;$J$4,TRUE,FALSE)</f>
        <v>1</v>
      </c>
      <c r="AH235" s="192">
        <f ca="1">IF(K235="CBU","",IF(K235="CNR","",IF(K235="Code Out","",SUM(M235-$U$1))))</f>
        <v>7.5681612268526806</v>
      </c>
      <c r="AI235" s="192">
        <f ca="1">COUNTIF(O235,"Del")</f>
        <v>0</v>
      </c>
      <c r="AJ235" s="192">
        <f>COUNTIF(P235,"*at lab*")</f>
        <v>0</v>
      </c>
      <c r="AK235" s="200">
        <f ca="1">SUM(AI235:AJ235)</f>
        <v>0</v>
      </c>
    </row>
    <row r="236" spans="1:37" s="75" customFormat="1" ht="63.75" x14ac:dyDescent="0.2">
      <c r="A236" s="207" t="s">
        <v>309</v>
      </c>
      <c r="B236" s="309" t="s">
        <v>309</v>
      </c>
      <c r="C236" s="310"/>
      <c r="D236" s="311">
        <v>9</v>
      </c>
      <c r="E236" s="311"/>
      <c r="F236" s="309" t="s">
        <v>141</v>
      </c>
      <c r="G236" s="309"/>
      <c r="H236" s="309" t="s">
        <v>976</v>
      </c>
      <c r="I236" s="311" t="s">
        <v>142</v>
      </c>
      <c r="J236" s="312">
        <v>6685008514577</v>
      </c>
      <c r="K236" s="299">
        <v>42408</v>
      </c>
      <c r="L236" s="311">
        <v>1080</v>
      </c>
      <c r="M236" s="202">
        <f>IF(K236="cnr","CNR",IF(K236="CBU", "CBU",IF(K236="Code Out","Code Out",K236+L236)))</f>
        <v>43488</v>
      </c>
      <c r="N236" s="203">
        <f>M236</f>
        <v>43488</v>
      </c>
      <c r="O236" s="205" t="str">
        <f ca="1">IF(AJ236=1,"",IF(AH236&lt;1,"DEL",""))</f>
        <v/>
      </c>
      <c r="P236" s="317"/>
      <c r="Q236" s="313"/>
      <c r="R236" s="313"/>
      <c r="S236" s="313" t="s">
        <v>1370</v>
      </c>
      <c r="T236" s="313"/>
      <c r="U236" s="298" t="s">
        <v>1385</v>
      </c>
      <c r="V236" s="314" t="s">
        <v>653</v>
      </c>
      <c r="W236" s="303"/>
      <c r="X236" s="302"/>
      <c r="Y236" s="197">
        <f>IF(AF236,MONTH(M236),"")</f>
        <v>1</v>
      </c>
      <c r="Z236" s="198">
        <f>IF(AF236,YEAR(M236),"")</f>
        <v>2019</v>
      </c>
      <c r="AA236" s="191">
        <f>IF(AF236,MONTH(N236),"")</f>
        <v>1</v>
      </c>
      <c r="AB236" s="191">
        <f>IF(AF236,YEAR(N236),"")</f>
        <v>2019</v>
      </c>
      <c r="AC236" s="193" t="str">
        <f>CONCATENATE(Y236,Z236)</f>
        <v>12019</v>
      </c>
      <c r="AD236" s="194" t="str">
        <f>CONCATENATE(AA236,AB236)</f>
        <v>12019</v>
      </c>
      <c r="AE236" s="195">
        <f>IF(M236="CBU","",IF(M236="CNR","",IF(K236="Code Out","",MIN(M236,N236))))</f>
        <v>43488</v>
      </c>
      <c r="AF236" s="196" t="b">
        <f>--(ISNUMBER(SEARCH("lab",P236)))
=--(ISNUMBER(SEARCH("fred",A228)))</f>
        <v>1</v>
      </c>
      <c r="AG236" s="199" t="b">
        <f>IF(AE236&lt;$J$4,TRUE,FALSE)</f>
        <v>0</v>
      </c>
      <c r="AH236" s="192">
        <f ca="1">IF(K236="CBU","",IF(K236="CNR","",IF(K236="Code Out","",SUM(M236-$U$1))))</f>
        <v>208.56816122685268</v>
      </c>
      <c r="AI236" s="192">
        <f ca="1">COUNTIF(O236,"Del")</f>
        <v>0</v>
      </c>
      <c r="AJ236" s="192">
        <f>COUNTIF(P236,"*at lab*")</f>
        <v>0</v>
      </c>
      <c r="AK236" s="200">
        <f ca="1">SUM(AI236:AJ236)</f>
        <v>0</v>
      </c>
    </row>
    <row r="237" spans="1:37" s="75" customFormat="1" x14ac:dyDescent="0.2">
      <c r="A237" s="207" t="s">
        <v>308</v>
      </c>
      <c r="B237" s="309" t="s">
        <v>308</v>
      </c>
      <c r="C237" s="310"/>
      <c r="D237" s="311">
        <v>9</v>
      </c>
      <c r="E237" s="311"/>
      <c r="F237" s="309" t="s">
        <v>141</v>
      </c>
      <c r="G237" s="309"/>
      <c r="H237" s="309" t="s">
        <v>976</v>
      </c>
      <c r="I237" s="311" t="s">
        <v>142</v>
      </c>
      <c r="J237" s="312">
        <v>6685008514577</v>
      </c>
      <c r="K237" s="299">
        <v>42408</v>
      </c>
      <c r="L237" s="311">
        <v>1080</v>
      </c>
      <c r="M237" s="202">
        <f>IF(K237="cnr","CNR",IF(K237="CBU", "CBU",IF(K237="Code Out","Code Out",K237+L237)))</f>
        <v>43488</v>
      </c>
      <c r="N237" s="203">
        <f>M237</f>
        <v>43488</v>
      </c>
      <c r="O237" s="205" t="str">
        <f ca="1">IF(AJ237=1,"",IF(AH237&lt;1,"DEL",""))</f>
        <v/>
      </c>
      <c r="P237" s="317"/>
      <c r="Q237" s="313"/>
      <c r="R237" s="313"/>
      <c r="S237" s="313" t="s">
        <v>1370</v>
      </c>
      <c r="T237" s="313"/>
      <c r="U237" s="298" t="s">
        <v>1385</v>
      </c>
      <c r="V237" s="314" t="s">
        <v>653</v>
      </c>
      <c r="W237" s="173"/>
      <c r="X237" s="139"/>
      <c r="Y237" s="191">
        <f>IF(AF237,MONTH(M237),"")</f>
        <v>1</v>
      </c>
      <c r="Z237" s="192">
        <f>IF(AF237,YEAR(M237),"")</f>
        <v>2019</v>
      </c>
      <c r="AA237" s="191">
        <f>IF(AF237,MONTH(N237),"")</f>
        <v>1</v>
      </c>
      <c r="AB237" s="191">
        <f>IF(AF237,YEAR(N237),"")</f>
        <v>2019</v>
      </c>
      <c r="AC237" s="193" t="str">
        <f>CONCATENATE(Y237,Z237)</f>
        <v>12019</v>
      </c>
      <c r="AD237" s="194" t="str">
        <f>CONCATENATE(AA237,AB237)</f>
        <v>12019</v>
      </c>
      <c r="AE237" s="195">
        <f>IF(M237="CBU","",IF(M237="CNR","",IF(K237="Code Out","",MIN(M237,N237))))</f>
        <v>43488</v>
      </c>
      <c r="AF237" s="196" t="b">
        <f>--(ISNUMBER(SEARCH("lab",P237)))
=--(ISNUMBER(SEARCH("fred",A229)))</f>
        <v>1</v>
      </c>
      <c r="AG237" s="199" t="b">
        <f>IF(AE237&lt;$J$4,TRUE,FALSE)</f>
        <v>0</v>
      </c>
      <c r="AH237" s="192">
        <f ca="1">IF(K237="CBU","",IF(K237="CNR","",IF(K237="Code Out","",SUM(M237-$U$1))))</f>
        <v>208.56816122685268</v>
      </c>
      <c r="AI237" s="192">
        <f ca="1">COUNTIF(O237,"Del")</f>
        <v>0</v>
      </c>
      <c r="AJ237" s="192">
        <f>COUNTIF(P237,"*at lab*")</f>
        <v>0</v>
      </c>
      <c r="AK237" s="200">
        <f ca="1">SUM(AI237:AJ237)</f>
        <v>0</v>
      </c>
    </row>
    <row r="238" spans="1:37" s="75" customFormat="1" ht="25.5" x14ac:dyDescent="0.2">
      <c r="A238" s="207" t="s">
        <v>307</v>
      </c>
      <c r="B238" s="309" t="s">
        <v>307</v>
      </c>
      <c r="C238" s="310"/>
      <c r="D238" s="311">
        <v>9</v>
      </c>
      <c r="E238" s="311"/>
      <c r="F238" s="309" t="s">
        <v>141</v>
      </c>
      <c r="G238" s="309"/>
      <c r="H238" s="309" t="s">
        <v>976</v>
      </c>
      <c r="I238" s="311" t="s">
        <v>142</v>
      </c>
      <c r="J238" s="312">
        <v>6685008514577</v>
      </c>
      <c r="K238" s="299">
        <v>42408</v>
      </c>
      <c r="L238" s="311">
        <v>1080</v>
      </c>
      <c r="M238" s="202">
        <f>IF(K238="cnr","CNR",IF(K238="CBU", "CBU",IF(K238="Code Out","Code Out",K238+L238)))</f>
        <v>43488</v>
      </c>
      <c r="N238" s="203">
        <f>M238</f>
        <v>43488</v>
      </c>
      <c r="O238" s="205" t="str">
        <f ca="1">IF(AJ238=1,"",IF(AH238&lt;1,"DEL",""))</f>
        <v/>
      </c>
      <c r="P238" s="317"/>
      <c r="Q238" s="313"/>
      <c r="R238" s="313"/>
      <c r="S238" s="313" t="s">
        <v>1370</v>
      </c>
      <c r="T238" s="313"/>
      <c r="U238" s="298" t="s">
        <v>1385</v>
      </c>
      <c r="V238" s="314" t="s">
        <v>653</v>
      </c>
      <c r="W238" s="303"/>
      <c r="X238" s="302"/>
      <c r="Y238" s="197">
        <f>IF(AF238,MONTH(M238),"")</f>
        <v>1</v>
      </c>
      <c r="Z238" s="198">
        <f>IF(AF238,YEAR(M238),"")</f>
        <v>2019</v>
      </c>
      <c r="AA238" s="191">
        <f>IF(AF238,MONTH(N238),"")</f>
        <v>1</v>
      </c>
      <c r="AB238" s="191">
        <f>IF(AF238,YEAR(N238),"")</f>
        <v>2019</v>
      </c>
      <c r="AC238" s="193" t="str">
        <f>CONCATENATE(Y238,Z238)</f>
        <v>12019</v>
      </c>
      <c r="AD238" s="194" t="str">
        <f>CONCATENATE(AA238,AB238)</f>
        <v>12019</v>
      </c>
      <c r="AE238" s="195">
        <f>IF(M238="CBU","",IF(M238="CNR","",IF(K238="Code Out","",MIN(M238,N238))))</f>
        <v>43488</v>
      </c>
      <c r="AF238" s="196" t="b">
        <f>--(ISNUMBER(SEARCH("lab",P238)))
=--(ISNUMBER(SEARCH("fred",A230)))</f>
        <v>1</v>
      </c>
      <c r="AG238" s="199" t="b">
        <f>IF(AE238&lt;$J$4,TRUE,FALSE)</f>
        <v>0</v>
      </c>
      <c r="AH238" s="192">
        <f ca="1">IF(K238="CBU","",IF(K238="CNR","",IF(K238="Code Out","",SUM(M238-$U$1))))</f>
        <v>208.56816122685268</v>
      </c>
      <c r="AI238" s="192">
        <f ca="1">COUNTIF(O238,"Del")</f>
        <v>0</v>
      </c>
      <c r="AJ238" s="192">
        <f>COUNTIF(P238,"*at lab*")</f>
        <v>0</v>
      </c>
      <c r="AK238" s="200">
        <f ca="1">SUM(AI238:AJ238)</f>
        <v>0</v>
      </c>
    </row>
    <row r="239" spans="1:37" s="75" customFormat="1" x14ac:dyDescent="0.2">
      <c r="A239" s="207" t="s">
        <v>306</v>
      </c>
      <c r="B239" s="309" t="s">
        <v>306</v>
      </c>
      <c r="C239" s="310"/>
      <c r="D239" s="311">
        <v>9</v>
      </c>
      <c r="E239" s="311"/>
      <c r="F239" s="309" t="s">
        <v>141</v>
      </c>
      <c r="G239" s="309"/>
      <c r="H239" s="309" t="s">
        <v>976</v>
      </c>
      <c r="I239" s="311" t="s">
        <v>142</v>
      </c>
      <c r="J239" s="312">
        <v>6685008514577</v>
      </c>
      <c r="K239" s="299">
        <v>42408</v>
      </c>
      <c r="L239" s="311">
        <v>1080</v>
      </c>
      <c r="M239" s="202">
        <f>IF(K239="cnr","CNR",IF(K239="CBU", "CBU",IF(K239="Code Out","Code Out",K239+L239)))</f>
        <v>43488</v>
      </c>
      <c r="N239" s="203">
        <f>M239</f>
        <v>43488</v>
      </c>
      <c r="O239" s="205" t="str">
        <f ca="1">IF(AJ239=1,"",IF(AH239&lt;1,"DEL",""))</f>
        <v/>
      </c>
      <c r="P239" s="317"/>
      <c r="Q239" s="313"/>
      <c r="R239" s="313"/>
      <c r="S239" s="313" t="s">
        <v>1370</v>
      </c>
      <c r="T239" s="313"/>
      <c r="U239" s="298" t="s">
        <v>1385</v>
      </c>
      <c r="V239" s="314" t="s">
        <v>653</v>
      </c>
      <c r="W239" s="173"/>
      <c r="X239" s="139"/>
      <c r="Y239" s="191">
        <f>IF(AF239,MONTH(M239),"")</f>
        <v>1</v>
      </c>
      <c r="Z239" s="192">
        <f>IF(AF239,YEAR(M239),"")</f>
        <v>2019</v>
      </c>
      <c r="AA239" s="191">
        <f>IF(AF239,MONTH(N239),"")</f>
        <v>1</v>
      </c>
      <c r="AB239" s="191">
        <f>IF(AF239,YEAR(N239),"")</f>
        <v>2019</v>
      </c>
      <c r="AC239" s="193" t="str">
        <f>CONCATENATE(Y239,Z239)</f>
        <v>12019</v>
      </c>
      <c r="AD239" s="194" t="str">
        <f>CONCATENATE(AA239,AB239)</f>
        <v>12019</v>
      </c>
      <c r="AE239" s="195">
        <f>IF(M239="CBU","",IF(M239="CNR","",IF(K239="Code Out","",MIN(M239,N239))))</f>
        <v>43488</v>
      </c>
      <c r="AF239" s="196" t="b">
        <f>--(ISNUMBER(SEARCH("lab",P239)))
=--(ISNUMBER(SEARCH("fred",A231)))</f>
        <v>1</v>
      </c>
      <c r="AG239" s="199" t="b">
        <f>IF(AE239&lt;$J$4,TRUE,FALSE)</f>
        <v>0</v>
      </c>
      <c r="AH239" s="192">
        <f ca="1">IF(K239="CBU","",IF(K239="CNR","",IF(K239="Code Out","",SUM(M239-$U$1))))</f>
        <v>208.56816122685268</v>
      </c>
      <c r="AI239" s="192">
        <f ca="1">COUNTIF(O239,"Del")</f>
        <v>0</v>
      </c>
      <c r="AJ239" s="192">
        <f>COUNTIF(P239,"*at lab*")</f>
        <v>0</v>
      </c>
      <c r="AK239" s="200">
        <f ca="1">SUM(AI239:AJ239)</f>
        <v>0</v>
      </c>
    </row>
    <row r="240" spans="1:37" s="75" customFormat="1" ht="25.5" x14ac:dyDescent="0.2">
      <c r="A240" s="207" t="s">
        <v>212</v>
      </c>
      <c r="B240" s="315" t="s">
        <v>300</v>
      </c>
      <c r="C240" s="310"/>
      <c r="D240" s="309" t="s">
        <v>975</v>
      </c>
      <c r="E240" s="309"/>
      <c r="F240" s="309" t="s">
        <v>404</v>
      </c>
      <c r="G240" s="309"/>
      <c r="H240" s="309" t="s">
        <v>975</v>
      </c>
      <c r="I240" s="311" t="s">
        <v>113</v>
      </c>
      <c r="J240" s="316">
        <v>6635007900733</v>
      </c>
      <c r="K240" s="299">
        <v>43033</v>
      </c>
      <c r="L240" s="316">
        <v>1080</v>
      </c>
      <c r="M240" s="202">
        <f>IF(K240="cnr","CNR",IF(K240="CBU", "CBU",IF(K240="Code Out","Code Out",K240+L240)))</f>
        <v>44113</v>
      </c>
      <c r="N240" s="203">
        <f>M240</f>
        <v>44113</v>
      </c>
      <c r="O240" s="205" t="str">
        <f ca="1">IF(AJ240=1,"",IF(AH240&lt;1,"DEL",""))</f>
        <v/>
      </c>
      <c r="P240" s="317"/>
      <c r="Q240" s="313"/>
      <c r="R240" s="313"/>
      <c r="S240" s="313" t="s">
        <v>398</v>
      </c>
      <c r="T240" s="313"/>
      <c r="U240" s="318" t="s">
        <v>1508</v>
      </c>
      <c r="V240" s="314" t="s">
        <v>822</v>
      </c>
      <c r="W240" s="173"/>
      <c r="X240" s="139"/>
      <c r="Y240" s="191">
        <f>IF(AF240,MONTH(M240),"")</f>
        <v>10</v>
      </c>
      <c r="Z240" s="192">
        <f>IF(AF240,YEAR(M240),"")</f>
        <v>2020</v>
      </c>
      <c r="AA240" s="191">
        <f>IF(AF240,MONTH(N240),"")</f>
        <v>10</v>
      </c>
      <c r="AB240" s="191">
        <f>IF(AF240,YEAR(N240),"")</f>
        <v>2020</v>
      </c>
      <c r="AC240" s="193" t="str">
        <f>CONCATENATE(Y240,Z240)</f>
        <v>102020</v>
      </c>
      <c r="AD240" s="194" t="str">
        <f>CONCATENATE(AA240,AB240)</f>
        <v>102020</v>
      </c>
      <c r="AE240" s="195">
        <f>IF(M240="CBU","",IF(M240="CNR","",IF(K240="Code Out","",MIN(M240,N240))))</f>
        <v>44113</v>
      </c>
      <c r="AF240" s="196" t="b">
        <f>--(ISNUMBER(SEARCH("lab",P240)))
=--(ISNUMBER(SEARCH("fred",A232)))</f>
        <v>1</v>
      </c>
      <c r="AG240" s="199" t="b">
        <f>IF(AE240&lt;$J$4,TRUE,FALSE)</f>
        <v>0</v>
      </c>
      <c r="AH240" s="192">
        <f ca="1">IF(K240="CBU","",IF(K240="CNR","",IF(K240="Code Out","",SUM(M240-$U$1))))</f>
        <v>833.56816122685268</v>
      </c>
      <c r="AI240" s="192">
        <f ca="1">COUNTIF(O240,"Del")</f>
        <v>0</v>
      </c>
      <c r="AJ240" s="192">
        <f>COUNTIF(P240,"*at lab*")</f>
        <v>0</v>
      </c>
      <c r="AK240" s="200">
        <f ca="1">SUM(AI240:AJ240)</f>
        <v>0</v>
      </c>
    </row>
    <row r="241" spans="1:37" s="75" customFormat="1" ht="38.25" x14ac:dyDescent="0.2">
      <c r="A241" s="207" t="s">
        <v>213</v>
      </c>
      <c r="B241" s="315" t="s">
        <v>211</v>
      </c>
      <c r="C241" s="310"/>
      <c r="D241" s="309" t="s">
        <v>975</v>
      </c>
      <c r="E241" s="309"/>
      <c r="F241" s="309" t="s">
        <v>404</v>
      </c>
      <c r="G241" s="309"/>
      <c r="H241" s="309" t="s">
        <v>975</v>
      </c>
      <c r="I241" s="311" t="s">
        <v>113</v>
      </c>
      <c r="J241" s="316">
        <v>6635007900733</v>
      </c>
      <c r="K241" s="299">
        <v>42909</v>
      </c>
      <c r="L241" s="316">
        <v>1080</v>
      </c>
      <c r="M241" s="202">
        <f>IF(K241="cnr","CNR",IF(K241="CBU", "CBU",IF(K241="Code Out","Code Out",K241+L241)))</f>
        <v>43989</v>
      </c>
      <c r="N241" s="203">
        <f>M241</f>
        <v>43989</v>
      </c>
      <c r="O241" s="205" t="str">
        <f ca="1">IF(AJ241=1,"",IF(AH241&lt;1,"DEL",""))</f>
        <v/>
      </c>
      <c r="P241" s="317"/>
      <c r="Q241" s="313"/>
      <c r="R241" s="313"/>
      <c r="S241" s="313" t="s">
        <v>398</v>
      </c>
      <c r="T241" s="313"/>
      <c r="U241" s="318" t="s">
        <v>1473</v>
      </c>
      <c r="V241" s="314" t="s">
        <v>823</v>
      </c>
      <c r="W241" s="170"/>
      <c r="X241" s="138"/>
      <c r="Y241" s="197">
        <f>IF(AF241,MONTH(M241),"")</f>
        <v>6</v>
      </c>
      <c r="Z241" s="198">
        <f>IF(AF241,YEAR(M241),"")</f>
        <v>2020</v>
      </c>
      <c r="AA241" s="191">
        <f>IF(AF241,MONTH(N241),"")</f>
        <v>6</v>
      </c>
      <c r="AB241" s="191">
        <f>IF(AF241,YEAR(N241),"")</f>
        <v>2020</v>
      </c>
      <c r="AC241" s="193" t="str">
        <f>CONCATENATE(Y241,Z241)</f>
        <v>62020</v>
      </c>
      <c r="AD241" s="194" t="str">
        <f>CONCATENATE(AA241,AB241)</f>
        <v>62020</v>
      </c>
      <c r="AE241" s="195">
        <f>IF(M241="CBU","",IF(M241="CNR","",IF(K241="Code Out","",MIN(M241,N241))))</f>
        <v>43989</v>
      </c>
      <c r="AF241" s="196" t="b">
        <f>--(ISNUMBER(SEARCH("lab",P241)))
=--(ISNUMBER(SEARCH("fred",#REF!)))</f>
        <v>1</v>
      </c>
      <c r="AG241" s="199" t="b">
        <f>IF(AE241&lt;$J$4,TRUE,FALSE)</f>
        <v>0</v>
      </c>
      <c r="AH241" s="192">
        <f ca="1">IF(K241="CBU","",IF(K241="CNR","",IF(K241="Code Out","",SUM(M241-$U$1))))</f>
        <v>709.56816122685268</v>
      </c>
      <c r="AI241" s="192">
        <f ca="1">COUNTIF(O241,"Del")</f>
        <v>0</v>
      </c>
      <c r="AJ241" s="192">
        <f>COUNTIF(P241,"*at lab*")</f>
        <v>0</v>
      </c>
      <c r="AK241" s="200">
        <f ca="1">SUM(AI241:AJ241)</f>
        <v>0</v>
      </c>
    </row>
    <row r="242" spans="1:37" s="75" customFormat="1" x14ac:dyDescent="0.2">
      <c r="A242" s="207" t="s">
        <v>221</v>
      </c>
      <c r="B242" s="309">
        <v>24803</v>
      </c>
      <c r="C242" s="310"/>
      <c r="D242" s="309" t="s">
        <v>978</v>
      </c>
      <c r="E242" s="309"/>
      <c r="F242" s="309" t="s">
        <v>23</v>
      </c>
      <c r="G242" s="309"/>
      <c r="H242" s="309" t="s">
        <v>978</v>
      </c>
      <c r="I242" s="311" t="s">
        <v>24</v>
      </c>
      <c r="J242" s="312">
        <v>4920000820436</v>
      </c>
      <c r="K242" s="299">
        <v>42747</v>
      </c>
      <c r="L242" s="311">
        <v>540</v>
      </c>
      <c r="M242" s="202">
        <f>IF(K242="cnr","CNR",IF(K242="CBU", "CBU",IF(K242="Code Out","Code Out",K242+L242)))</f>
        <v>43287</v>
      </c>
      <c r="N242" s="203">
        <f>M242</f>
        <v>43287</v>
      </c>
      <c r="O242" s="205" t="str">
        <f ca="1">IF(AJ242=1,"",IF(AH242&lt;1,"DEL",""))</f>
        <v/>
      </c>
      <c r="P242" s="299" t="s">
        <v>851</v>
      </c>
      <c r="Q242" s="313"/>
      <c r="R242" s="313"/>
      <c r="S242" s="313" t="s">
        <v>1432</v>
      </c>
      <c r="T242" s="313"/>
      <c r="U242" s="298" t="s">
        <v>1445</v>
      </c>
      <c r="V242" s="314" t="s">
        <v>691</v>
      </c>
      <c r="W242" s="170"/>
      <c r="X242" s="138"/>
      <c r="Y242" s="197">
        <f>IF(AF242,MONTH(M242),"")</f>
        <v>7</v>
      </c>
      <c r="Z242" s="198">
        <f>IF(AF242,YEAR(M242),"")</f>
        <v>2018</v>
      </c>
      <c r="AA242" s="191">
        <f>IF(AF242,MONTH(N242),"")</f>
        <v>7</v>
      </c>
      <c r="AB242" s="191">
        <f>IF(AF242,YEAR(N242),"")</f>
        <v>2018</v>
      </c>
      <c r="AC242" s="193" t="str">
        <f>CONCATENATE(Y242,Z242)</f>
        <v>72018</v>
      </c>
      <c r="AD242" s="194" t="str">
        <f>CONCATENATE(AA242,AB242)</f>
        <v>72018</v>
      </c>
      <c r="AE242" s="195">
        <f>IF(M242="CBU","",IF(M242="CNR","",IF(K242="Code Out","",MIN(M242,N242))))</f>
        <v>43287</v>
      </c>
      <c r="AF242" s="196" t="b">
        <f>--(ISNUMBER(SEARCH("lab",P242)))
=--(ISNUMBER(SEARCH("fred",#REF!)))</f>
        <v>1</v>
      </c>
      <c r="AG242" s="199" t="b">
        <f>IF(AE242&lt;$J$4,TRUE,FALSE)</f>
        <v>1</v>
      </c>
      <c r="AH242" s="192">
        <f ca="1">IF(K242="CBU","",IF(K242="CNR","",IF(K242="Code Out","",SUM(M242-$U$1))))</f>
        <v>7.5681612268526806</v>
      </c>
      <c r="AI242" s="192">
        <f ca="1">COUNTIF(O242,"Del")</f>
        <v>0</v>
      </c>
      <c r="AJ242" s="192">
        <f>COUNTIF(P242,"*at lab*")</f>
        <v>0</v>
      </c>
      <c r="AK242" s="200">
        <f ca="1">SUM(AI242:AJ242)</f>
        <v>0</v>
      </c>
    </row>
    <row r="243" spans="1:37" s="75" customFormat="1" x14ac:dyDescent="0.2">
      <c r="A243" s="207" t="s">
        <v>381</v>
      </c>
      <c r="B243" s="309">
        <v>1646968</v>
      </c>
      <c r="C243" s="310"/>
      <c r="D243" s="311">
        <v>2</v>
      </c>
      <c r="E243" s="311"/>
      <c r="F243" s="309" t="s">
        <v>217</v>
      </c>
      <c r="G243" s="309"/>
      <c r="H243" s="309" t="s">
        <v>870</v>
      </c>
      <c r="I243" s="311" t="s">
        <v>218</v>
      </c>
      <c r="J243" s="312">
        <v>6635012553239</v>
      </c>
      <c r="K243" s="299">
        <v>42892</v>
      </c>
      <c r="L243" s="311">
        <v>360</v>
      </c>
      <c r="M243" s="202">
        <f>IF(K243="cnr","CNR",IF(K243="CBU", "CBU",IF(K243="Code Out","Code Out",K243+L243)))</f>
        <v>43252</v>
      </c>
      <c r="N243" s="203">
        <f>M243</f>
        <v>43252</v>
      </c>
      <c r="O243" s="205" t="str">
        <f>IF(AJ243=1,"",IF(AH243&lt;1,"DEL",""))</f>
        <v/>
      </c>
      <c r="P243" s="299" t="s">
        <v>1551</v>
      </c>
      <c r="Q243" s="313"/>
      <c r="R243" s="313" t="s">
        <v>398</v>
      </c>
      <c r="S243" s="313"/>
      <c r="T243" s="313"/>
      <c r="U243" s="318" t="s">
        <v>1473</v>
      </c>
      <c r="V243" s="314" t="s">
        <v>556</v>
      </c>
      <c r="W243" s="173"/>
      <c r="X243" s="139"/>
      <c r="Y243" s="191" t="str">
        <f>IF(AF243,MONTH(M243),"")</f>
        <v/>
      </c>
      <c r="Z243" s="192" t="str">
        <f>IF(AF243,YEAR(M243),"")</f>
        <v/>
      </c>
      <c r="AA243" s="191" t="str">
        <f>IF(AF243,MONTH(N243),"")</f>
        <v/>
      </c>
      <c r="AB243" s="191" t="str">
        <f>IF(AF243,YEAR(N243),"")</f>
        <v/>
      </c>
      <c r="AC243" s="193" t="str">
        <f>CONCATENATE(Y243,Z243)</f>
        <v/>
      </c>
      <c r="AD243" s="194" t="str">
        <f>CONCATENATE(AA243,AB243)</f>
        <v/>
      </c>
      <c r="AE243" s="195">
        <f>IF(M243="CBU","",IF(M243="CNR","",IF(K243="Code Out","",MIN(M243,N243))))</f>
        <v>43252</v>
      </c>
      <c r="AF243" s="196" t="b">
        <f>--(ISNUMBER(SEARCH("lab",P243)))
=--(ISNUMBER(SEARCH("fred",#REF!)))</f>
        <v>0</v>
      </c>
      <c r="AG243" s="199" t="b">
        <f>IF(AE243&lt;$J$4,TRUE,FALSE)</f>
        <v>1</v>
      </c>
      <c r="AH243" s="192">
        <f ca="1">IF(K243="CBU","",IF(K243="CNR","",IF(K243="Code Out","",SUM(M243-$U$1))))</f>
        <v>-27.431838773147319</v>
      </c>
      <c r="AI243" s="192">
        <f>COUNTIF(O243,"Del")</f>
        <v>0</v>
      </c>
      <c r="AJ243" s="192">
        <f>COUNTIF(P243,"*at lab*")</f>
        <v>1</v>
      </c>
      <c r="AK243" s="200">
        <f>SUM(AI243:AJ243)</f>
        <v>1</v>
      </c>
    </row>
    <row r="244" spans="1:37" s="75" customFormat="1" x14ac:dyDescent="0.2">
      <c r="A244" s="207" t="s">
        <v>297</v>
      </c>
      <c r="B244" s="309" t="s">
        <v>215</v>
      </c>
      <c r="C244" s="310"/>
      <c r="D244" s="311">
        <v>2</v>
      </c>
      <c r="E244" s="311"/>
      <c r="F244" s="309" t="s">
        <v>216</v>
      </c>
      <c r="G244" s="309"/>
      <c r="H244" s="309" t="s">
        <v>870</v>
      </c>
      <c r="I244" s="311" t="s">
        <v>218</v>
      </c>
      <c r="J244" s="312">
        <v>6635012531343</v>
      </c>
      <c r="K244" s="299">
        <v>42892</v>
      </c>
      <c r="L244" s="311">
        <v>360</v>
      </c>
      <c r="M244" s="202">
        <f>IF(K244="cnr","CNR",IF(K244="CBU", "CBU",IF(K244="Code Out","Code Out",K244+L244)))</f>
        <v>43252</v>
      </c>
      <c r="N244" s="203">
        <f>M244</f>
        <v>43252</v>
      </c>
      <c r="O244" s="205" t="str">
        <f>IF(AJ244=1,"",IF(AH244&lt;1,"DEL",""))</f>
        <v/>
      </c>
      <c r="P244" s="299" t="s">
        <v>1551</v>
      </c>
      <c r="Q244" s="313"/>
      <c r="R244" s="313" t="s">
        <v>398</v>
      </c>
      <c r="S244" s="313"/>
      <c r="T244" s="313"/>
      <c r="U244" s="318" t="s">
        <v>1473</v>
      </c>
      <c r="V244" s="314" t="s">
        <v>556</v>
      </c>
      <c r="W244" s="303"/>
      <c r="X244" s="302"/>
      <c r="Y244" s="197" t="str">
        <f>IF(AF244,MONTH(M244),"")</f>
        <v/>
      </c>
      <c r="Z244" s="198" t="str">
        <f>IF(AF244,YEAR(M244),"")</f>
        <v/>
      </c>
      <c r="AA244" s="191" t="str">
        <f>IF(AF244,MONTH(N244),"")</f>
        <v/>
      </c>
      <c r="AB244" s="191" t="str">
        <f>IF(AF244,YEAR(N244),"")</f>
        <v/>
      </c>
      <c r="AC244" s="193" t="str">
        <f>CONCATENATE(Y244,Z244)</f>
        <v/>
      </c>
      <c r="AD244" s="194" t="str">
        <f>CONCATENATE(AA244,AB244)</f>
        <v/>
      </c>
      <c r="AE244" s="195">
        <f>IF(M244="CBU","",IF(M244="CNR","",IF(K244="Code Out","",MIN(M244,N244))))</f>
        <v>43252</v>
      </c>
      <c r="AF244" s="196" t="b">
        <f>--(ISNUMBER(SEARCH("lab",P244)))
=--(ISNUMBER(SEARCH("fred",A239)))</f>
        <v>0</v>
      </c>
      <c r="AG244" s="199" t="b">
        <f>IF(AE244&lt;$J$4,TRUE,FALSE)</f>
        <v>1</v>
      </c>
      <c r="AH244" s="192">
        <f ca="1">IF(K244="CBU","",IF(K244="CNR","",IF(K244="Code Out","",SUM(M244-$U$1))))</f>
        <v>-27.431838773147319</v>
      </c>
      <c r="AI244" s="192">
        <f>COUNTIF(O244,"Del")</f>
        <v>0</v>
      </c>
      <c r="AJ244" s="192">
        <f>COUNTIF(P244,"*at lab*")</f>
        <v>1</v>
      </c>
      <c r="AK244" s="200">
        <f>SUM(AI244:AJ244)</f>
        <v>1</v>
      </c>
    </row>
    <row r="245" spans="1:37" s="75" customFormat="1" x14ac:dyDescent="0.2">
      <c r="A245" s="207" t="s">
        <v>214</v>
      </c>
      <c r="B245" s="309" t="s">
        <v>995</v>
      </c>
      <c r="C245" s="310"/>
      <c r="D245" s="311">
        <v>1</v>
      </c>
      <c r="E245" s="311"/>
      <c r="F245" s="309" t="s">
        <v>712</v>
      </c>
      <c r="G245" s="309" t="s">
        <v>772</v>
      </c>
      <c r="H245" s="309" t="s">
        <v>855</v>
      </c>
      <c r="I245" s="311" t="s">
        <v>5</v>
      </c>
      <c r="J245" s="312">
        <v>5821013995597</v>
      </c>
      <c r="K245" s="299">
        <v>43175</v>
      </c>
      <c r="L245" s="311">
        <v>180</v>
      </c>
      <c r="M245" s="202">
        <f>IF(K245="cnr","CNR",IF(K245="CBU", "CBU",IF(K245="Code Out","Code Out",K245+L245)))</f>
        <v>43355</v>
      </c>
      <c r="N245" s="203">
        <f>M245</f>
        <v>43355</v>
      </c>
      <c r="O245" s="205" t="str">
        <f ca="1">IF(AJ245=1,"",IF(AH245&lt;1,"DEL",""))</f>
        <v/>
      </c>
      <c r="P245" s="299"/>
      <c r="Q245" s="313"/>
      <c r="R245" s="313"/>
      <c r="S245" s="313" t="s">
        <v>398</v>
      </c>
      <c r="T245" s="313"/>
      <c r="U245" s="298" t="s">
        <v>1533</v>
      </c>
      <c r="V245" s="314" t="s">
        <v>1528</v>
      </c>
      <c r="W245" s="170"/>
      <c r="X245" s="138"/>
      <c r="Y245" s="197">
        <f>IF(AF245,MONTH(M245),"")</f>
        <v>9</v>
      </c>
      <c r="Z245" s="198">
        <f>IF(AF245,YEAR(M245),"")</f>
        <v>2018</v>
      </c>
      <c r="AA245" s="191">
        <f>IF(AF245,MONTH(N245),"")</f>
        <v>9</v>
      </c>
      <c r="AB245" s="191">
        <f>IF(AF245,YEAR(N245),"")</f>
        <v>2018</v>
      </c>
      <c r="AC245" s="193" t="str">
        <f>CONCATENATE(Y245,Z245)</f>
        <v>92018</v>
      </c>
      <c r="AD245" s="194" t="str">
        <f>CONCATENATE(AA245,AB245)</f>
        <v>92018</v>
      </c>
      <c r="AE245" s="195">
        <f>IF(M245="CBU","",IF(M245="CNR","",IF(K245="Code Out","",MIN(M245,N245))))</f>
        <v>43355</v>
      </c>
      <c r="AF245" s="196" t="b">
        <f>--(ISNUMBER(SEARCH("lab",P245)))
=--(ISNUMBER(SEARCH("fred",A240)))</f>
        <v>1</v>
      </c>
      <c r="AG245" s="199" t="b">
        <f>IF(AE245&lt;$J$4,TRUE,FALSE)</f>
        <v>0</v>
      </c>
      <c r="AH245" s="192">
        <f ca="1">IF(K245="CBU","",IF(K245="CNR","",IF(K245="Code Out","",SUM(M245-$U$1))))</f>
        <v>75.568161226852681</v>
      </c>
      <c r="AI245" s="192">
        <f ca="1">COUNTIF(O245,"Del")</f>
        <v>0</v>
      </c>
      <c r="AJ245" s="192">
        <f>COUNTIF(P245,"*at lab*")</f>
        <v>0</v>
      </c>
      <c r="AK245" s="200">
        <f ca="1">SUM(AI245:AJ245)</f>
        <v>0</v>
      </c>
    </row>
    <row r="246" spans="1:37" s="75" customFormat="1" ht="38.25" x14ac:dyDescent="0.2">
      <c r="A246" s="207" t="s">
        <v>222</v>
      </c>
      <c r="B246" s="309" t="s">
        <v>145</v>
      </c>
      <c r="C246" s="310"/>
      <c r="D246" s="311">
        <v>3</v>
      </c>
      <c r="E246" s="311"/>
      <c r="F246" s="309" t="s">
        <v>38</v>
      </c>
      <c r="G246" s="309" t="s">
        <v>780</v>
      </c>
      <c r="H246" s="309" t="s">
        <v>973</v>
      </c>
      <c r="I246" s="311" t="s">
        <v>5</v>
      </c>
      <c r="J246" s="312">
        <v>5120008213441</v>
      </c>
      <c r="K246" s="299">
        <v>43175</v>
      </c>
      <c r="L246" s="311">
        <v>180</v>
      </c>
      <c r="M246" s="202">
        <f>IF(K246="cnr","CNR",IF(K246="CBU", "CBU",IF(K246="Code Out","Code Out",K246+L246)))</f>
        <v>43355</v>
      </c>
      <c r="N246" s="203">
        <f>M246</f>
        <v>43355</v>
      </c>
      <c r="O246" s="205" t="str">
        <f ca="1">IF(AJ246=1,"",IF(AH246&lt;1,"DEL",""))</f>
        <v/>
      </c>
      <c r="P246" s="299"/>
      <c r="Q246" s="313"/>
      <c r="R246" s="313"/>
      <c r="S246" s="313" t="s">
        <v>398</v>
      </c>
      <c r="T246" s="313"/>
      <c r="U246" s="298" t="s">
        <v>1533</v>
      </c>
      <c r="V246" s="314" t="s">
        <v>1528</v>
      </c>
      <c r="W246" s="173"/>
      <c r="X246" s="139"/>
      <c r="Y246" s="191">
        <f>IF(AF246,MONTH(M246),"")</f>
        <v>9</v>
      </c>
      <c r="Z246" s="192">
        <f>IF(AF246,YEAR(M246),"")</f>
        <v>2018</v>
      </c>
      <c r="AA246" s="191">
        <f>IF(AF246,MONTH(N246),"")</f>
        <v>9</v>
      </c>
      <c r="AB246" s="191">
        <f>IF(AF246,YEAR(N246),"")</f>
        <v>2018</v>
      </c>
      <c r="AC246" s="193" t="str">
        <f>CONCATENATE(Y246,Z246)</f>
        <v>92018</v>
      </c>
      <c r="AD246" s="194" t="str">
        <f>CONCATENATE(AA246,AB246)</f>
        <v>92018</v>
      </c>
      <c r="AE246" s="195">
        <f>IF(M246="CBU","",IF(M246="CNR","",IF(K246="Code Out","",MIN(M246,N246))))</f>
        <v>43355</v>
      </c>
      <c r="AF246" s="196" t="b">
        <f>--(ISNUMBER(SEARCH("lab",P246)))
=--(ISNUMBER(SEARCH("fred",A241)))</f>
        <v>1</v>
      </c>
      <c r="AG246" s="199" t="b">
        <f>IF(AE246&lt;$J$4,TRUE,FALSE)</f>
        <v>0</v>
      </c>
      <c r="AH246" s="192">
        <f ca="1">IF(K246="CBU","",IF(K246="CNR","",IF(K246="Code Out","",SUM(M246-$U$1))))</f>
        <v>75.568161226852681</v>
      </c>
      <c r="AI246" s="192">
        <f ca="1">COUNTIF(O246,"Del")</f>
        <v>0</v>
      </c>
      <c r="AJ246" s="192">
        <f>COUNTIF(P246,"*at lab*")</f>
        <v>0</v>
      </c>
      <c r="AK246" s="200">
        <f ca="1">SUM(AI246:AJ246)</f>
        <v>0</v>
      </c>
    </row>
    <row r="247" spans="1:37" s="75" customFormat="1" x14ac:dyDescent="0.2">
      <c r="A247" s="207" t="s">
        <v>198</v>
      </c>
      <c r="B247" s="309" t="s">
        <v>199</v>
      </c>
      <c r="C247" s="310"/>
      <c r="D247" s="309" t="s">
        <v>975</v>
      </c>
      <c r="E247" s="309"/>
      <c r="F247" s="309" t="s">
        <v>613</v>
      </c>
      <c r="G247" s="309" t="s">
        <v>778</v>
      </c>
      <c r="H247" s="309" t="s">
        <v>975</v>
      </c>
      <c r="I247" s="311" t="s">
        <v>5</v>
      </c>
      <c r="J247" s="312">
        <v>5120001174832</v>
      </c>
      <c r="K247" s="299">
        <v>43175</v>
      </c>
      <c r="L247" s="311">
        <v>180</v>
      </c>
      <c r="M247" s="202">
        <f>IF(K247="cnr","CNR",IF(K247="CBU", "CBU",IF(K247="Code Out","Code Out",K247+L247)))</f>
        <v>43355</v>
      </c>
      <c r="N247" s="203">
        <f>M247</f>
        <v>43355</v>
      </c>
      <c r="O247" s="205" t="str">
        <f ca="1">IF(AJ247=1,"",IF(AH247&lt;1,"DEL",""))</f>
        <v/>
      </c>
      <c r="P247" s="299"/>
      <c r="Q247" s="313"/>
      <c r="R247" s="313"/>
      <c r="S247" s="313" t="s">
        <v>398</v>
      </c>
      <c r="T247" s="313"/>
      <c r="U247" s="298" t="s">
        <v>1533</v>
      </c>
      <c r="V247" s="314" t="s">
        <v>685</v>
      </c>
      <c r="W247" s="170"/>
      <c r="X247" s="138"/>
      <c r="Y247" s="197">
        <f>IF(AF247,MONTH(M247),"")</f>
        <v>9</v>
      </c>
      <c r="Z247" s="198">
        <f>IF(AF247,YEAR(M247),"")</f>
        <v>2018</v>
      </c>
      <c r="AA247" s="191">
        <f>IF(AF247,MONTH(N247),"")</f>
        <v>9</v>
      </c>
      <c r="AB247" s="191">
        <f>IF(AF247,YEAR(N247),"")</f>
        <v>2018</v>
      </c>
      <c r="AC247" s="193" t="str">
        <f>CONCATENATE(Y247,Z247)</f>
        <v>92018</v>
      </c>
      <c r="AD247" s="194" t="str">
        <f>CONCATENATE(AA247,AB247)</f>
        <v>92018</v>
      </c>
      <c r="AE247" s="195">
        <f>IF(M247="CBU","",IF(M247="CNR","",IF(K247="Code Out","",MIN(M247,N247))))</f>
        <v>43355</v>
      </c>
      <c r="AF247" s="196" t="b">
        <f>--(ISNUMBER(SEARCH("lab",P247)))
=--(ISNUMBER(SEARCH("fred",A242)))</f>
        <v>1</v>
      </c>
      <c r="AG247" s="199" t="b">
        <f>IF(AE247&lt;$J$4,TRUE,FALSE)</f>
        <v>0</v>
      </c>
      <c r="AH247" s="192">
        <f ca="1">IF(K247="CBU","",IF(K247="CNR","",IF(K247="Code Out","",SUM(M247-$U$1))))</f>
        <v>75.568161226852681</v>
      </c>
      <c r="AI247" s="192">
        <f ca="1">COUNTIF(O247,"Del")</f>
        <v>0</v>
      </c>
      <c r="AJ247" s="192">
        <f>COUNTIF(P247,"*at lab*")</f>
        <v>0</v>
      </c>
      <c r="AK247" s="200">
        <f ca="1">SUM(AI247:AJ247)</f>
        <v>0</v>
      </c>
    </row>
    <row r="248" spans="1:37" s="75" customFormat="1" x14ac:dyDescent="0.2">
      <c r="A248" s="207" t="s">
        <v>196</v>
      </c>
      <c r="B248" s="309" t="s">
        <v>197</v>
      </c>
      <c r="C248" s="310"/>
      <c r="D248" s="309" t="s">
        <v>975</v>
      </c>
      <c r="E248" s="309"/>
      <c r="F248" s="309" t="s">
        <v>613</v>
      </c>
      <c r="G248" s="309" t="s">
        <v>777</v>
      </c>
      <c r="H248" s="309" t="s">
        <v>975</v>
      </c>
      <c r="I248" s="311" t="s">
        <v>5</v>
      </c>
      <c r="J248" s="312">
        <v>5120001174832</v>
      </c>
      <c r="K248" s="299">
        <v>43138</v>
      </c>
      <c r="L248" s="311">
        <v>180</v>
      </c>
      <c r="M248" s="202">
        <f>IF(K248="cnr","CNR",IF(K248="CBU", "CBU",IF(K248="Code Out","Code Out",K248+L248)))</f>
        <v>43318</v>
      </c>
      <c r="N248" s="203">
        <f>M248</f>
        <v>43318</v>
      </c>
      <c r="O248" s="205" t="str">
        <f ca="1">IF(AJ248=1,"",IF(AH248&lt;1,"DEL",""))</f>
        <v/>
      </c>
      <c r="P248" s="299"/>
      <c r="Q248" s="313"/>
      <c r="R248" s="358"/>
      <c r="S248" s="313" t="s">
        <v>398</v>
      </c>
      <c r="T248" s="313"/>
      <c r="U248" s="298" t="s">
        <v>1526</v>
      </c>
      <c r="V248" s="314" t="s">
        <v>685</v>
      </c>
      <c r="W248" s="303"/>
      <c r="X248" s="302"/>
      <c r="Y248" s="197">
        <f>IF(AF248,MONTH(M248),"")</f>
        <v>8</v>
      </c>
      <c r="Z248" s="198">
        <f>IF(AF248,YEAR(M248),"")</f>
        <v>2018</v>
      </c>
      <c r="AA248" s="191">
        <f>IF(AF248,MONTH(N248),"")</f>
        <v>8</v>
      </c>
      <c r="AB248" s="191">
        <f>IF(AF248,YEAR(N248),"")</f>
        <v>2018</v>
      </c>
      <c r="AC248" s="193" t="str">
        <f>CONCATENATE(Y248,Z248)</f>
        <v>82018</v>
      </c>
      <c r="AD248" s="194" t="str">
        <f>CONCATENATE(AA248,AB248)</f>
        <v>82018</v>
      </c>
      <c r="AE248" s="195">
        <f>IF(M248="CBU","",IF(M248="CNR","",IF(K248="Code Out","",MIN(M248,N248))))</f>
        <v>43318</v>
      </c>
      <c r="AF248" s="196" t="b">
        <f>--(ISNUMBER(SEARCH("lab",P248)))
=--(ISNUMBER(SEARCH("fred",A243)))</f>
        <v>1</v>
      </c>
      <c r="AG248" s="199" t="b">
        <f>IF(AE248&lt;$J$4,TRUE,FALSE)</f>
        <v>0</v>
      </c>
      <c r="AH248" s="192">
        <f ca="1">IF(K248="CBU","",IF(K248="CNR","",IF(K248="Code Out","",SUM(M248-$U$1))))</f>
        <v>38.568161226852681</v>
      </c>
      <c r="AI248" s="192">
        <f ca="1">COUNTIF(O248,"Del")</f>
        <v>0</v>
      </c>
      <c r="AJ248" s="192">
        <f>COUNTIF(P248,"*at lab*")</f>
        <v>0</v>
      </c>
      <c r="AK248" s="200">
        <f ca="1">SUM(AI248:AJ248)</f>
        <v>0</v>
      </c>
    </row>
    <row r="249" spans="1:37" s="75" customFormat="1" x14ac:dyDescent="0.2">
      <c r="A249" s="207" t="s">
        <v>206</v>
      </c>
      <c r="B249" s="315" t="s">
        <v>349</v>
      </c>
      <c r="C249" s="311" t="s">
        <v>513</v>
      </c>
      <c r="D249" s="311">
        <v>1</v>
      </c>
      <c r="E249" s="311"/>
      <c r="F249" s="309" t="s">
        <v>99</v>
      </c>
      <c r="G249" s="309"/>
      <c r="H249" s="309" t="s">
        <v>855</v>
      </c>
      <c r="I249" s="311" t="s">
        <v>100</v>
      </c>
      <c r="J249" s="316">
        <v>6625012338615</v>
      </c>
      <c r="K249" s="299">
        <v>42879</v>
      </c>
      <c r="L249" s="310">
        <v>840</v>
      </c>
      <c r="M249" s="202">
        <f>IF(K249="cnr","CNR",IF(K249="CBU", "CBU",IF(K249="Code Out","Code Out",K249+L249)))</f>
        <v>43719</v>
      </c>
      <c r="N249" s="203">
        <f>M249</f>
        <v>43719</v>
      </c>
      <c r="O249" s="205" t="str">
        <f ca="1">IF(AJ249=1,"",IF(AH249&lt;1,"DEL",""))</f>
        <v/>
      </c>
      <c r="P249" s="317"/>
      <c r="Q249" s="313"/>
      <c r="R249" s="313"/>
      <c r="S249" s="313" t="s">
        <v>1470</v>
      </c>
      <c r="T249" s="313"/>
      <c r="U249" s="321" t="s">
        <v>1471</v>
      </c>
      <c r="V249" s="314" t="s">
        <v>367</v>
      </c>
      <c r="W249" s="173"/>
      <c r="X249" s="139"/>
      <c r="Y249" s="191">
        <f>IF(AF249,MONTH(M249),"")</f>
        <v>9</v>
      </c>
      <c r="Z249" s="192">
        <f>IF(AF249,YEAR(M249),"")</f>
        <v>2019</v>
      </c>
      <c r="AA249" s="191">
        <f>IF(AF249,MONTH(N249),"")</f>
        <v>9</v>
      </c>
      <c r="AB249" s="191">
        <f>IF(AF249,YEAR(N249),"")</f>
        <v>2019</v>
      </c>
      <c r="AC249" s="193" t="str">
        <f>CONCATENATE(Y249,Z249)</f>
        <v>92019</v>
      </c>
      <c r="AD249" s="194" t="str">
        <f>CONCATENATE(AA249,AB249)</f>
        <v>92019</v>
      </c>
      <c r="AE249" s="195">
        <f>IF(M249="CBU","",IF(M249="CNR","",IF(K249="Code Out","",MIN(M249,N249))))</f>
        <v>43719</v>
      </c>
      <c r="AF249" s="196" t="b">
        <f>--(ISNUMBER(SEARCH("lab",P249)))
=--(ISNUMBER(SEARCH("fred",A241)))</f>
        <v>1</v>
      </c>
      <c r="AG249" s="199" t="b">
        <f>IF(AE249&lt;$J$4,TRUE,FALSE)</f>
        <v>0</v>
      </c>
      <c r="AH249" s="192">
        <f ca="1">IF(K249="CBU","",IF(K249="CNR","",IF(K249="Code Out","",SUM(M249-$U$1))))</f>
        <v>439.56816122685268</v>
      </c>
      <c r="AI249" s="192">
        <f ca="1">COUNTIF(O249,"Del")</f>
        <v>0</v>
      </c>
      <c r="AJ249" s="192">
        <f>COUNTIF(P249,"*at lab*")</f>
        <v>0</v>
      </c>
      <c r="AK249" s="200">
        <f ca="1">SUM(AI249:AJ249)</f>
        <v>0</v>
      </c>
    </row>
    <row r="250" spans="1:37" s="75" customFormat="1" ht="25.5" x14ac:dyDescent="0.2">
      <c r="A250" s="207" t="s">
        <v>201</v>
      </c>
      <c r="B250" s="309" t="s">
        <v>423</v>
      </c>
      <c r="C250" s="310"/>
      <c r="D250" s="311">
        <v>2</v>
      </c>
      <c r="E250" s="311"/>
      <c r="F250" s="309" t="s">
        <v>427</v>
      </c>
      <c r="G250" s="309" t="s">
        <v>774</v>
      </c>
      <c r="H250" s="309" t="s">
        <v>870</v>
      </c>
      <c r="I250" s="311" t="s">
        <v>5</v>
      </c>
      <c r="J250" s="312">
        <v>5120007761841</v>
      </c>
      <c r="K250" s="299">
        <v>43175</v>
      </c>
      <c r="L250" s="311">
        <v>180</v>
      </c>
      <c r="M250" s="202">
        <f>IF(K250="cnr","CNR",IF(K250="CBU", "CBU",IF(K250="Code Out","Code Out",K250+L250)))</f>
        <v>43355</v>
      </c>
      <c r="N250" s="203">
        <f>M250</f>
        <v>43355</v>
      </c>
      <c r="O250" s="205" t="str">
        <f ca="1">IF(AJ250=1,"",IF(AH250&lt;1,"DEL",""))</f>
        <v/>
      </c>
      <c r="P250" s="299"/>
      <c r="Q250" s="313"/>
      <c r="R250" s="313"/>
      <c r="S250" s="313" t="s">
        <v>398</v>
      </c>
      <c r="T250" s="313"/>
      <c r="U250" s="298" t="s">
        <v>1533</v>
      </c>
      <c r="V250" s="314" t="s">
        <v>688</v>
      </c>
      <c r="W250" s="173"/>
      <c r="X250" s="139"/>
      <c r="Y250" s="191">
        <f>IF(AF250,MONTH(M250),"")</f>
        <v>9</v>
      </c>
      <c r="Z250" s="192">
        <f>IF(AF250,YEAR(M250),"")</f>
        <v>2018</v>
      </c>
      <c r="AA250" s="191">
        <f>IF(AF250,MONTH(N250),"")</f>
        <v>9</v>
      </c>
      <c r="AB250" s="191">
        <f>IF(AF250,YEAR(N250),"")</f>
        <v>2018</v>
      </c>
      <c r="AC250" s="193" t="str">
        <f>CONCATENATE(Y250,Z250)</f>
        <v>92018</v>
      </c>
      <c r="AD250" s="194" t="str">
        <f>CONCATENATE(AA250,AB250)</f>
        <v>92018</v>
      </c>
      <c r="AE250" s="195">
        <f>IF(M250="CBU","",IF(M250="CNR","",IF(K250="Code Out","",MIN(M250,N250))))</f>
        <v>43355</v>
      </c>
      <c r="AF250" s="196" t="b">
        <f>--(ISNUMBER(SEARCH("lab",P250)))
=--(ISNUMBER(SEARCH("fred",A242)))</f>
        <v>1</v>
      </c>
      <c r="AG250" s="199" t="b">
        <f>IF(AE250&lt;$J$4,TRUE,FALSE)</f>
        <v>0</v>
      </c>
      <c r="AH250" s="192">
        <f ca="1">IF(K250="CBU","",IF(K250="CNR","",IF(K250="Code Out","",SUM(M250-$U$1))))</f>
        <v>75.568161226852681</v>
      </c>
      <c r="AI250" s="192">
        <f ca="1">COUNTIF(O250,"Del")</f>
        <v>0</v>
      </c>
      <c r="AJ250" s="192">
        <f>COUNTIF(P250,"*at lab*")</f>
        <v>0</v>
      </c>
      <c r="AK250" s="200">
        <f ca="1">SUM(AI250:AJ250)</f>
        <v>0</v>
      </c>
    </row>
    <row r="251" spans="1:37" s="75" customFormat="1" x14ac:dyDescent="0.2">
      <c r="A251" s="207" t="s">
        <v>189</v>
      </c>
      <c r="B251" s="315" t="s">
        <v>187</v>
      </c>
      <c r="C251" s="311" t="s">
        <v>515</v>
      </c>
      <c r="D251" s="311">
        <v>3</v>
      </c>
      <c r="E251" s="311"/>
      <c r="F251" s="309" t="s">
        <v>282</v>
      </c>
      <c r="G251" s="309"/>
      <c r="H251" s="309" t="s">
        <v>973</v>
      </c>
      <c r="I251" s="311" t="s">
        <v>188</v>
      </c>
      <c r="J251" s="316">
        <v>6625012886515</v>
      </c>
      <c r="K251" s="299">
        <v>43139</v>
      </c>
      <c r="L251" s="310">
        <v>360</v>
      </c>
      <c r="M251" s="202">
        <f>IF(K251="cnr","CNR",IF(K251="CBU", "CBU",IF(K251="Code Out","Code Out",K251+L251)))</f>
        <v>43499</v>
      </c>
      <c r="N251" s="203">
        <f>M251</f>
        <v>43499</v>
      </c>
      <c r="O251" s="205" t="str">
        <f ca="1">IF(AJ251=1,"",IF(AH251&lt;1,"DEL",""))</f>
        <v/>
      </c>
      <c r="P251" s="299"/>
      <c r="Q251" s="313"/>
      <c r="R251" s="313"/>
      <c r="S251" s="313" t="s">
        <v>398</v>
      </c>
      <c r="T251" s="313"/>
      <c r="U251" s="298" t="s">
        <v>1526</v>
      </c>
      <c r="V251" s="314" t="s">
        <v>367</v>
      </c>
      <c r="W251" s="170"/>
      <c r="X251" s="138"/>
      <c r="Y251" s="197">
        <f>IF(AF251,MONTH(M251),"")</f>
        <v>2</v>
      </c>
      <c r="Z251" s="198">
        <f>IF(AF251,YEAR(M251),"")</f>
        <v>2019</v>
      </c>
      <c r="AA251" s="191">
        <f>IF(AF251,MONTH(N251),"")</f>
        <v>2</v>
      </c>
      <c r="AB251" s="191">
        <f>IF(AF251,YEAR(N251),"")</f>
        <v>2019</v>
      </c>
      <c r="AC251" s="193" t="str">
        <f>CONCATENATE(Y251,Z251)</f>
        <v>22019</v>
      </c>
      <c r="AD251" s="194" t="str">
        <f>CONCATENATE(AA251,AB251)</f>
        <v>22019</v>
      </c>
      <c r="AE251" s="195">
        <f>IF(M251="CBU","",IF(M251="CNR","",IF(K251="Code Out","",MIN(M251,N251))))</f>
        <v>43499</v>
      </c>
      <c r="AF251" s="196" t="b">
        <f>--(ISNUMBER(SEARCH("lab",P251)))
=--(ISNUMBER(SEARCH("fred",A243)))</f>
        <v>1</v>
      </c>
      <c r="AG251" s="199" t="b">
        <f>IF(AE251&lt;$J$4,TRUE,FALSE)</f>
        <v>0</v>
      </c>
      <c r="AH251" s="192">
        <f ca="1">IF(K251="CBU","",IF(K251="CNR","",IF(K251="Code Out","",SUM(M251-$U$1))))</f>
        <v>219.56816122685268</v>
      </c>
      <c r="AI251" s="192">
        <f ca="1">COUNTIF(O251,"Del")</f>
        <v>0</v>
      </c>
      <c r="AJ251" s="192">
        <f>COUNTIF(P251,"*at lab*")</f>
        <v>0</v>
      </c>
      <c r="AK251" s="200">
        <f ca="1">SUM(AI251:AJ251)</f>
        <v>0</v>
      </c>
    </row>
    <row r="252" spans="1:37" s="75" customFormat="1" x14ac:dyDescent="0.2">
      <c r="A252" s="207" t="s">
        <v>54</v>
      </c>
      <c r="B252" s="309" t="s">
        <v>55</v>
      </c>
      <c r="C252" s="310"/>
      <c r="D252" s="311">
        <v>1</v>
      </c>
      <c r="E252" s="311"/>
      <c r="F252" s="309" t="s">
        <v>56</v>
      </c>
      <c r="G252" s="309"/>
      <c r="H252" s="309" t="s">
        <v>855</v>
      </c>
      <c r="I252" s="311" t="s">
        <v>57</v>
      </c>
      <c r="J252" s="312">
        <v>5210005402973</v>
      </c>
      <c r="K252" s="299">
        <v>42747</v>
      </c>
      <c r="L252" s="311">
        <v>1080</v>
      </c>
      <c r="M252" s="202">
        <f>IF(K252="cnr","CNR",IF(K252="CBU", "CBU",IF(K252="Code Out","Code Out",K252+L252)))</f>
        <v>43827</v>
      </c>
      <c r="N252" s="203">
        <f>M252</f>
        <v>43827</v>
      </c>
      <c r="O252" s="205" t="str">
        <f ca="1">IF(AJ252=1,"",IF(AH252&lt;1,"DEL",""))</f>
        <v/>
      </c>
      <c r="P252" s="317"/>
      <c r="Q252" s="313"/>
      <c r="R252" s="313"/>
      <c r="S252" s="313" t="s">
        <v>1432</v>
      </c>
      <c r="T252" s="313"/>
      <c r="U252" s="298" t="s">
        <v>1442</v>
      </c>
      <c r="V252" s="314" t="s">
        <v>687</v>
      </c>
      <c r="W252" s="173"/>
      <c r="X252" s="139"/>
      <c r="Y252" s="191">
        <f>IF(AF252,MONTH(M252),"")</f>
        <v>12</v>
      </c>
      <c r="Z252" s="192">
        <f>IF(AF252,YEAR(M252),"")</f>
        <v>2019</v>
      </c>
      <c r="AA252" s="191">
        <f>IF(AF252,MONTH(N252),"")</f>
        <v>12</v>
      </c>
      <c r="AB252" s="191">
        <f>IF(AF252,YEAR(N252),"")</f>
        <v>2019</v>
      </c>
      <c r="AC252" s="193" t="str">
        <f>CONCATENATE(Y252,Z252)</f>
        <v>122019</v>
      </c>
      <c r="AD252" s="194" t="str">
        <f>CONCATENATE(AA252,AB252)</f>
        <v>122019</v>
      </c>
      <c r="AE252" s="195">
        <f>IF(M252="CBU","",IF(M252="CNR","",IF(K252="Code Out","",MIN(M252,N252))))</f>
        <v>43827</v>
      </c>
      <c r="AF252" s="196" t="b">
        <f>--(ISNUMBER(SEARCH("lab",P252)))
=--(ISNUMBER(SEARCH("fred",A244)))</f>
        <v>1</v>
      </c>
      <c r="AG252" s="199" t="b">
        <f>IF(AE252&lt;$J$4,TRUE,FALSE)</f>
        <v>0</v>
      </c>
      <c r="AH252" s="192">
        <f ca="1">IF(K252="CBU","",IF(K252="CNR","",IF(K252="Code Out","",SUM(M252-$U$1))))</f>
        <v>547.56816122685268</v>
      </c>
      <c r="AI252" s="192">
        <f ca="1">COUNTIF(O252,"Del")</f>
        <v>0</v>
      </c>
      <c r="AJ252" s="192">
        <f>COUNTIF(P252,"*at lab*")</f>
        <v>0</v>
      </c>
      <c r="AK252" s="200">
        <f ca="1">SUM(AI252:AJ252)</f>
        <v>0</v>
      </c>
    </row>
    <row r="253" spans="1:37" s="75" customFormat="1" x14ac:dyDescent="0.2">
      <c r="A253" s="207" t="s">
        <v>70</v>
      </c>
      <c r="B253" s="309" t="s">
        <v>71</v>
      </c>
      <c r="C253" s="310"/>
      <c r="D253" s="309" t="s">
        <v>855</v>
      </c>
      <c r="E253" s="309"/>
      <c r="F253" s="309" t="s">
        <v>72</v>
      </c>
      <c r="G253" s="309"/>
      <c r="H253" s="309" t="s">
        <v>855</v>
      </c>
      <c r="I253" s="311" t="s">
        <v>57</v>
      </c>
      <c r="J253" s="312">
        <v>5210002211948</v>
      </c>
      <c r="K253" s="299">
        <v>42796</v>
      </c>
      <c r="L253" s="311">
        <v>1080</v>
      </c>
      <c r="M253" s="202">
        <f>IF(K253="cnr","CNR",IF(K253="CBU", "CBU",IF(K253="Code Out","Code Out",K253+L253)))</f>
        <v>43876</v>
      </c>
      <c r="N253" s="203">
        <f>M253</f>
        <v>43876</v>
      </c>
      <c r="O253" s="205" t="str">
        <f ca="1">IF(AJ253=1,"",IF(AH253&lt;1,"DEL",""))</f>
        <v/>
      </c>
      <c r="P253" s="317"/>
      <c r="Q253" s="313"/>
      <c r="R253" s="313"/>
      <c r="S253" s="313" t="s">
        <v>398</v>
      </c>
      <c r="T253" s="313"/>
      <c r="U253" s="298" t="s">
        <v>1464</v>
      </c>
      <c r="V253" s="314" t="s">
        <v>692</v>
      </c>
      <c r="W253" s="303"/>
      <c r="X253" s="302"/>
      <c r="Y253" s="197">
        <f>IF(AF253,MONTH(M253),"")</f>
        <v>2</v>
      </c>
      <c r="Z253" s="198">
        <f>IF(AF253,YEAR(M253),"")</f>
        <v>2020</v>
      </c>
      <c r="AA253" s="191">
        <f>IF(AF253,MONTH(N253),"")</f>
        <v>2</v>
      </c>
      <c r="AB253" s="191">
        <f>IF(AF253,YEAR(N253),"")</f>
        <v>2020</v>
      </c>
      <c r="AC253" s="193" t="str">
        <f>CONCATENATE(Y253,Z253)</f>
        <v>22020</v>
      </c>
      <c r="AD253" s="194" t="str">
        <f>CONCATENATE(AA253,AB253)</f>
        <v>22020</v>
      </c>
      <c r="AE253" s="195">
        <f>IF(M253="CBU","",IF(M253="CNR","",IF(K253="Code Out","",MIN(M253,N253))))</f>
        <v>43876</v>
      </c>
      <c r="AF253" s="196" t="b">
        <f>--(ISNUMBER(SEARCH("lab",P253)))
=--(ISNUMBER(SEARCH("fred",A245)))</f>
        <v>1</v>
      </c>
      <c r="AG253" s="199" t="b">
        <f>IF(AE253&lt;$J$4,TRUE,FALSE)</f>
        <v>0</v>
      </c>
      <c r="AH253" s="192">
        <f ca="1">IF(K253="CBU","",IF(K253="CNR","",IF(K253="Code Out","",SUM(M253-$U$1))))</f>
        <v>596.56816122685268</v>
      </c>
      <c r="AI253" s="192">
        <f ca="1">COUNTIF(O253,"Del")</f>
        <v>0</v>
      </c>
      <c r="AJ253" s="192">
        <f>COUNTIF(P253,"*at lab*")</f>
        <v>0</v>
      </c>
      <c r="AK253" s="200">
        <f ca="1">SUM(AI253:AJ253)</f>
        <v>0</v>
      </c>
    </row>
    <row r="254" spans="1:37" s="75" customFormat="1" x14ac:dyDescent="0.2">
      <c r="A254" s="207" t="s">
        <v>67</v>
      </c>
      <c r="B254" s="309" t="s">
        <v>68</v>
      </c>
      <c r="C254" s="310"/>
      <c r="D254" s="311">
        <v>1</v>
      </c>
      <c r="E254" s="311"/>
      <c r="F254" s="309" t="s">
        <v>69</v>
      </c>
      <c r="G254" s="309"/>
      <c r="H254" s="309" t="s">
        <v>855</v>
      </c>
      <c r="I254" s="311" t="s">
        <v>57</v>
      </c>
      <c r="J254" s="312">
        <v>5210002211934</v>
      </c>
      <c r="K254" s="299">
        <v>42796</v>
      </c>
      <c r="L254" s="311">
        <v>1080</v>
      </c>
      <c r="M254" s="202">
        <f>IF(K254="cnr","CNR",IF(K254="CBU", "CBU",IF(K254="Code Out","Code Out",K254+L254)))</f>
        <v>43876</v>
      </c>
      <c r="N254" s="203">
        <f>M254</f>
        <v>43876</v>
      </c>
      <c r="O254" s="205" t="str">
        <f ca="1">IF(AJ254=1,"",IF(AH254&lt;1,"DEL",""))</f>
        <v/>
      </c>
      <c r="P254" s="317"/>
      <c r="Q254" s="313"/>
      <c r="R254" s="313"/>
      <c r="S254" s="313" t="s">
        <v>398</v>
      </c>
      <c r="T254" s="313"/>
      <c r="U254" s="298" t="s">
        <v>1464</v>
      </c>
      <c r="V254" s="314" t="s">
        <v>692</v>
      </c>
      <c r="W254" s="173"/>
      <c r="X254" s="139"/>
      <c r="Y254" s="191">
        <f>IF(AF254,MONTH(M254),"")</f>
        <v>2</v>
      </c>
      <c r="Z254" s="192">
        <f>IF(AF254,YEAR(M254),"")</f>
        <v>2020</v>
      </c>
      <c r="AA254" s="191">
        <f>IF(AF254,MONTH(N254),"")</f>
        <v>2</v>
      </c>
      <c r="AB254" s="191">
        <f>IF(AF254,YEAR(N254),"")</f>
        <v>2020</v>
      </c>
      <c r="AC254" s="193" t="str">
        <f>CONCATENATE(Y254,Z254)</f>
        <v>22020</v>
      </c>
      <c r="AD254" s="194" t="str">
        <f>CONCATENATE(AA254,AB254)</f>
        <v>22020</v>
      </c>
      <c r="AE254" s="195">
        <f>IF(M254="CBU","",IF(M254="CNR","",IF(K254="Code Out","",MIN(M254,N254))))</f>
        <v>43876</v>
      </c>
      <c r="AF254" s="196" t="b">
        <f>--(ISNUMBER(SEARCH("lab",P254)))
=--(ISNUMBER(SEARCH("fred",A246)))</f>
        <v>1</v>
      </c>
      <c r="AG254" s="199" t="b">
        <f>IF(AE254&lt;$J$4,TRUE,FALSE)</f>
        <v>0</v>
      </c>
      <c r="AH254" s="192">
        <f ca="1">IF(K254="CBU","",IF(K254="CNR","",IF(K254="Code Out","",SUM(M254-$U$1))))</f>
        <v>596.56816122685268</v>
      </c>
      <c r="AI254" s="192">
        <f ca="1">COUNTIF(O254,"Del")</f>
        <v>0</v>
      </c>
      <c r="AJ254" s="192">
        <f>COUNTIF(P254,"*at lab*")</f>
        <v>0</v>
      </c>
      <c r="AK254" s="200">
        <f ca="1">SUM(AI254:AJ254)</f>
        <v>0</v>
      </c>
    </row>
    <row r="255" spans="1:37" s="75" customFormat="1" x14ac:dyDescent="0.2">
      <c r="A255" s="207" t="s">
        <v>64</v>
      </c>
      <c r="B255" s="309" t="s">
        <v>65</v>
      </c>
      <c r="C255" s="310"/>
      <c r="D255" s="311">
        <v>1</v>
      </c>
      <c r="E255" s="311"/>
      <c r="F255" s="309" t="s">
        <v>66</v>
      </c>
      <c r="G255" s="309"/>
      <c r="H255" s="309" t="s">
        <v>855</v>
      </c>
      <c r="I255" s="311" t="s">
        <v>57</v>
      </c>
      <c r="J255" s="312">
        <v>5120002432933</v>
      </c>
      <c r="K255" s="299">
        <v>42796</v>
      </c>
      <c r="L255" s="311">
        <v>1080</v>
      </c>
      <c r="M255" s="202">
        <f>IF(K255="cnr","CNR",IF(K255="CBU", "CBU",IF(K255="Code Out","Code Out",K255+L255)))</f>
        <v>43876</v>
      </c>
      <c r="N255" s="203">
        <f>M255</f>
        <v>43876</v>
      </c>
      <c r="O255" s="205" t="str">
        <f ca="1">IF(AJ255=1,"",IF(AH255&lt;1,"DEL",""))</f>
        <v/>
      </c>
      <c r="P255" s="317"/>
      <c r="Q255" s="313"/>
      <c r="R255" s="313"/>
      <c r="S255" s="313" t="s">
        <v>398</v>
      </c>
      <c r="T255" s="313"/>
      <c r="U255" s="298" t="s">
        <v>1464</v>
      </c>
      <c r="V255" s="314" t="s">
        <v>692</v>
      </c>
      <c r="W255" s="303"/>
      <c r="X255" s="302"/>
      <c r="Y255" s="197">
        <f>IF(AF255,MONTH(M255),"")</f>
        <v>2</v>
      </c>
      <c r="Z255" s="198">
        <f>IF(AF255,YEAR(M255),"")</f>
        <v>2020</v>
      </c>
      <c r="AA255" s="191">
        <f>IF(AF255,MONTH(N255),"")</f>
        <v>2</v>
      </c>
      <c r="AB255" s="191">
        <f>IF(AF255,YEAR(N255),"")</f>
        <v>2020</v>
      </c>
      <c r="AC255" s="193" t="str">
        <f>CONCATENATE(Y255,Z255)</f>
        <v>22020</v>
      </c>
      <c r="AD255" s="194" t="str">
        <f>CONCATENATE(AA255,AB255)</f>
        <v>22020</v>
      </c>
      <c r="AE255" s="195">
        <f>IF(M255="CBU","",IF(M255="CNR","",IF(K255="Code Out","",MIN(M255,N255))))</f>
        <v>43876</v>
      </c>
      <c r="AF255" s="196" t="b">
        <f>--(ISNUMBER(SEARCH("lab",P255)))
=--(ISNUMBER(SEARCH("fred",A247)))</f>
        <v>1</v>
      </c>
      <c r="AG255" s="199" t="b">
        <f>IF(AE255&lt;$J$4,TRUE,FALSE)</f>
        <v>0</v>
      </c>
      <c r="AH255" s="192">
        <f ca="1">IF(K255="CBU","",IF(K255="CNR","",IF(K255="Code Out","",SUM(M255-$U$1))))</f>
        <v>596.56816122685268</v>
      </c>
      <c r="AI255" s="192">
        <f ca="1">COUNTIF(O255,"Del")</f>
        <v>0</v>
      </c>
      <c r="AJ255" s="192">
        <f>COUNTIF(P255,"*at lab*")</f>
        <v>0</v>
      </c>
      <c r="AK255" s="200">
        <f ca="1">SUM(AI255:AJ255)</f>
        <v>0</v>
      </c>
    </row>
    <row r="256" spans="1:37" s="75" customFormat="1" x14ac:dyDescent="0.2">
      <c r="A256" s="207" t="s">
        <v>61</v>
      </c>
      <c r="B256" s="309" t="s">
        <v>62</v>
      </c>
      <c r="C256" s="310"/>
      <c r="D256" s="311">
        <v>1</v>
      </c>
      <c r="E256" s="311"/>
      <c r="F256" s="309" t="s">
        <v>63</v>
      </c>
      <c r="G256" s="309"/>
      <c r="H256" s="309" t="s">
        <v>855</v>
      </c>
      <c r="I256" s="311" t="s">
        <v>57</v>
      </c>
      <c r="J256" s="312">
        <v>5120002557564</v>
      </c>
      <c r="K256" s="299">
        <v>42796</v>
      </c>
      <c r="L256" s="311">
        <v>1080</v>
      </c>
      <c r="M256" s="202">
        <f>IF(K256="cnr","CNR",IF(K256="CBU", "CBU",IF(K256="Code Out","Code Out",K256+L256)))</f>
        <v>43876</v>
      </c>
      <c r="N256" s="203">
        <f>M256</f>
        <v>43876</v>
      </c>
      <c r="O256" s="205" t="str">
        <f ca="1">IF(AJ256=1,"",IF(AH256&lt;1,"DEL",""))</f>
        <v/>
      </c>
      <c r="P256" s="317"/>
      <c r="Q256" s="313"/>
      <c r="R256" s="313"/>
      <c r="S256" s="313" t="s">
        <v>398</v>
      </c>
      <c r="T256" s="313"/>
      <c r="U256" s="298" t="s">
        <v>1464</v>
      </c>
      <c r="V256" s="314" t="s">
        <v>692</v>
      </c>
      <c r="W256" s="173"/>
      <c r="X256" s="139"/>
      <c r="Y256" s="191">
        <f>IF(AF256,MONTH(M256),"")</f>
        <v>2</v>
      </c>
      <c r="Z256" s="192">
        <f>IF(AF256,YEAR(M256),"")</f>
        <v>2020</v>
      </c>
      <c r="AA256" s="191">
        <f>IF(AF256,MONTH(N256),"")</f>
        <v>2</v>
      </c>
      <c r="AB256" s="191">
        <f>IF(AF256,YEAR(N256),"")</f>
        <v>2020</v>
      </c>
      <c r="AC256" s="193" t="str">
        <f>CONCATENATE(Y256,Z256)</f>
        <v>22020</v>
      </c>
      <c r="AD256" s="194" t="str">
        <f>CONCATENATE(AA256,AB256)</f>
        <v>22020</v>
      </c>
      <c r="AE256" s="195">
        <f>IF(M256="CBU","",IF(M256="CNR","",IF(K256="Code Out","",MIN(M256,N256))))</f>
        <v>43876</v>
      </c>
      <c r="AF256" s="196" t="b">
        <f>--(ISNUMBER(SEARCH("lab",P256)))
=--(ISNUMBER(SEARCH("fred",A248)))</f>
        <v>1</v>
      </c>
      <c r="AG256" s="199" t="b">
        <f>IF(AE256&lt;$J$4,TRUE,FALSE)</f>
        <v>0</v>
      </c>
      <c r="AH256" s="192">
        <f ca="1">IF(K256="CBU","",IF(K256="CNR","",IF(K256="Code Out","",SUM(M256-$U$1))))</f>
        <v>596.56816122685268</v>
      </c>
      <c r="AI256" s="192">
        <f ca="1">COUNTIF(O256,"Del")</f>
        <v>0</v>
      </c>
      <c r="AJ256" s="192">
        <f>COUNTIF(P256,"*at lab*")</f>
        <v>0</v>
      </c>
      <c r="AK256" s="200">
        <f ca="1">SUM(AI256:AJ256)</f>
        <v>0</v>
      </c>
    </row>
    <row r="257" spans="1:37" s="75" customFormat="1" x14ac:dyDescent="0.2">
      <c r="A257" s="207" t="s">
        <v>58</v>
      </c>
      <c r="B257" s="309" t="s">
        <v>59</v>
      </c>
      <c r="C257" s="310"/>
      <c r="D257" s="311">
        <v>1</v>
      </c>
      <c r="E257" s="311"/>
      <c r="F257" s="309" t="s">
        <v>60</v>
      </c>
      <c r="G257" s="309"/>
      <c r="H257" s="309" t="s">
        <v>855</v>
      </c>
      <c r="I257" s="311" t="s">
        <v>57</v>
      </c>
      <c r="J257" s="312">
        <v>5210002211045</v>
      </c>
      <c r="K257" s="299">
        <v>42796</v>
      </c>
      <c r="L257" s="311">
        <v>1080</v>
      </c>
      <c r="M257" s="202">
        <f>IF(K257="cnr","CNR",IF(K257="CBU", "CBU",IF(K257="Code Out","Code Out",K257+L257)))</f>
        <v>43876</v>
      </c>
      <c r="N257" s="203">
        <f>M257</f>
        <v>43876</v>
      </c>
      <c r="O257" s="206" t="str">
        <f ca="1">IF(AJ257=1,"",IF(AH257&lt;1,"DEL",""))</f>
        <v/>
      </c>
      <c r="P257" s="317"/>
      <c r="Q257" s="313"/>
      <c r="R257" s="313"/>
      <c r="S257" s="313" t="s">
        <v>398</v>
      </c>
      <c r="T257" s="313"/>
      <c r="U257" s="298" t="s">
        <v>1464</v>
      </c>
      <c r="V257" s="314" t="s">
        <v>692</v>
      </c>
      <c r="W257" s="303"/>
      <c r="X257" s="302"/>
      <c r="Y257" s="197">
        <f>IF(AF257,MONTH(M257),"")</f>
        <v>2</v>
      </c>
      <c r="Z257" s="198">
        <f>IF(AF257,YEAR(M257),"")</f>
        <v>2020</v>
      </c>
      <c r="AA257" s="191">
        <f>IF(AF257,MONTH(N257),"")</f>
        <v>2</v>
      </c>
      <c r="AB257" s="191">
        <f>IF(AF257,YEAR(N257),"")</f>
        <v>2020</v>
      </c>
      <c r="AC257" s="193" t="str">
        <f>CONCATENATE(Y257,Z257)</f>
        <v>22020</v>
      </c>
      <c r="AD257" s="194" t="str">
        <f>CONCATENATE(AA257,AB257)</f>
        <v>22020</v>
      </c>
      <c r="AE257" s="195">
        <f>IF(M257="CBU","",IF(M257="CNR","",IF(K257="Code Out","",MIN(M257,N257))))</f>
        <v>43876</v>
      </c>
      <c r="AF257" s="196" t="b">
        <f>--(ISNUMBER(SEARCH("lab",P257)))
=--(ISNUMBER(SEARCH("fred",A249)))</f>
        <v>1</v>
      </c>
      <c r="AG257" s="199" t="b">
        <f>IF(AE257&lt;$J$4,TRUE,FALSE)</f>
        <v>0</v>
      </c>
      <c r="AH257" s="192">
        <f ca="1">IF(K257="CBU","",IF(K257="CNR","",IF(K257="Code Out","",SUM(M257-$U$1))))</f>
        <v>596.56816122685268</v>
      </c>
      <c r="AI257" s="192">
        <f ca="1">COUNTIF(O257,"Del")</f>
        <v>0</v>
      </c>
      <c r="AJ257" s="192">
        <f>COUNTIF(P257,"*at lab*")</f>
        <v>0</v>
      </c>
      <c r="AK257" s="200">
        <f ca="1">SUM(AI257:AJ257)</f>
        <v>0</v>
      </c>
    </row>
    <row r="258" spans="1:37" s="75" customFormat="1" ht="39.75" customHeight="1" x14ac:dyDescent="0.2">
      <c r="A258" s="207" t="s">
        <v>44</v>
      </c>
      <c r="B258" s="315" t="s">
        <v>205</v>
      </c>
      <c r="C258" s="309"/>
      <c r="D258" s="311">
        <v>1</v>
      </c>
      <c r="E258" s="311"/>
      <c r="F258" s="309" t="s">
        <v>1363</v>
      </c>
      <c r="G258" s="309"/>
      <c r="H258" s="309" t="s">
        <v>855</v>
      </c>
      <c r="I258" s="315" t="s">
        <v>41</v>
      </c>
      <c r="J258" s="312"/>
      <c r="K258" s="299">
        <v>43137</v>
      </c>
      <c r="L258" s="310">
        <v>840</v>
      </c>
      <c r="M258" s="202">
        <f>IF(K258="cnr","CNR",IF(K258="CBU", "CBU",IF(K258="Code Out","Code Out",K258+L258)))</f>
        <v>43977</v>
      </c>
      <c r="N258" s="203">
        <f>M258</f>
        <v>43977</v>
      </c>
      <c r="O258" s="206" t="str">
        <f ca="1">IF(AJ258=1,"",IF(AH258&lt;1,"DEL",""))</f>
        <v/>
      </c>
      <c r="P258" s="317"/>
      <c r="Q258" s="313"/>
      <c r="R258" s="313"/>
      <c r="S258" s="313" t="s">
        <v>398</v>
      </c>
      <c r="T258" s="313"/>
      <c r="U258" s="298" t="s">
        <v>1526</v>
      </c>
      <c r="V258" s="320" t="s">
        <v>1410</v>
      </c>
      <c r="W258" s="172"/>
      <c r="X258" s="137"/>
      <c r="Y258" s="191">
        <f>IF(AF258,MONTH(M258),"")</f>
        <v>5</v>
      </c>
      <c r="Z258" s="192">
        <f>IF(AF258,YEAR(M258),"")</f>
        <v>2020</v>
      </c>
      <c r="AA258" s="191">
        <f>IF(AF258,MONTH(N258),"")</f>
        <v>5</v>
      </c>
      <c r="AB258" s="191">
        <f>IF(AF258,YEAR(N258),"")</f>
        <v>2020</v>
      </c>
      <c r="AC258" s="193" t="str">
        <f>CONCATENATE(Y258,Z258)</f>
        <v>52020</v>
      </c>
      <c r="AD258" s="194" t="str">
        <f>CONCATENATE(AA258,AB258)</f>
        <v>52020</v>
      </c>
      <c r="AE258" s="195">
        <f>IF(M258="CBU","",IF(M258="CNR","",IF(K258="Code Out","",MIN(M258,N258))))</f>
        <v>43977</v>
      </c>
      <c r="AF258" s="196" t="b">
        <f>--(ISNUMBER(SEARCH("lab",P258)))
=--(ISNUMBER(SEARCH("fred",A250)))</f>
        <v>1</v>
      </c>
      <c r="AG258" s="199" t="b">
        <f>IF(AE258&lt;$J$4,TRUE,FALSE)</f>
        <v>0</v>
      </c>
      <c r="AH258" s="192">
        <f ca="1">IF(K258="CBU","",IF(K258="CNR","",IF(K258="Code Out","",SUM(M258-$U$1))))</f>
        <v>697.56816122685268</v>
      </c>
      <c r="AI258" s="192">
        <f ca="1">COUNTIF(O258,"Del")</f>
        <v>0</v>
      </c>
      <c r="AJ258" s="192">
        <f>COUNTIF(P258,"*at lab*")</f>
        <v>0</v>
      </c>
      <c r="AK258" s="200">
        <f ca="1">SUM(AI258:AJ258)</f>
        <v>0</v>
      </c>
    </row>
    <row r="259" spans="1:37" s="75" customFormat="1" ht="25.5" x14ac:dyDescent="0.2">
      <c r="A259" s="207" t="s">
        <v>42</v>
      </c>
      <c r="B259" s="309" t="s">
        <v>204</v>
      </c>
      <c r="C259" s="309"/>
      <c r="D259" s="311">
        <v>1</v>
      </c>
      <c r="E259" s="311"/>
      <c r="F259" s="309" t="s">
        <v>1362</v>
      </c>
      <c r="G259" s="309"/>
      <c r="H259" s="309" t="s">
        <v>855</v>
      </c>
      <c r="I259" s="311" t="s">
        <v>41</v>
      </c>
      <c r="J259" s="312"/>
      <c r="K259" s="299">
        <v>42773</v>
      </c>
      <c r="L259" s="310">
        <v>630</v>
      </c>
      <c r="M259" s="202">
        <f>IF(K259="cnr","CNR",IF(K259="CBU", "CBU",IF(K259="Code Out","Code Out",K259+L259)))</f>
        <v>43403</v>
      </c>
      <c r="N259" s="203">
        <f>M259</f>
        <v>43403</v>
      </c>
      <c r="O259" s="206" t="str">
        <f ca="1">IF(AJ259=1,"",IF(AH259&lt;1,"DEL",""))</f>
        <v/>
      </c>
      <c r="P259" s="317"/>
      <c r="Q259" s="313"/>
      <c r="R259" s="313"/>
      <c r="S259" s="313" t="s">
        <v>1432</v>
      </c>
      <c r="T259" s="313"/>
      <c r="U259" s="298" t="s">
        <v>1445</v>
      </c>
      <c r="V259" s="320" t="s">
        <v>1410</v>
      </c>
      <c r="W259" s="305"/>
      <c r="X259" s="304"/>
      <c r="Y259" s="197">
        <f>IF(AF259,MONTH(M259),"")</f>
        <v>10</v>
      </c>
      <c r="Z259" s="198">
        <f>IF(AF259,YEAR(M259),"")</f>
        <v>2018</v>
      </c>
      <c r="AA259" s="191">
        <f>IF(AF259,MONTH(N259),"")</f>
        <v>10</v>
      </c>
      <c r="AB259" s="191">
        <f>IF(AF259,YEAR(N259),"")</f>
        <v>2018</v>
      </c>
      <c r="AC259" s="193" t="str">
        <f>CONCATENATE(Y259,Z259)</f>
        <v>102018</v>
      </c>
      <c r="AD259" s="194" t="str">
        <f>CONCATENATE(AA259,AB259)</f>
        <v>102018</v>
      </c>
      <c r="AE259" s="195">
        <f>IF(M259="CBU","",IF(M259="CNR","",IF(K259="Code Out","",MIN(M259,N259))))</f>
        <v>43403</v>
      </c>
      <c r="AF259" s="196" t="b">
        <f>--(ISNUMBER(SEARCH("lab",P259)))
=--(ISNUMBER(SEARCH("fred",A251)))</f>
        <v>1</v>
      </c>
      <c r="AG259" s="199" t="b">
        <f>IF(AE259&lt;$J$4,TRUE,FALSE)</f>
        <v>0</v>
      </c>
      <c r="AH259" s="192">
        <f ca="1">IF(K259="CBU","",IF(K259="CNR","",IF(K259="Code Out","",SUM(M259-$U$1))))</f>
        <v>123.56816122685268</v>
      </c>
      <c r="AI259" s="192">
        <f ca="1">COUNTIF(O259,"Del")</f>
        <v>0</v>
      </c>
      <c r="AJ259" s="192">
        <f>COUNTIF(P259,"*at lab*")</f>
        <v>0</v>
      </c>
      <c r="AK259" s="200">
        <f ca="1">SUM(AI259:AJ259)</f>
        <v>0</v>
      </c>
    </row>
    <row r="260" spans="1:37" s="75" customFormat="1" x14ac:dyDescent="0.2">
      <c r="A260" s="207" t="s">
        <v>39</v>
      </c>
      <c r="B260" s="309" t="s">
        <v>203</v>
      </c>
      <c r="C260" s="309"/>
      <c r="D260" s="311">
        <v>1</v>
      </c>
      <c r="E260" s="311" t="s">
        <v>1398</v>
      </c>
      <c r="F260" s="309" t="s">
        <v>1399</v>
      </c>
      <c r="G260" s="309"/>
      <c r="H260" s="309" t="s">
        <v>855</v>
      </c>
      <c r="I260" s="315" t="s">
        <v>41</v>
      </c>
      <c r="J260" s="312"/>
      <c r="K260" s="299">
        <v>42773</v>
      </c>
      <c r="L260" s="310">
        <v>840</v>
      </c>
      <c r="M260" s="202">
        <f>IF(K260="cnr","CNR",IF(K260="CBU", "CBU",IF(K260="Code Out","Code Out",K260+L260)))</f>
        <v>43613</v>
      </c>
      <c r="N260" s="203">
        <f>M260</f>
        <v>43613</v>
      </c>
      <c r="O260" s="206" t="str">
        <f ca="1">IF(AJ260=1,"",IF(AH260&lt;1,"DEL",""))</f>
        <v/>
      </c>
      <c r="P260" s="317"/>
      <c r="Q260" s="313"/>
      <c r="R260" s="313"/>
      <c r="S260" s="313" t="s">
        <v>1432</v>
      </c>
      <c r="T260" s="313"/>
      <c r="U260" s="298" t="s">
        <v>1445</v>
      </c>
      <c r="V260" s="320" t="s">
        <v>1410</v>
      </c>
      <c r="W260" s="172"/>
      <c r="X260" s="137"/>
      <c r="Y260" s="191">
        <f>IF(AF260,MONTH(M260),"")</f>
        <v>5</v>
      </c>
      <c r="Z260" s="192">
        <f>IF(AF260,YEAR(M260),"")</f>
        <v>2019</v>
      </c>
      <c r="AA260" s="191">
        <f>IF(AF260,MONTH(N260),"")</f>
        <v>5</v>
      </c>
      <c r="AB260" s="191">
        <f>IF(AF260,YEAR(N260),"")</f>
        <v>2019</v>
      </c>
      <c r="AC260" s="193" t="str">
        <f>CONCATENATE(Y260,Z260)</f>
        <v>52019</v>
      </c>
      <c r="AD260" s="194" t="str">
        <f>CONCATENATE(AA260,AB260)</f>
        <v>52019</v>
      </c>
      <c r="AE260" s="195">
        <f>IF(M260="CBU","",IF(M260="CNR","",IF(K260="Code Out","",MIN(M260,N260))))</f>
        <v>43613</v>
      </c>
      <c r="AF260" s="196" t="b">
        <f>--(ISNUMBER(SEARCH("lab",P260)))
=--(ISNUMBER(SEARCH("fred",A252)))</f>
        <v>1</v>
      </c>
      <c r="AG260" s="199" t="b">
        <f>IF(AE260&lt;$J$4,TRUE,FALSE)</f>
        <v>0</v>
      </c>
      <c r="AH260" s="192">
        <f ca="1">IF(K260="CBU","",IF(K260="CNR","",IF(K260="Code Out","",SUM(M260-$U$1))))</f>
        <v>333.56816122685268</v>
      </c>
      <c r="AI260" s="192">
        <f ca="1">COUNTIF(O260,"Del")</f>
        <v>0</v>
      </c>
      <c r="AJ260" s="192">
        <f>COUNTIF(P260,"*at lab*")</f>
        <v>0</v>
      </c>
      <c r="AK260" s="200">
        <f ca="1">SUM(AI260:AJ260)</f>
        <v>0</v>
      </c>
    </row>
    <row r="261" spans="1:37" s="75" customFormat="1" ht="25.5" x14ac:dyDescent="0.2">
      <c r="A261" s="207" t="s">
        <v>52</v>
      </c>
      <c r="B261" s="309" t="s">
        <v>53</v>
      </c>
      <c r="C261" s="310"/>
      <c r="D261" s="311">
        <v>1</v>
      </c>
      <c r="E261" s="311"/>
      <c r="F261" s="309" t="s">
        <v>457</v>
      </c>
      <c r="G261" s="309" t="s">
        <v>772</v>
      </c>
      <c r="H261" s="309" t="s">
        <v>855</v>
      </c>
      <c r="I261" s="311" t="s">
        <v>5</v>
      </c>
      <c r="J261" s="312">
        <v>5120002217983</v>
      </c>
      <c r="K261" s="299">
        <v>43201</v>
      </c>
      <c r="L261" s="311">
        <v>180</v>
      </c>
      <c r="M261" s="202">
        <f>IF(K261="cnr","CNR",IF(K261="CBU", "CBU",IF(K261="Code Out","Code Out",K261+L261)))</f>
        <v>43381</v>
      </c>
      <c r="N261" s="203">
        <f>M261</f>
        <v>43381</v>
      </c>
      <c r="O261" s="205" t="str">
        <f ca="1">IF(AJ261=1,"",IF(AH261&lt;1,"DEL",""))</f>
        <v/>
      </c>
      <c r="P261" s="299"/>
      <c r="Q261" s="313"/>
      <c r="R261" s="313"/>
      <c r="S261" s="313" t="s">
        <v>398</v>
      </c>
      <c r="T261" s="313"/>
      <c r="U261" s="298" t="s">
        <v>1550</v>
      </c>
      <c r="V261" s="314" t="s">
        <v>1529</v>
      </c>
      <c r="W261" s="303"/>
      <c r="X261" s="302"/>
      <c r="Y261" s="197">
        <f>IF(AF261,MONTH(M261),"")</f>
        <v>10</v>
      </c>
      <c r="Z261" s="198">
        <f>IF(AF261,YEAR(M261),"")</f>
        <v>2018</v>
      </c>
      <c r="AA261" s="191">
        <f>IF(AF261,MONTH(N261),"")</f>
        <v>10</v>
      </c>
      <c r="AB261" s="191">
        <f>IF(AF261,YEAR(N261),"")</f>
        <v>2018</v>
      </c>
      <c r="AC261" s="193" t="str">
        <f>CONCATENATE(Y261,Z261)</f>
        <v>102018</v>
      </c>
      <c r="AD261" s="194" t="str">
        <f>CONCATENATE(AA261,AB261)</f>
        <v>102018</v>
      </c>
      <c r="AE261" s="195">
        <f>IF(M261="CBU","",IF(M261="CNR","",IF(K261="Code Out","",MIN(M261,N261))))</f>
        <v>43381</v>
      </c>
      <c r="AF261" s="196" t="b">
        <f>--(ISNUMBER(SEARCH("lab",P261)))
=--(ISNUMBER(SEARCH("fred",A253)))</f>
        <v>1</v>
      </c>
      <c r="AG261" s="199" t="b">
        <f>IF(AE261&lt;$J$4,TRUE,FALSE)</f>
        <v>0</v>
      </c>
      <c r="AH261" s="192">
        <f ca="1">IF(K261="CBU","",IF(K261="CNR","",IF(K261="Code Out","",SUM(M261-$U$1))))</f>
        <v>101.56816122685268</v>
      </c>
      <c r="AI261" s="192">
        <f ca="1">COUNTIF(O261,"Del")</f>
        <v>0</v>
      </c>
      <c r="AJ261" s="192">
        <f>COUNTIF(P261,"*at lab*")</f>
        <v>0</v>
      </c>
      <c r="AK261" s="200">
        <f ca="1">SUM(AI261:AJ261)</f>
        <v>0</v>
      </c>
    </row>
    <row r="262" spans="1:37" s="75" customFormat="1" ht="25.5" x14ac:dyDescent="0.2">
      <c r="A262" s="207" t="s">
        <v>143</v>
      </c>
      <c r="B262" s="309" t="s">
        <v>143</v>
      </c>
      <c r="C262" s="310"/>
      <c r="D262" s="309" t="s">
        <v>855</v>
      </c>
      <c r="E262" s="309"/>
      <c r="F262" s="309" t="s">
        <v>144</v>
      </c>
      <c r="G262" s="309"/>
      <c r="H262" s="309" t="s">
        <v>855</v>
      </c>
      <c r="I262" s="311" t="s">
        <v>486</v>
      </c>
      <c r="J262" s="312">
        <v>6670006754987</v>
      </c>
      <c r="K262" s="299">
        <v>42403</v>
      </c>
      <c r="L262" s="311">
        <v>1080</v>
      </c>
      <c r="M262" s="202">
        <f>IF(K262="cnr","CNR",IF(K262="CBU", "CBU",IF(K262="Code Out","Code Out",K262+L262)))</f>
        <v>43483</v>
      </c>
      <c r="N262" s="203">
        <f>M262</f>
        <v>43483</v>
      </c>
      <c r="O262" s="205" t="str">
        <f ca="1">IF(AJ262=1,"",IF(AH262&lt;1,"DEL",""))</f>
        <v/>
      </c>
      <c r="P262" s="317"/>
      <c r="Q262" s="313"/>
      <c r="R262" s="313"/>
      <c r="S262" s="313" t="s">
        <v>1370</v>
      </c>
      <c r="T262" s="313"/>
      <c r="U262" s="298" t="s">
        <v>1377</v>
      </c>
      <c r="V262" s="314" t="s">
        <v>694</v>
      </c>
      <c r="W262" s="173"/>
      <c r="X262" s="139"/>
      <c r="Y262" s="191">
        <f>IF(AF262,MONTH(M262),"")</f>
        <v>1</v>
      </c>
      <c r="Z262" s="192">
        <f>IF(AF262,YEAR(M262),"")</f>
        <v>2019</v>
      </c>
      <c r="AA262" s="191">
        <f>IF(AF262,MONTH(N262),"")</f>
        <v>1</v>
      </c>
      <c r="AB262" s="191">
        <f>IF(AF262,YEAR(N262),"")</f>
        <v>2019</v>
      </c>
      <c r="AC262" s="193" t="str">
        <f>CONCATENATE(Y262,Z262)</f>
        <v>12019</v>
      </c>
      <c r="AD262" s="194" t="str">
        <f>CONCATENATE(AA262,AB262)</f>
        <v>12019</v>
      </c>
      <c r="AE262" s="195">
        <f>IF(M262="CBU","",IF(M262="CNR","",IF(K262="Code Out","",MIN(M262,N262))))</f>
        <v>43483</v>
      </c>
      <c r="AF262" s="196" t="b">
        <f>--(ISNUMBER(SEARCH("lab",P262)))
=--(ISNUMBER(SEARCH("fred",A254)))</f>
        <v>1</v>
      </c>
      <c r="AG262" s="199" t="b">
        <f>IF(AE262&lt;$J$4,TRUE,FALSE)</f>
        <v>0</v>
      </c>
      <c r="AH262" s="192">
        <f ca="1">IF(K262="CBU","",IF(K262="CNR","",IF(K262="Code Out","",SUM(M262-$U$1))))</f>
        <v>203.56816122685268</v>
      </c>
      <c r="AI262" s="192">
        <f ca="1">COUNTIF(O262,"Del")</f>
        <v>0</v>
      </c>
      <c r="AJ262" s="192">
        <f>COUNTIF(P262,"*at lab*")</f>
        <v>0</v>
      </c>
      <c r="AK262" s="200">
        <f ca="1">SUM(AI262:AJ262)</f>
        <v>0</v>
      </c>
    </row>
    <row r="263" spans="1:37" s="75" customFormat="1" ht="25.5" x14ac:dyDescent="0.2">
      <c r="A263" s="207" t="s">
        <v>86</v>
      </c>
      <c r="B263" s="309" t="s">
        <v>87</v>
      </c>
      <c r="C263" s="310"/>
      <c r="D263" s="311">
        <v>2</v>
      </c>
      <c r="E263" s="311"/>
      <c r="F263" s="309" t="s">
        <v>85</v>
      </c>
      <c r="G263" s="309"/>
      <c r="H263" s="309" t="s">
        <v>870</v>
      </c>
      <c r="I263" s="311" t="s">
        <v>41</v>
      </c>
      <c r="J263" s="312">
        <v>6685008469720</v>
      </c>
      <c r="K263" s="299">
        <v>43118</v>
      </c>
      <c r="L263" s="311">
        <v>840</v>
      </c>
      <c r="M263" s="202">
        <f>IF(K263="cnr","CNR",IF(K263="CBU", "CBU",IF(K263="Code Out","Code Out",K263+L263)))</f>
        <v>43958</v>
      </c>
      <c r="N263" s="203">
        <f>M263</f>
        <v>43958</v>
      </c>
      <c r="O263" s="205" t="str">
        <f ca="1">IF(AJ263=1,"",IF(AH263&lt;1,"DEL",""))</f>
        <v/>
      </c>
      <c r="P263" s="317"/>
      <c r="Q263" s="313"/>
      <c r="R263" s="313"/>
      <c r="S263" s="313" t="s">
        <v>398</v>
      </c>
      <c r="T263" s="313"/>
      <c r="U263" s="298" t="s">
        <v>1517</v>
      </c>
      <c r="V263" s="314" t="s">
        <v>680</v>
      </c>
      <c r="W263" s="173"/>
      <c r="X263" s="139"/>
      <c r="Y263" s="191">
        <f>IF(AF263,MONTH(M263),"")</f>
        <v>5</v>
      </c>
      <c r="Z263" s="192">
        <f>IF(AF263,YEAR(M263),"")</f>
        <v>2020</v>
      </c>
      <c r="AA263" s="191">
        <f>IF(AF263,MONTH(N263),"")</f>
        <v>5</v>
      </c>
      <c r="AB263" s="191">
        <f>IF(AF263,YEAR(N263),"")</f>
        <v>2020</v>
      </c>
      <c r="AC263" s="193" t="str">
        <f>CONCATENATE(Y263,Z263)</f>
        <v>52020</v>
      </c>
      <c r="AD263" s="194" t="str">
        <f>CONCATENATE(AA263,AB263)</f>
        <v>52020</v>
      </c>
      <c r="AE263" s="195">
        <f>IF(M263="CBU","",IF(M263="CNR","",IF(K263="Code Out","",MIN(M263,N263))))</f>
        <v>43958</v>
      </c>
      <c r="AF263" s="196" t="b">
        <f>--(ISNUMBER(SEARCH("lab",P263)))
=--(ISNUMBER(SEARCH("fred",A255)))</f>
        <v>1</v>
      </c>
      <c r="AG263" s="199" t="b">
        <f>IF(AE263&lt;$J$4,TRUE,FALSE)</f>
        <v>0</v>
      </c>
      <c r="AH263" s="192">
        <f ca="1">IF(K263="CBU","",IF(K263="CNR","",IF(K263="Code Out","",SUM(M263-$U$1))))</f>
        <v>678.56816122685268</v>
      </c>
      <c r="AI263" s="192">
        <f ca="1">COUNTIF(O263,"Del")</f>
        <v>0</v>
      </c>
      <c r="AJ263" s="192">
        <f>COUNTIF(P263,"*at lab*")</f>
        <v>0</v>
      </c>
      <c r="AK263" s="200">
        <f ca="1">SUM(AI263:AJ263)</f>
        <v>0</v>
      </c>
    </row>
    <row r="264" spans="1:37" s="75" customFormat="1" ht="25.5" x14ac:dyDescent="0.2">
      <c r="A264" s="207" t="s">
        <v>103</v>
      </c>
      <c r="B264" s="309" t="s">
        <v>921</v>
      </c>
      <c r="C264" s="311" t="s">
        <v>512</v>
      </c>
      <c r="D264" s="311">
        <v>1</v>
      </c>
      <c r="E264" s="311"/>
      <c r="F264" s="309" t="s">
        <v>104</v>
      </c>
      <c r="G264" s="309"/>
      <c r="H264" s="309" t="s">
        <v>855</v>
      </c>
      <c r="I264" s="311" t="s">
        <v>105</v>
      </c>
      <c r="J264" s="316">
        <v>6625012170054</v>
      </c>
      <c r="K264" s="299">
        <v>42493</v>
      </c>
      <c r="L264" s="310">
        <v>720</v>
      </c>
      <c r="M264" s="202">
        <f>IF(K264="cnr","CNR",IF(K264="CBU", "CBU",IF(K264="Code Out","Code Out",K264+L264)))</f>
        <v>43213</v>
      </c>
      <c r="N264" s="203">
        <f>M264</f>
        <v>43213</v>
      </c>
      <c r="O264" s="205" t="str">
        <f>IF(AJ264=1,"",IF(AH264&lt;1,"DEL",""))</f>
        <v/>
      </c>
      <c r="P264" s="299" t="s">
        <v>1535</v>
      </c>
      <c r="Q264" s="313"/>
      <c r="R264" s="313" t="s">
        <v>398</v>
      </c>
      <c r="S264" s="313"/>
      <c r="T264" s="313"/>
      <c r="U264" s="318" t="s">
        <v>1549</v>
      </c>
      <c r="V264" s="314" t="s">
        <v>367</v>
      </c>
      <c r="W264" s="173"/>
      <c r="X264" s="139"/>
      <c r="Y264" s="191" t="str">
        <f>IF(AF264,MONTH(M264),"")</f>
        <v/>
      </c>
      <c r="Z264" s="192" t="str">
        <f>IF(AF264,YEAR(M264),"")</f>
        <v/>
      </c>
      <c r="AA264" s="191" t="str">
        <f>IF(AF264,MONTH(N264),"")</f>
        <v/>
      </c>
      <c r="AB264" s="191" t="str">
        <f>IF(AF264,YEAR(N264),"")</f>
        <v/>
      </c>
      <c r="AC264" s="193" t="str">
        <f>CONCATENATE(Y264,Z264)</f>
        <v/>
      </c>
      <c r="AD264" s="194" t="str">
        <f>CONCATENATE(AA264,AB264)</f>
        <v/>
      </c>
      <c r="AE264" s="195">
        <f>IF(M264="CBU","",IF(M264="CNR","",IF(K264="Code Out","",MIN(M264,N264))))</f>
        <v>43213</v>
      </c>
      <c r="AF264" s="196" t="b">
        <f>--(ISNUMBER(SEARCH("lab",P264)))
=--(ISNUMBER(SEARCH("fred",A256)))</f>
        <v>0</v>
      </c>
      <c r="AG264" s="199" t="b">
        <f>IF(AE264&lt;$J$4,TRUE,FALSE)</f>
        <v>1</v>
      </c>
      <c r="AH264" s="192">
        <f ca="1">IF(K264="CBU","",IF(K264="CNR","",IF(K264="Code Out","",SUM(M264-$U$1))))</f>
        <v>-66.431838773147319</v>
      </c>
      <c r="AI264" s="192">
        <f>COUNTIF(O264,"Del")</f>
        <v>0</v>
      </c>
      <c r="AJ264" s="192">
        <f>COUNTIF(P264,"*at lab*")</f>
        <v>1</v>
      </c>
      <c r="AK264" s="200">
        <f>SUM(AI264:AJ264)</f>
        <v>1</v>
      </c>
    </row>
    <row r="265" spans="1:37" s="75" customFormat="1" ht="25.5" x14ac:dyDescent="0.2">
      <c r="A265" s="207" t="s">
        <v>110</v>
      </c>
      <c r="B265" s="315" t="s">
        <v>111</v>
      </c>
      <c r="C265" s="310"/>
      <c r="D265" s="309" t="s">
        <v>975</v>
      </c>
      <c r="E265" s="309"/>
      <c r="F265" s="309" t="s">
        <v>112</v>
      </c>
      <c r="G265" s="309"/>
      <c r="H265" s="309" t="s">
        <v>975</v>
      </c>
      <c r="I265" s="311" t="s">
        <v>113</v>
      </c>
      <c r="J265" s="316">
        <v>6635006473371</v>
      </c>
      <c r="K265" s="299">
        <v>42300</v>
      </c>
      <c r="L265" s="316">
        <v>1080</v>
      </c>
      <c r="M265" s="202">
        <f>IF(K265="cnr","CNR",IF(K265="CBU", "CBU",IF(K265="Code Out","Code Out",K265+L265)))</f>
        <v>43380</v>
      </c>
      <c r="N265" s="203">
        <f>M265</f>
        <v>43380</v>
      </c>
      <c r="O265" s="205" t="str">
        <f ca="1">IF(AJ265=1,"",IF(AH265&lt;1,"DEL",""))</f>
        <v/>
      </c>
      <c r="P265" s="299"/>
      <c r="Q265" s="313"/>
      <c r="R265" s="313"/>
      <c r="S265" s="313" t="s">
        <v>1370</v>
      </c>
      <c r="T265" s="313"/>
      <c r="U265" s="318" t="s">
        <v>1409</v>
      </c>
      <c r="V265" s="314" t="s">
        <v>1435</v>
      </c>
      <c r="W265" s="170"/>
      <c r="X265" s="138"/>
      <c r="Y265" s="197">
        <f>IF(AF265,MONTH(M265),"")</f>
        <v>10</v>
      </c>
      <c r="Z265" s="198">
        <f>IF(AF265,YEAR(M265),"")</f>
        <v>2018</v>
      </c>
      <c r="AA265" s="191">
        <f>IF(AF265,MONTH(N265),"")</f>
        <v>10</v>
      </c>
      <c r="AB265" s="191">
        <f>IF(AF265,YEAR(N265),"")</f>
        <v>2018</v>
      </c>
      <c r="AC265" s="193" t="str">
        <f>CONCATENATE(Y265,Z265)</f>
        <v>102018</v>
      </c>
      <c r="AD265" s="194" t="str">
        <f>CONCATENATE(AA265,AB265)</f>
        <v>102018</v>
      </c>
      <c r="AE265" s="195">
        <f>IF(M265="CBU","",IF(M265="CNR","",IF(K265="Code Out","",MIN(M265,N265))))</f>
        <v>43380</v>
      </c>
      <c r="AF265" s="196" t="b">
        <f>--(ISNUMBER(SEARCH("lab",P265)))
=--(ISNUMBER(SEARCH("fred",A257)))</f>
        <v>1</v>
      </c>
      <c r="AG265" s="199" t="b">
        <f>IF(AE265&lt;$J$4,TRUE,FALSE)</f>
        <v>0</v>
      </c>
      <c r="AH265" s="192">
        <f ca="1">IF(K265="CBU","",IF(K265="CNR","",IF(K265="Code Out","",SUM(M265-$U$1))))</f>
        <v>100.56816122685268</v>
      </c>
      <c r="AI265" s="192">
        <f ca="1">COUNTIF(O265,"Del")</f>
        <v>0</v>
      </c>
      <c r="AJ265" s="192">
        <f>COUNTIF(P265,"*at lab*")</f>
        <v>0</v>
      </c>
      <c r="AK265" s="200">
        <f ca="1">SUM(AI265:AJ265)</f>
        <v>0</v>
      </c>
    </row>
    <row r="266" spans="1:37" s="75" customFormat="1" ht="25.5" x14ac:dyDescent="0.2">
      <c r="A266" s="207" t="s">
        <v>703</v>
      </c>
      <c r="B266" s="315" t="s">
        <v>661</v>
      </c>
      <c r="C266" s="309" t="s">
        <v>765</v>
      </c>
      <c r="D266" s="309" t="s">
        <v>855</v>
      </c>
      <c r="E266" s="309"/>
      <c r="F266" s="309" t="s">
        <v>662</v>
      </c>
      <c r="G266" s="309"/>
      <c r="H266" s="309" t="s">
        <v>855</v>
      </c>
      <c r="I266" s="311" t="s">
        <v>1010</v>
      </c>
      <c r="J266" s="312">
        <v>6625011444481</v>
      </c>
      <c r="K266" s="299" t="s">
        <v>432</v>
      </c>
      <c r="L266" s="299" t="s">
        <v>432</v>
      </c>
      <c r="M266" s="202" t="str">
        <f>IF(K266="cnr","CNR",IF(K266="CBU", "CBU",IF(K266="Code Out","Code Out",K266+L266)))</f>
        <v>CBU</v>
      </c>
      <c r="N266" s="203" t="str">
        <f>M266</f>
        <v>CBU</v>
      </c>
      <c r="O266" s="206" t="str">
        <f>IF(AJ266=1,"",IF(AH266&lt;1,"DEL",""))</f>
        <v/>
      </c>
      <c r="P266" s="317"/>
      <c r="Q266" s="313"/>
      <c r="R266" s="313"/>
      <c r="S266" s="313" t="s">
        <v>398</v>
      </c>
      <c r="T266" s="313"/>
      <c r="U266" s="325" t="s">
        <v>1431</v>
      </c>
      <c r="V266" s="320" t="s">
        <v>373</v>
      </c>
      <c r="W266" s="305"/>
      <c r="X266" s="304"/>
      <c r="Y266" s="197" t="e">
        <f>IF(AF266,MONTH(M266),"")</f>
        <v>#VALUE!</v>
      </c>
      <c r="Z266" s="198" t="e">
        <f>IF(AF266,YEAR(M266),"")</f>
        <v>#VALUE!</v>
      </c>
      <c r="AA266" s="191" t="e">
        <f>IF(AF266,MONTH(N266),"")</f>
        <v>#VALUE!</v>
      </c>
      <c r="AB266" s="191" t="e">
        <f>IF(AF266,YEAR(N266),"")</f>
        <v>#VALUE!</v>
      </c>
      <c r="AC266" s="193" t="e">
        <f>CONCATENATE(Y266,Z266)</f>
        <v>#VALUE!</v>
      </c>
      <c r="AD266" s="194" t="e">
        <f>CONCATENATE(AA266,AB266)</f>
        <v>#VALUE!</v>
      </c>
      <c r="AE266" s="195" t="str">
        <f>IF(M266="CBU","",IF(M266="CNR","",IF(K266="Code Out","",MIN(M266,N266))))</f>
        <v/>
      </c>
      <c r="AF266" s="196" t="b">
        <f>--(ISNUMBER(SEARCH("lab",P266)))
=--(ISNUMBER(SEARCH("fred",A258)))</f>
        <v>1</v>
      </c>
      <c r="AG266" s="199" t="b">
        <f>IF(AE266&lt;$J$4,TRUE,FALSE)</f>
        <v>0</v>
      </c>
      <c r="AH266" s="192" t="str">
        <f>IF(K266="CBU","",IF(K266="CNR","",IF(K266="Code Out","",SUM(M266-$U$1))))</f>
        <v/>
      </c>
      <c r="AI266" s="192">
        <f>COUNTIF(O266,"Del")</f>
        <v>0</v>
      </c>
      <c r="AJ266" s="192">
        <f>COUNTIF(P266,"*at lab*")</f>
        <v>0</v>
      </c>
      <c r="AK266" s="200">
        <f>SUM(AI266:AJ266)</f>
        <v>0</v>
      </c>
    </row>
    <row r="267" spans="1:37" s="75" customFormat="1" ht="25.5" x14ac:dyDescent="0.2">
      <c r="A267" s="207" t="s">
        <v>351</v>
      </c>
      <c r="B267" s="309">
        <v>6133</v>
      </c>
      <c r="C267" s="310"/>
      <c r="D267" s="311">
        <v>1</v>
      </c>
      <c r="E267" s="311"/>
      <c r="F267" s="309" t="s">
        <v>1351</v>
      </c>
      <c r="G267" s="309"/>
      <c r="H267" s="309" t="s">
        <v>855</v>
      </c>
      <c r="I267" s="311" t="s">
        <v>1405</v>
      </c>
      <c r="J267" s="312">
        <v>6670002405821</v>
      </c>
      <c r="K267" s="299">
        <v>42403</v>
      </c>
      <c r="L267" s="311">
        <v>1080</v>
      </c>
      <c r="M267" s="202">
        <f>IF(K267="cnr","CNR",IF(K267="CBU", "CBU",IF(K267="Code Out","Code Out",K267+L267)))</f>
        <v>43483</v>
      </c>
      <c r="N267" s="203">
        <f>M267</f>
        <v>43483</v>
      </c>
      <c r="O267" s="205" t="str">
        <f ca="1">IF(AJ267=1,"",IF(AH267&lt;1,"DEL",""))</f>
        <v/>
      </c>
      <c r="P267" s="317"/>
      <c r="Q267" s="313"/>
      <c r="R267" s="313"/>
      <c r="S267" s="313" t="s">
        <v>1370</v>
      </c>
      <c r="T267" s="313"/>
      <c r="U267" s="298" t="s">
        <v>1377</v>
      </c>
      <c r="V267" s="314" t="s">
        <v>694</v>
      </c>
      <c r="W267" s="170"/>
      <c r="X267" s="138"/>
      <c r="Y267" s="197">
        <f>IF(AF267,MONTH(M267),"")</f>
        <v>1</v>
      </c>
      <c r="Z267" s="198">
        <f>IF(AF267,YEAR(M267),"")</f>
        <v>2019</v>
      </c>
      <c r="AA267" s="191">
        <f>IF(AF267,MONTH(N267),"")</f>
        <v>1</v>
      </c>
      <c r="AB267" s="191">
        <f>IF(AF267,YEAR(N267),"")</f>
        <v>2019</v>
      </c>
      <c r="AC267" s="193" t="str">
        <f>CONCATENATE(Y267,Z267)</f>
        <v>12019</v>
      </c>
      <c r="AD267" s="194" t="str">
        <f>CONCATENATE(AA267,AB267)</f>
        <v>12019</v>
      </c>
      <c r="AE267" s="195">
        <f>IF(M267="CBU","",IF(M267="CNR","",IF(K267="Code Out","",MIN(M267,N267))))</f>
        <v>43483</v>
      </c>
      <c r="AF267" s="196" t="b">
        <f>--(ISNUMBER(SEARCH("lab",P267)))
=--(ISNUMBER(SEARCH("fred",A259)))</f>
        <v>1</v>
      </c>
      <c r="AG267" s="199" t="b">
        <f>IF(AE267&lt;$J$4,TRUE,FALSE)</f>
        <v>0</v>
      </c>
      <c r="AH267" s="192">
        <f ca="1">IF(K267="CBU","",IF(K267="CNR","",IF(K267="Code Out","",SUM(M267-$U$1))))</f>
        <v>203.56816122685268</v>
      </c>
      <c r="AI267" s="192">
        <f ca="1">COUNTIF(O267,"Del")</f>
        <v>0</v>
      </c>
      <c r="AJ267" s="192">
        <f>COUNTIF(P267,"*at lab*")</f>
        <v>0</v>
      </c>
      <c r="AK267" s="200">
        <f ca="1">SUM(AI267:AJ267)</f>
        <v>0</v>
      </c>
    </row>
    <row r="268" spans="1:37" s="75" customFormat="1" ht="25.5" x14ac:dyDescent="0.2">
      <c r="A268" s="207" t="s">
        <v>35</v>
      </c>
      <c r="B268" s="309" t="s">
        <v>969</v>
      </c>
      <c r="C268" s="310"/>
      <c r="D268" s="311">
        <v>2</v>
      </c>
      <c r="E268" s="311"/>
      <c r="F268" s="309" t="s">
        <v>519</v>
      </c>
      <c r="G268" s="309"/>
      <c r="H268" s="309" t="s">
        <v>870</v>
      </c>
      <c r="I268" s="309" t="s">
        <v>531</v>
      </c>
      <c r="J268" s="312">
        <v>5210002348017</v>
      </c>
      <c r="K268" s="299">
        <v>42507</v>
      </c>
      <c r="L268" s="311">
        <v>1080</v>
      </c>
      <c r="M268" s="202">
        <f>IF(K268="cnr","CNR",IF(K268="CBU", "CBU",IF(K268="Code Out","Code Out",K268+L268)))</f>
        <v>43587</v>
      </c>
      <c r="N268" s="203">
        <f>M268</f>
        <v>43587</v>
      </c>
      <c r="O268" s="205" t="str">
        <f ca="1">IF(AJ268=1,"",IF(AH268&lt;1,"DEL",""))</f>
        <v/>
      </c>
      <c r="P268" s="317"/>
      <c r="Q268" s="313"/>
      <c r="R268" s="313"/>
      <c r="S268" s="313" t="s">
        <v>1370</v>
      </c>
      <c r="T268" s="313"/>
      <c r="U268" s="298" t="s">
        <v>1411</v>
      </c>
      <c r="V268" s="314" t="s">
        <v>1406</v>
      </c>
      <c r="W268" s="173"/>
      <c r="X268" s="139"/>
      <c r="Y268" s="191">
        <f>IF(AF268,MONTH(M268),"")</f>
        <v>5</v>
      </c>
      <c r="Z268" s="192">
        <f>IF(AF268,YEAR(M268),"")</f>
        <v>2019</v>
      </c>
      <c r="AA268" s="191">
        <f>IF(AF268,MONTH(N268),"")</f>
        <v>5</v>
      </c>
      <c r="AB268" s="191">
        <f>IF(AF268,YEAR(N268),"")</f>
        <v>2019</v>
      </c>
      <c r="AC268" s="193" t="str">
        <f>CONCATENATE(Y268,Z268)</f>
        <v>52019</v>
      </c>
      <c r="AD268" s="194" t="str">
        <f>CONCATENATE(AA268,AB268)</f>
        <v>52019</v>
      </c>
      <c r="AE268" s="195">
        <f>IF(M268="CBU","",IF(M268="CNR","",IF(K268="Code Out","",MIN(M268,N268))))</f>
        <v>43587</v>
      </c>
      <c r="AF268" s="196" t="b">
        <f>--(ISNUMBER(SEARCH("lab",P268)))
=--(ISNUMBER(SEARCH("fred",A260)))</f>
        <v>1</v>
      </c>
      <c r="AG268" s="199" t="b">
        <f>IF(AE268&lt;$J$4,TRUE,FALSE)</f>
        <v>0</v>
      </c>
      <c r="AH268" s="192">
        <f ca="1">IF(K268="CBU","",IF(K268="CNR","",IF(K268="Code Out","",SUM(M268-$U$1))))</f>
        <v>307.56816122685268</v>
      </c>
      <c r="AI268" s="192">
        <f ca="1">COUNTIF(O268,"Del")</f>
        <v>0</v>
      </c>
      <c r="AJ268" s="192">
        <f>COUNTIF(P268,"*at lab*")</f>
        <v>0</v>
      </c>
      <c r="AK268" s="200">
        <f ca="1">SUM(AI268:AJ268)</f>
        <v>0</v>
      </c>
    </row>
    <row r="269" spans="1:37" s="75" customFormat="1" ht="25.5" x14ac:dyDescent="0.2">
      <c r="A269" s="207" t="s">
        <v>30</v>
      </c>
      <c r="B269" s="309" t="s">
        <v>31</v>
      </c>
      <c r="C269" s="310"/>
      <c r="D269" s="309" t="s">
        <v>978</v>
      </c>
      <c r="E269" s="309"/>
      <c r="F269" s="309" t="s">
        <v>23</v>
      </c>
      <c r="G269" s="309"/>
      <c r="H269" s="309" t="s">
        <v>978</v>
      </c>
      <c r="I269" s="311" t="s">
        <v>24</v>
      </c>
      <c r="J269" s="312">
        <v>4920000820436</v>
      </c>
      <c r="K269" s="299">
        <v>42747</v>
      </c>
      <c r="L269" s="311">
        <v>540</v>
      </c>
      <c r="M269" s="202">
        <f>IF(K269="cnr","CNR",IF(K269="CBU", "CBU",IF(K269="Code Out","Code Out",K269+L269)))</f>
        <v>43287</v>
      </c>
      <c r="N269" s="203">
        <f>M269</f>
        <v>43287</v>
      </c>
      <c r="O269" s="205" t="str">
        <f ca="1">IF(AJ269=1,"",IF(AH269&lt;1,"DEL",""))</f>
        <v/>
      </c>
      <c r="P269" s="299" t="s">
        <v>851</v>
      </c>
      <c r="Q269" s="313"/>
      <c r="R269" s="313"/>
      <c r="S269" s="313" t="s">
        <v>1432</v>
      </c>
      <c r="T269" s="313"/>
      <c r="U269" s="298" t="s">
        <v>1445</v>
      </c>
      <c r="V269" s="314" t="s">
        <v>691</v>
      </c>
      <c r="W269" s="173"/>
      <c r="X269" s="139"/>
      <c r="Y269" s="191">
        <f>IF(AF269,MONTH(M269),"")</f>
        <v>7</v>
      </c>
      <c r="Z269" s="192">
        <f>IF(AF269,YEAR(M269),"")</f>
        <v>2018</v>
      </c>
      <c r="AA269" s="191">
        <f>IF(AF269,MONTH(N269),"")</f>
        <v>7</v>
      </c>
      <c r="AB269" s="191">
        <f>IF(AF269,YEAR(N269),"")</f>
        <v>2018</v>
      </c>
      <c r="AC269" s="193" t="str">
        <f>CONCATENATE(Y269,Z269)</f>
        <v>72018</v>
      </c>
      <c r="AD269" s="194" t="str">
        <f>CONCATENATE(AA269,AB269)</f>
        <v>72018</v>
      </c>
      <c r="AE269" s="195">
        <f>IF(M269="CBU","",IF(M269="CNR","",IF(K269="Code Out","",MIN(M269,N269))))</f>
        <v>43287</v>
      </c>
      <c r="AF269" s="196" t="b">
        <f>--(ISNUMBER(SEARCH("lab",P269)))
=--(ISNUMBER(SEARCH("fred",A261)))</f>
        <v>1</v>
      </c>
      <c r="AG269" s="199" t="b">
        <f>IF(AE269&lt;$J$4,TRUE,FALSE)</f>
        <v>1</v>
      </c>
      <c r="AH269" s="192">
        <f ca="1">IF(K269="CBU","",IF(K269="CNR","",IF(K269="Code Out","",SUM(M269-$U$1))))</f>
        <v>7.5681612268526806</v>
      </c>
      <c r="AI269" s="192">
        <f ca="1">COUNTIF(O269,"Del")</f>
        <v>0</v>
      </c>
      <c r="AJ269" s="192">
        <f>COUNTIF(P269,"*at lab*")</f>
        <v>0</v>
      </c>
      <c r="AK269" s="200">
        <f ca="1">SUM(AI269:AJ269)</f>
        <v>0</v>
      </c>
    </row>
    <row r="270" spans="1:37" s="80" customFormat="1" ht="71.25" x14ac:dyDescent="0.2">
      <c r="A270" s="207" t="s">
        <v>28</v>
      </c>
      <c r="B270" s="309" t="s">
        <v>29</v>
      </c>
      <c r="C270" s="310"/>
      <c r="D270" s="309" t="s">
        <v>978</v>
      </c>
      <c r="E270" s="309"/>
      <c r="F270" s="309" t="s">
        <v>23</v>
      </c>
      <c r="G270" s="309"/>
      <c r="H270" s="309" t="s">
        <v>978</v>
      </c>
      <c r="I270" s="311" t="s">
        <v>24</v>
      </c>
      <c r="J270" s="312">
        <v>4920000820436</v>
      </c>
      <c r="K270" s="299">
        <v>42747</v>
      </c>
      <c r="L270" s="311">
        <v>540</v>
      </c>
      <c r="M270" s="202">
        <f>IF(K270="cnr","CNR",IF(K270="CBU", "CBU",IF(K270="Code Out","Code Out",K270+L270)))</f>
        <v>43287</v>
      </c>
      <c r="N270" s="203">
        <f>M270</f>
        <v>43287</v>
      </c>
      <c r="O270" s="205" t="str">
        <f ca="1">IF(AJ270=1,"",IF(AH270&lt;1,"DEL",""))</f>
        <v/>
      </c>
      <c r="P270" s="299" t="s">
        <v>851</v>
      </c>
      <c r="Q270" s="313"/>
      <c r="R270" s="313"/>
      <c r="S270" s="313" t="s">
        <v>1432</v>
      </c>
      <c r="T270" s="313"/>
      <c r="U270" s="298" t="s">
        <v>1445</v>
      </c>
      <c r="V270" s="314" t="s">
        <v>691</v>
      </c>
      <c r="W270" s="303"/>
      <c r="X270" s="302"/>
      <c r="Y270" s="197">
        <f>IF(AF270,MONTH(M270),"")</f>
        <v>7</v>
      </c>
      <c r="Z270" s="198">
        <f>IF(AF270,YEAR(M270),"")</f>
        <v>2018</v>
      </c>
      <c r="AA270" s="191">
        <f>IF(AF270,MONTH(N270),"")</f>
        <v>7</v>
      </c>
      <c r="AB270" s="191">
        <f>IF(AF270,YEAR(N270),"")</f>
        <v>2018</v>
      </c>
      <c r="AC270" s="193" t="str">
        <f>CONCATENATE(Y270,Z270)</f>
        <v>72018</v>
      </c>
      <c r="AD270" s="194" t="str">
        <f>CONCATENATE(AA270,AB270)</f>
        <v>72018</v>
      </c>
      <c r="AE270" s="195">
        <f>IF(M270="CBU","",IF(M270="CNR","",IF(K270="Code Out","",MIN(M270,N270))))</f>
        <v>43287</v>
      </c>
      <c r="AF270" s="196" t="b">
        <f>--(ISNUMBER(SEARCH("lab",P270)))
=--(ISNUMBER(SEARCH("fred",A262)))</f>
        <v>1</v>
      </c>
      <c r="AG270" s="199" t="b">
        <f>IF(AE270&lt;$J$4,TRUE,FALSE)</f>
        <v>1</v>
      </c>
      <c r="AH270" s="192">
        <f ca="1">IF(K270="CBU","",IF(K270="CNR","",IF(K270="Code Out","",SUM(M270-$U$1))))</f>
        <v>7.5681612268526806</v>
      </c>
      <c r="AI270" s="192">
        <f ca="1">COUNTIF(O270,"Del")</f>
        <v>0</v>
      </c>
      <c r="AJ270" s="192">
        <f>COUNTIF(P270,"*at lab*")</f>
        <v>0</v>
      </c>
      <c r="AK270" s="200">
        <f ca="1">SUM(AI270:AJ270)</f>
        <v>0</v>
      </c>
    </row>
    <row r="271" spans="1:37" s="176" customFormat="1" ht="38.25" x14ac:dyDescent="0.2">
      <c r="A271" s="207" t="s">
        <v>32</v>
      </c>
      <c r="B271" s="309" t="s">
        <v>33</v>
      </c>
      <c r="C271" s="310"/>
      <c r="D271" s="309" t="s">
        <v>978</v>
      </c>
      <c r="E271" s="309"/>
      <c r="F271" s="309" t="s">
        <v>23</v>
      </c>
      <c r="G271" s="309"/>
      <c r="H271" s="309" t="s">
        <v>978</v>
      </c>
      <c r="I271" s="311" t="s">
        <v>24</v>
      </c>
      <c r="J271" s="312">
        <v>4920000820436</v>
      </c>
      <c r="K271" s="299">
        <v>43110</v>
      </c>
      <c r="L271" s="311">
        <v>540</v>
      </c>
      <c r="M271" s="202">
        <f>IF(K271="cnr","CNR",IF(K271="CBU", "CBU",IF(K271="Code Out","Code Out",K271+L271)))</f>
        <v>43650</v>
      </c>
      <c r="N271" s="203">
        <f>M271</f>
        <v>43650</v>
      </c>
      <c r="O271" s="205" t="str">
        <f ca="1">IF(AJ271=1,"",IF(AH271&lt;1,"DEL",""))</f>
        <v/>
      </c>
      <c r="P271" s="299"/>
      <c r="Q271" s="313"/>
      <c r="R271" s="313"/>
      <c r="S271" s="313" t="s">
        <v>398</v>
      </c>
      <c r="T271" s="313"/>
      <c r="U271" s="298" t="s">
        <v>1526</v>
      </c>
      <c r="V271" s="314" t="s">
        <v>691</v>
      </c>
      <c r="W271" s="173"/>
      <c r="X271" s="139"/>
      <c r="Y271" s="191">
        <f>IF(AF271,MONTH(M271),"")</f>
        <v>7</v>
      </c>
      <c r="Z271" s="192">
        <f>IF(AF271,YEAR(M271),"")</f>
        <v>2019</v>
      </c>
      <c r="AA271" s="191">
        <f>IF(AF271,MONTH(N271),"")</f>
        <v>7</v>
      </c>
      <c r="AB271" s="191">
        <f>IF(AF271,YEAR(N271),"")</f>
        <v>2019</v>
      </c>
      <c r="AC271" s="193" t="str">
        <f>CONCATENATE(Y271,Z271)</f>
        <v>72019</v>
      </c>
      <c r="AD271" s="194" t="str">
        <f>CONCATENATE(AA271,AB271)</f>
        <v>72019</v>
      </c>
      <c r="AE271" s="195">
        <f>IF(M271="CBU","",IF(M271="CNR","",IF(K271="Code Out","",MIN(M271,N271))))</f>
        <v>43650</v>
      </c>
      <c r="AF271" s="196" t="b">
        <f>--(ISNUMBER(SEARCH("lab",P271)))
=--(ISNUMBER(SEARCH("fred",A263)))</f>
        <v>1</v>
      </c>
      <c r="AG271" s="199" t="b">
        <f>IF(AE271&lt;$J$4,TRUE,FALSE)</f>
        <v>0</v>
      </c>
      <c r="AH271" s="192">
        <f ca="1">IF(K271="CBU","",IF(K271="CNR","",IF(K271="Code Out","",SUM(M271-$U$1))))</f>
        <v>370.56816122685268</v>
      </c>
      <c r="AI271" s="192">
        <f ca="1">COUNTIF(O271,"Del")</f>
        <v>0</v>
      </c>
      <c r="AJ271" s="192">
        <f>COUNTIF(P271,"*at lab*")</f>
        <v>0</v>
      </c>
      <c r="AK271" s="200">
        <f ca="1">SUM(AI271:AJ271)</f>
        <v>0</v>
      </c>
    </row>
    <row r="272" spans="1:37" s="75" customFormat="1" ht="25.5" x14ac:dyDescent="0.2">
      <c r="A272" s="207" t="s">
        <v>46</v>
      </c>
      <c r="B272" s="309" t="s">
        <v>47</v>
      </c>
      <c r="C272" s="310"/>
      <c r="D272" s="311">
        <v>1</v>
      </c>
      <c r="E272" s="311"/>
      <c r="F272" s="309" t="s">
        <v>48</v>
      </c>
      <c r="G272" s="309"/>
      <c r="H272" s="309" t="s">
        <v>855</v>
      </c>
      <c r="I272" s="309" t="s">
        <v>577</v>
      </c>
      <c r="J272" s="312">
        <v>5210002778840</v>
      </c>
      <c r="K272" s="299">
        <v>42404</v>
      </c>
      <c r="L272" s="311">
        <v>1080</v>
      </c>
      <c r="M272" s="202">
        <f>IF(K272="cnr","CNR",IF(K272="CBU", "CBU",IF(K272="Code Out","Code Out",K272+L272)))</f>
        <v>43484</v>
      </c>
      <c r="N272" s="203">
        <f>M272</f>
        <v>43484</v>
      </c>
      <c r="O272" s="205" t="str">
        <f ca="1">IF(AJ272=1,"",IF(AH272&lt;1,"DEL",""))</f>
        <v/>
      </c>
      <c r="P272" s="317"/>
      <c r="Q272" s="313"/>
      <c r="R272" s="313"/>
      <c r="S272" s="313" t="s">
        <v>1370</v>
      </c>
      <c r="T272" s="313"/>
      <c r="U272" s="298" t="s">
        <v>1377</v>
      </c>
      <c r="V272" s="314" t="s">
        <v>689</v>
      </c>
      <c r="W272" s="170"/>
      <c r="X272" s="138"/>
      <c r="Y272" s="197">
        <f>IF(AF272,MONTH(M272),"")</f>
        <v>1</v>
      </c>
      <c r="Z272" s="198">
        <f>IF(AF272,YEAR(M272),"")</f>
        <v>2019</v>
      </c>
      <c r="AA272" s="191">
        <f>IF(AF272,MONTH(N272),"")</f>
        <v>1</v>
      </c>
      <c r="AB272" s="191">
        <f>IF(AF272,YEAR(N272),"")</f>
        <v>2019</v>
      </c>
      <c r="AC272" s="193" t="str">
        <f>CONCATENATE(Y272,Z272)</f>
        <v>12019</v>
      </c>
      <c r="AD272" s="194" t="str">
        <f>CONCATENATE(AA272,AB272)</f>
        <v>12019</v>
      </c>
      <c r="AE272" s="195">
        <f>IF(M272="CBU","",IF(M272="CNR","",IF(K272="Code Out","",MIN(M272,N272))))</f>
        <v>43484</v>
      </c>
      <c r="AF272" s="196" t="b">
        <f>--(ISNUMBER(SEARCH("lab",P272)))
=--(ISNUMBER(SEARCH("fred",A264)))</f>
        <v>1</v>
      </c>
      <c r="AG272" s="199" t="b">
        <f>IF(AE272&lt;$J$4,TRUE,FALSE)</f>
        <v>0</v>
      </c>
      <c r="AH272" s="192">
        <f ca="1">IF(K272="CBU","",IF(K272="CNR","",IF(K272="Code Out","",SUM(M272-$U$1))))</f>
        <v>204.56816122685268</v>
      </c>
      <c r="AI272" s="192">
        <f ca="1">COUNTIF(O272,"Del")</f>
        <v>0</v>
      </c>
      <c r="AJ272" s="192">
        <f>COUNTIF(P272,"*at lab*")</f>
        <v>0</v>
      </c>
      <c r="AK272" s="200">
        <f ca="1">SUM(AI272:AJ272)</f>
        <v>0</v>
      </c>
    </row>
    <row r="273" spans="1:37" s="75" customFormat="1" ht="25.5" x14ac:dyDescent="0.2">
      <c r="A273" s="207" t="s">
        <v>290</v>
      </c>
      <c r="B273" s="309" t="s">
        <v>79</v>
      </c>
      <c r="C273" s="310"/>
      <c r="D273" s="311">
        <v>1</v>
      </c>
      <c r="E273" s="311"/>
      <c r="F273" s="309" t="s">
        <v>80</v>
      </c>
      <c r="G273" s="309"/>
      <c r="H273" s="309" t="s">
        <v>855</v>
      </c>
      <c r="I273" s="309" t="s">
        <v>577</v>
      </c>
      <c r="J273" s="312">
        <v>5210002778840</v>
      </c>
      <c r="K273" s="299">
        <v>43138</v>
      </c>
      <c r="L273" s="311">
        <v>1080</v>
      </c>
      <c r="M273" s="202">
        <f>IF(K273="cnr","CNR",IF(K273="CBU", "CBU",IF(K273="Code Out","Code Out",K273+L273)))</f>
        <v>44218</v>
      </c>
      <c r="N273" s="203">
        <f>M273</f>
        <v>44218</v>
      </c>
      <c r="O273" s="205" t="str">
        <f ca="1">IF(AJ273=1,"",IF(AH273&lt;1,"DEL",""))</f>
        <v/>
      </c>
      <c r="P273" s="299"/>
      <c r="Q273" s="313"/>
      <c r="R273" s="313"/>
      <c r="S273" s="313" t="s">
        <v>398</v>
      </c>
      <c r="T273" s="313"/>
      <c r="U273" s="298" t="s">
        <v>1526</v>
      </c>
      <c r="V273" s="314" t="s">
        <v>689</v>
      </c>
      <c r="W273" s="170"/>
      <c r="X273" s="138"/>
      <c r="Y273" s="197">
        <f>IF(AF273,MONTH(M273),"")</f>
        <v>1</v>
      </c>
      <c r="Z273" s="198">
        <f>IF(AF273,YEAR(M273),"")</f>
        <v>2021</v>
      </c>
      <c r="AA273" s="191">
        <f>IF(AF273,MONTH(N273),"")</f>
        <v>1</v>
      </c>
      <c r="AB273" s="191">
        <f>IF(AF273,YEAR(N273),"")</f>
        <v>2021</v>
      </c>
      <c r="AC273" s="193" t="str">
        <f>CONCATENATE(Y273,Z273)</f>
        <v>12021</v>
      </c>
      <c r="AD273" s="194" t="str">
        <f>CONCATENATE(AA273,AB273)</f>
        <v>12021</v>
      </c>
      <c r="AE273" s="195">
        <f>IF(M273="CBU","",IF(M273="CNR","",IF(K273="Code Out","",MIN(M273,N273))))</f>
        <v>44218</v>
      </c>
      <c r="AF273" s="196" t="b">
        <f>--(ISNUMBER(SEARCH("lab",P273)))
=--(ISNUMBER(SEARCH("fred",A265)))</f>
        <v>1</v>
      </c>
      <c r="AG273" s="199" t="b">
        <f>IF(AE273&lt;$J$4,TRUE,FALSE)</f>
        <v>0</v>
      </c>
      <c r="AH273" s="192">
        <f ca="1">IF(K273="CBU","",IF(K273="CNR","",IF(K273="Code Out","",SUM(M273-$U$1))))</f>
        <v>938.56816122685268</v>
      </c>
      <c r="AI273" s="192">
        <f ca="1">COUNTIF(O273,"Del")</f>
        <v>0</v>
      </c>
      <c r="AJ273" s="192">
        <f>COUNTIF(P273,"*at lab*")</f>
        <v>0</v>
      </c>
      <c r="AK273" s="200">
        <f ca="1">SUM(AI273:AJ273)</f>
        <v>0</v>
      </c>
    </row>
    <row r="274" spans="1:37" s="75" customFormat="1" x14ac:dyDescent="0.2">
      <c r="A274" s="207" t="s">
        <v>26</v>
      </c>
      <c r="B274" s="330">
        <v>41023</v>
      </c>
      <c r="C274" s="451"/>
      <c r="D274" s="330" t="s">
        <v>978</v>
      </c>
      <c r="E274" s="330"/>
      <c r="F274" s="330" t="s">
        <v>23</v>
      </c>
      <c r="G274" s="330"/>
      <c r="H274" s="330" t="s">
        <v>978</v>
      </c>
      <c r="I274" s="422" t="s">
        <v>24</v>
      </c>
      <c r="J274" s="395">
        <v>4920000820436</v>
      </c>
      <c r="K274" s="331">
        <v>43110</v>
      </c>
      <c r="L274" s="311">
        <v>540</v>
      </c>
      <c r="M274" s="202">
        <f>IF(K274="cnr","CNR",IF(K274="CBU", "CBU",IF(K274="Code Out","Code Out",K274+L274)))</f>
        <v>43650</v>
      </c>
      <c r="N274" s="203">
        <f>M274</f>
        <v>43650</v>
      </c>
      <c r="O274" s="205" t="str">
        <f ca="1">IF(AJ274=1,"",IF(AH274&lt;1,"DEL",""))</f>
        <v/>
      </c>
      <c r="P274" s="331"/>
      <c r="Q274" s="332"/>
      <c r="R274" s="332"/>
      <c r="S274" s="332" t="s">
        <v>398</v>
      </c>
      <c r="T274" s="369"/>
      <c r="U274" s="455" t="s">
        <v>1526</v>
      </c>
      <c r="V274" s="457" t="s">
        <v>691</v>
      </c>
      <c r="W274" s="469"/>
      <c r="X274" s="470"/>
      <c r="Y274" s="197">
        <f>IF(AF274,MONTH(M274),"")</f>
        <v>7</v>
      </c>
      <c r="Z274" s="198">
        <f>IF(AF274,YEAR(M274),"")</f>
        <v>2019</v>
      </c>
      <c r="AA274" s="191">
        <f>IF(AF274,MONTH(N274),"")</f>
        <v>7</v>
      </c>
      <c r="AB274" s="191">
        <f>IF(AF274,YEAR(N274),"")</f>
        <v>2019</v>
      </c>
      <c r="AC274" s="193" t="str">
        <f>CONCATENATE(Y274,Z274)</f>
        <v>72019</v>
      </c>
      <c r="AD274" s="194" t="str">
        <f>CONCATENATE(AA274,AB274)</f>
        <v>72019</v>
      </c>
      <c r="AE274" s="195">
        <f>IF(M274="CBU","",IF(M274="CNR","",IF(K274="Code Out","",MIN(M274,N274))))</f>
        <v>43650</v>
      </c>
      <c r="AF274" s="196" t="b">
        <f>--(ISNUMBER(SEARCH("lab",P274)))
=--(ISNUMBER(SEARCH("fred",A266)))</f>
        <v>1</v>
      </c>
      <c r="AG274" s="199" t="b">
        <f>IF(AE274&lt;$J$4,TRUE,FALSE)</f>
        <v>0</v>
      </c>
      <c r="AH274" s="192">
        <f ca="1">IF(K274="CBU","",IF(K274="CNR","",IF(K274="Code Out","",SUM(M274-$U$1))))</f>
        <v>370.56816122685268</v>
      </c>
      <c r="AI274" s="192">
        <f ca="1">COUNTIF(O274,"Del")</f>
        <v>0</v>
      </c>
      <c r="AJ274" s="192">
        <f>COUNTIF(P274,"*at lab*")</f>
        <v>0</v>
      </c>
      <c r="AK274" s="200">
        <f ca="1">SUM(AI274:AJ274)</f>
        <v>0</v>
      </c>
    </row>
    <row r="275" spans="1:37" s="75" customFormat="1" ht="25.5" x14ac:dyDescent="0.2">
      <c r="A275" s="421" t="s">
        <v>25</v>
      </c>
      <c r="B275" s="333">
        <v>7645</v>
      </c>
      <c r="C275" s="452"/>
      <c r="D275" s="333" t="s">
        <v>978</v>
      </c>
      <c r="E275" s="333"/>
      <c r="F275" s="333" t="s">
        <v>23</v>
      </c>
      <c r="G275" s="333"/>
      <c r="H275" s="333" t="s">
        <v>978</v>
      </c>
      <c r="I275" s="453" t="s">
        <v>24</v>
      </c>
      <c r="J275" s="361">
        <v>4920000820436</v>
      </c>
      <c r="K275" s="334">
        <v>43110</v>
      </c>
      <c r="L275" s="454">
        <v>540</v>
      </c>
      <c r="M275" s="306">
        <f>IF(K275="cnr","CNR",IF(K275="CBU", "CBU",IF(K275="Code Out","Code Out",K275+L275)))</f>
        <v>43650</v>
      </c>
      <c r="N275" s="307">
        <f>M275</f>
        <v>43650</v>
      </c>
      <c r="O275" s="308" t="str">
        <f ca="1">IF(AJ275=1,"",IF(AH275&lt;1,"DEL",""))</f>
        <v/>
      </c>
      <c r="P275" s="334"/>
      <c r="Q275" s="335"/>
      <c r="R275" s="335"/>
      <c r="S275" s="335" t="s">
        <v>398</v>
      </c>
      <c r="T275" s="372"/>
      <c r="U275" s="456" t="s">
        <v>1526</v>
      </c>
      <c r="V275" s="458" t="s">
        <v>691</v>
      </c>
      <c r="W275" s="461"/>
      <c r="X275" s="461"/>
      <c r="Y275" s="191">
        <f>IF(AF275,MONTH(M275),"")</f>
        <v>7</v>
      </c>
      <c r="Z275" s="192">
        <f>IF(AF275,YEAR(M275),"")</f>
        <v>2019</v>
      </c>
      <c r="AA275" s="191">
        <f>IF(AF275,MONTH(N275),"")</f>
        <v>7</v>
      </c>
      <c r="AB275" s="191">
        <f>IF(AF275,YEAR(N275),"")</f>
        <v>2019</v>
      </c>
      <c r="AC275" s="193" t="str">
        <f>CONCATENATE(Y275,Z275)</f>
        <v>72019</v>
      </c>
      <c r="AD275" s="194" t="str">
        <f>CONCATENATE(AA275,AB275)</f>
        <v>72019</v>
      </c>
      <c r="AE275" s="195">
        <f>IF(M275="CBU","",IF(M275="CNR","",IF(K275="Code Out","",MIN(M275,N275))))</f>
        <v>43650</v>
      </c>
      <c r="AF275" s="196" t="b">
        <f>--(ISNUMBER(SEARCH("lab",P275)))
=--(ISNUMBER(SEARCH("fred",A267)))</f>
        <v>1</v>
      </c>
      <c r="AG275" s="199" t="b">
        <f>IF(AE275&lt;$J$4,TRUE,FALSE)</f>
        <v>0</v>
      </c>
      <c r="AH275" s="192">
        <f ca="1">IF(K275="CBU","",IF(K275="CNR","",IF(K275="Code Out","",SUM(M275-$U$1))))</f>
        <v>370.56816122685268</v>
      </c>
      <c r="AI275" s="192">
        <f ca="1">COUNTIF(O275,"Del")</f>
        <v>0</v>
      </c>
      <c r="AJ275" s="192">
        <f>COUNTIF(P275,"*at lab*")</f>
        <v>0</v>
      </c>
      <c r="AK275" s="200">
        <f ca="1">SUM(AI275:AJ275)</f>
        <v>0</v>
      </c>
    </row>
    <row r="276" spans="1:37" ht="25.5" x14ac:dyDescent="0.2">
      <c r="A276" s="421" t="s">
        <v>34</v>
      </c>
      <c r="B276" s="333">
        <v>7645</v>
      </c>
      <c r="C276" s="452"/>
      <c r="D276" s="453">
        <v>1</v>
      </c>
      <c r="E276" s="453"/>
      <c r="F276" s="333" t="s">
        <v>609</v>
      </c>
      <c r="G276" s="333"/>
      <c r="H276" s="333" t="s">
        <v>855</v>
      </c>
      <c r="I276" s="453" t="s">
        <v>415</v>
      </c>
      <c r="J276" s="361">
        <v>5120004011676</v>
      </c>
      <c r="K276" s="334">
        <v>43201</v>
      </c>
      <c r="L276" s="454">
        <v>180</v>
      </c>
      <c r="M276" s="306">
        <f>IF(K276="cnr","CNR",IF(K276="CBU", "CBU",IF(K276="Code Out","Code Out",K276+L276)))</f>
        <v>43381</v>
      </c>
      <c r="N276" s="307">
        <f>M276</f>
        <v>43381</v>
      </c>
      <c r="O276" s="308" t="str">
        <f ca="1">IF(AJ276=1,"",IF(AH276&lt;1,"DEL",""))</f>
        <v/>
      </c>
      <c r="P276" s="334"/>
      <c r="Q276" s="359"/>
      <c r="R276" s="359"/>
      <c r="S276" s="359" t="s">
        <v>398</v>
      </c>
      <c r="T276" s="359"/>
      <c r="U276" s="456" t="s">
        <v>1550</v>
      </c>
      <c r="V276" s="458" t="s">
        <v>1528</v>
      </c>
      <c r="W276" s="460"/>
      <c r="X276" s="460"/>
      <c r="Y276" s="191">
        <f>IF(AF276,MONTH(M276),"")</f>
        <v>10</v>
      </c>
      <c r="Z276" s="192">
        <f>IF(AF276,YEAR(M276),"")</f>
        <v>2018</v>
      </c>
      <c r="AA276" s="191">
        <f>IF(AF276,MONTH(N276),"")</f>
        <v>10</v>
      </c>
      <c r="AB276" s="191">
        <f>IF(AF276,YEAR(N276),"")</f>
        <v>2018</v>
      </c>
      <c r="AC276" s="193" t="str">
        <f>CONCATENATE(Y276,Z276)</f>
        <v>102018</v>
      </c>
      <c r="AD276" s="194" t="str">
        <f>CONCATENATE(AA276,AB276)</f>
        <v>102018</v>
      </c>
      <c r="AE276" s="195">
        <f>IF(M276="CBU","",IF(M276="CNR","",IF(K276="Code Out","",MIN(M276,N276))))</f>
        <v>43381</v>
      </c>
      <c r="AF276" s="196" t="b">
        <f>--(ISNUMBER(SEARCH("lab",P276)))
=--(ISNUMBER(SEARCH("fred",A268)))</f>
        <v>1</v>
      </c>
      <c r="AG276" s="199" t="b">
        <f>IF(AE276&lt;$J$4,TRUE,FALSE)</f>
        <v>0</v>
      </c>
      <c r="AH276" s="192">
        <f ca="1">IF(K276="CBU","",IF(K276="CNR","",IF(K276="Code Out","",SUM(M276-$U$1))))</f>
        <v>101.56816122685268</v>
      </c>
      <c r="AI276" s="192">
        <f ca="1">COUNTIF(O276,"Del")</f>
        <v>0</v>
      </c>
      <c r="AJ276" s="192">
        <f>COUNTIF(P276,"*at lab*")</f>
        <v>0</v>
      </c>
      <c r="AK276" s="200">
        <f ca="1">SUM(AI276:AJ276)</f>
        <v>0</v>
      </c>
    </row>
    <row r="277" spans="1:37" ht="25.5" x14ac:dyDescent="0.2">
      <c r="A277" s="207" t="s">
        <v>21</v>
      </c>
      <c r="B277" s="333" t="s">
        <v>22</v>
      </c>
      <c r="C277" s="452"/>
      <c r="D277" s="453">
        <v>4</v>
      </c>
      <c r="E277" s="453"/>
      <c r="F277" s="333" t="s">
        <v>19</v>
      </c>
      <c r="G277" s="333"/>
      <c r="H277" s="333" t="s">
        <v>974</v>
      </c>
      <c r="I277" s="453" t="s">
        <v>20</v>
      </c>
      <c r="J277" s="361">
        <v>6625013508774</v>
      </c>
      <c r="K277" s="334">
        <v>43172</v>
      </c>
      <c r="L277" s="417">
        <v>360</v>
      </c>
      <c r="M277" s="306">
        <f>IF(K277="cnr","CNR",IF(K277="CBU", "CBU",IF(K277="Code Out","Code Out",K277+L277)))</f>
        <v>43532</v>
      </c>
      <c r="N277" s="307">
        <f>M277</f>
        <v>43532</v>
      </c>
      <c r="O277" s="308" t="str">
        <f ca="1">IF(AJ277=1,"",IF(AH277&lt;1,"DEL",""))</f>
        <v/>
      </c>
      <c r="P277" s="465"/>
      <c r="Q277" s="359"/>
      <c r="R277" s="359"/>
      <c r="S277" s="359" t="s">
        <v>398</v>
      </c>
      <c r="T277" s="359"/>
      <c r="U277" s="467" t="s">
        <v>1533</v>
      </c>
      <c r="V277" s="459" t="s">
        <v>692</v>
      </c>
      <c r="W277" s="460"/>
      <c r="X277" s="460"/>
      <c r="Y277" s="377">
        <f>IF(AF277,MONTH(M277),"")</f>
        <v>3</v>
      </c>
      <c r="Z277" s="385">
        <f>IF(AF277,YEAR(M277),"")</f>
        <v>2019</v>
      </c>
      <c r="AA277" s="377">
        <f>IF(AF277,MONTH(N277),"")</f>
        <v>3</v>
      </c>
      <c r="AB277" s="377">
        <f>IF(AF277,YEAR(N277),"")</f>
        <v>2019</v>
      </c>
      <c r="AC277" s="379" t="str">
        <f>CONCATENATE(Y277,Z277)</f>
        <v>32019</v>
      </c>
      <c r="AD277" s="380" t="str">
        <f>CONCATENATE(AA277,AB277)</f>
        <v>32019</v>
      </c>
      <c r="AE277" s="195">
        <f>IF(M277="CBU","",IF(M277="CNR","",IF(K277="Code Out","",MIN(M277,N277))))</f>
        <v>43532</v>
      </c>
      <c r="AF277" s="382" t="b">
        <f>--(ISNUMBER(SEARCH("lab",P277)))
=--(ISNUMBER(SEARCH("fred",A269)))</f>
        <v>1</v>
      </c>
      <c r="AG277" s="383" t="b">
        <f>IF(AE277&lt;$J$4,TRUE,FALSE)</f>
        <v>0</v>
      </c>
      <c r="AH277" s="385">
        <f ca="1">IF(K277="CBU","",IF(K277="CNR","",IF(K277="Code Out","",SUM(M277-$U$1))))</f>
        <v>252.56816122685268</v>
      </c>
      <c r="AI277" s="385">
        <f ca="1">COUNTIF(O277,"Del")</f>
        <v>0</v>
      </c>
      <c r="AJ277" s="385">
        <f>COUNTIF(P277,"*at lab*")</f>
        <v>0</v>
      </c>
      <c r="AK277" s="385">
        <f ca="1">SUM(AI277:AJ277)</f>
        <v>0</v>
      </c>
    </row>
    <row r="278" spans="1:37" ht="25.5" x14ac:dyDescent="0.2">
      <c r="A278" s="415" t="s">
        <v>1423</v>
      </c>
      <c r="B278" s="403">
        <v>221</v>
      </c>
      <c r="C278" s="453" t="s">
        <v>496</v>
      </c>
      <c r="D278" s="453">
        <v>1</v>
      </c>
      <c r="E278" s="453"/>
      <c r="F278" s="333" t="s">
        <v>489</v>
      </c>
      <c r="G278" s="333"/>
      <c r="H278" s="333" t="s">
        <v>855</v>
      </c>
      <c r="I278" s="453" t="s">
        <v>106</v>
      </c>
      <c r="J278" s="464">
        <v>6625008027191</v>
      </c>
      <c r="K278" s="334" t="s">
        <v>138</v>
      </c>
      <c r="L278" s="404" t="s">
        <v>138</v>
      </c>
      <c r="M278" s="306" t="str">
        <f>IF(K278="cnr","CNR",IF(K278="CBU", "CBU",IF(K278="Code Out","Code Out",K278+L278)))</f>
        <v>CNR</v>
      </c>
      <c r="N278" s="307" t="str">
        <f>M278</f>
        <v>CNR</v>
      </c>
      <c r="O278" s="308" t="str">
        <f>IF(AJ278=1,"",IF(AH278&lt;1,"DEL",""))</f>
        <v/>
      </c>
      <c r="P278" s="371"/>
      <c r="Q278" s="359"/>
      <c r="R278" s="359"/>
      <c r="S278" s="359" t="s">
        <v>398</v>
      </c>
      <c r="T278" s="359"/>
      <c r="U278" s="466"/>
      <c r="V278" s="459" t="s">
        <v>367</v>
      </c>
      <c r="W278" s="460"/>
      <c r="X278" s="460"/>
      <c r="Y278" s="407" t="e">
        <f>IF(AF278,MONTH(M278),"")</f>
        <v>#VALUE!</v>
      </c>
      <c r="Z278" s="408" t="e">
        <f>IF(AF278,YEAR(M278),"")</f>
        <v>#VALUE!</v>
      </c>
      <c r="AA278" s="377" t="e">
        <f>IF(AF278,MONTH(N278),"")</f>
        <v>#VALUE!</v>
      </c>
      <c r="AB278" s="377" t="e">
        <f>IF(AF278,YEAR(N278),"")</f>
        <v>#VALUE!</v>
      </c>
      <c r="AC278" s="379" t="e">
        <f>CONCATENATE(Y278,Z278)</f>
        <v>#VALUE!</v>
      </c>
      <c r="AD278" s="380" t="e">
        <f>CONCATENATE(AA278,AB278)</f>
        <v>#VALUE!</v>
      </c>
      <c r="AE278" s="195" t="str">
        <f>IF(M278="CBU","",IF(M278="CNR","",IF(K278="Code Out","",MIN(M278,N278))))</f>
        <v/>
      </c>
      <c r="AF278" s="382" t="b">
        <f>--(ISNUMBER(SEARCH("lab",P278)))
=--(ISNUMBER(SEARCH("fred",A270)))</f>
        <v>1</v>
      </c>
      <c r="AG278" s="383" t="b">
        <f>IF(AE278&lt;$J$4,TRUE,FALSE)</f>
        <v>0</v>
      </c>
      <c r="AH278" s="385" t="str">
        <f>IF(K278="CBU","",IF(K278="CNR","",IF(K278="Code Out","",SUM(M278-$U$1))))</f>
        <v/>
      </c>
      <c r="AI278" s="385">
        <f>COUNTIF(O278,"Del")</f>
        <v>0</v>
      </c>
      <c r="AJ278" s="385">
        <f>COUNTIF(P278,"*at lab*")</f>
        <v>0</v>
      </c>
      <c r="AK278" s="385">
        <f>SUM(AI278:AJ278)</f>
        <v>0</v>
      </c>
    </row>
    <row r="279" spans="1:37" x14ac:dyDescent="0.2">
      <c r="A279" s="207" t="s">
        <v>88</v>
      </c>
      <c r="B279" s="403" t="s">
        <v>89</v>
      </c>
      <c r="C279" s="333"/>
      <c r="D279" s="453">
        <v>4</v>
      </c>
      <c r="E279" s="333" t="s">
        <v>90</v>
      </c>
      <c r="F279" s="333" t="s">
        <v>90</v>
      </c>
      <c r="G279" s="333"/>
      <c r="H279" s="333" t="s">
        <v>974</v>
      </c>
      <c r="I279" s="333" t="s">
        <v>91</v>
      </c>
      <c r="J279" s="361">
        <v>5210010104522</v>
      </c>
      <c r="K279" s="334">
        <v>42494</v>
      </c>
      <c r="L279" s="404">
        <v>1080</v>
      </c>
      <c r="M279" s="306">
        <f>IF(K279="cnr","CNR",IF(K279="CBU", "CBU",IF(K279="Code Out","Code Out",K279+L279)))</f>
        <v>43574</v>
      </c>
      <c r="N279" s="307">
        <f>M279</f>
        <v>43574</v>
      </c>
      <c r="O279" s="423" t="str">
        <f ca="1">IF(AJ279=1,"",IF(AH279&lt;1,"DEL",""))</f>
        <v/>
      </c>
      <c r="P279" s="371"/>
      <c r="Q279" s="359"/>
      <c r="R279" s="359"/>
      <c r="S279" s="359" t="s">
        <v>1370</v>
      </c>
      <c r="T279" s="359"/>
      <c r="U279" s="396" t="s">
        <v>1407</v>
      </c>
      <c r="V279" s="405" t="s">
        <v>737</v>
      </c>
      <c r="W279" s="406"/>
      <c r="X279" s="406"/>
      <c r="Y279" s="377">
        <f>IF(AF279,MONTH(M279),"")</f>
        <v>4</v>
      </c>
      <c r="Z279" s="385">
        <f>IF(AF279,YEAR(M279),"")</f>
        <v>2019</v>
      </c>
      <c r="AA279" s="377">
        <f>IF(AF279,MONTH(N279),"")</f>
        <v>4</v>
      </c>
      <c r="AB279" s="377">
        <f>IF(AF279,YEAR(N279),"")</f>
        <v>2019</v>
      </c>
      <c r="AC279" s="379" t="str">
        <f>CONCATENATE(Y279,Z279)</f>
        <v>42019</v>
      </c>
      <c r="AD279" s="380" t="str">
        <f>CONCATENATE(AA279,AB279)</f>
        <v>42019</v>
      </c>
      <c r="AE279" s="195">
        <f>IF(M279="CBU","",IF(M279="CNR","",IF(K279="Code Out","",MIN(M279,N279))))</f>
        <v>43574</v>
      </c>
      <c r="AF279" s="382" t="b">
        <f>--(ISNUMBER(SEARCH("lab",P279)))
=--(ISNUMBER(SEARCH("fred",A271)))</f>
        <v>1</v>
      </c>
      <c r="AG279" s="383" t="b">
        <f>IF(AE279&lt;$J$4,TRUE,FALSE)</f>
        <v>0</v>
      </c>
      <c r="AH279" s="385">
        <f ca="1">IF(K279="CBU","",IF(K279="CNR","",IF(K279="Code Out","",SUM(M279-$U$1))))</f>
        <v>294.56816122685268</v>
      </c>
      <c r="AI279" s="385">
        <f ca="1">COUNTIF(O279,"Del")</f>
        <v>0</v>
      </c>
      <c r="AJ279" s="385">
        <f>COUNTIF(P279,"*at lab*")</f>
        <v>0</v>
      </c>
      <c r="AK279" s="385">
        <f ca="1">SUM(AI279:AJ279)</f>
        <v>0</v>
      </c>
    </row>
    <row r="280" spans="1:37" ht="102" x14ac:dyDescent="0.2">
      <c r="A280" s="207" t="s">
        <v>1002</v>
      </c>
      <c r="B280" s="315" t="s">
        <v>1002</v>
      </c>
      <c r="C280" s="310"/>
      <c r="D280" s="311">
        <v>3</v>
      </c>
      <c r="E280" s="311"/>
      <c r="F280" s="309">
        <v>7799773</v>
      </c>
      <c r="G280" s="415"/>
      <c r="H280" s="415" t="s">
        <v>973</v>
      </c>
      <c r="I280" s="311" t="s">
        <v>159</v>
      </c>
      <c r="J280" s="463">
        <v>4933008676607</v>
      </c>
      <c r="K280" s="299" t="s">
        <v>138</v>
      </c>
      <c r="L280" s="316" t="s">
        <v>138</v>
      </c>
      <c r="M280" s="202" t="str">
        <f>IF(K280="cnr","CNR",IF(K280="CBU", "CBU",IF(K280="Code Out","Code Out",K280+L280)))</f>
        <v>CNR</v>
      </c>
      <c r="N280" s="203" t="str">
        <f>M280</f>
        <v>CNR</v>
      </c>
      <c r="O280" s="205" t="str">
        <f>IF(AJ280=1,"",IF(AH280&lt;1,"DEL",""))</f>
        <v/>
      </c>
      <c r="P280" s="317"/>
      <c r="Q280" s="313"/>
      <c r="R280" s="313"/>
      <c r="S280" s="313" t="s">
        <v>398</v>
      </c>
      <c r="T280" s="313"/>
      <c r="U280" s="318" t="s">
        <v>890</v>
      </c>
      <c r="V280" s="314" t="s">
        <v>368</v>
      </c>
      <c r="W280" s="139"/>
      <c r="X280" s="462"/>
      <c r="Y280" s="419" t="e">
        <f>IF(AF280,MONTH(M280),"")</f>
        <v>#VALUE!</v>
      </c>
      <c r="Z280" s="198" t="e">
        <f>IF(AF280,YEAR(M280),"")</f>
        <v>#VALUE!</v>
      </c>
      <c r="AA280" s="420" t="e">
        <f>IF(AF280,MONTH(N280),"")</f>
        <v>#VALUE!</v>
      </c>
      <c r="AB280" s="191" t="e">
        <f>IF(AF280,YEAR(N280),"")</f>
        <v>#VALUE!</v>
      </c>
      <c r="AC280" s="193" t="e">
        <f>CONCATENATE(Y280,Z280)</f>
        <v>#VALUE!</v>
      </c>
      <c r="AD280" s="194" t="e">
        <f>CONCATENATE(AA280,AB280)</f>
        <v>#VALUE!</v>
      </c>
      <c r="AE280" s="195" t="str">
        <f>IF(M280="CBU","",IF(M280="CNR","",IF(K280="Code Out","",MIN(M280,N280))))</f>
        <v/>
      </c>
      <c r="AF280" s="196" t="b">
        <f>--(ISNUMBER(SEARCH("lab",P280)))
=--(ISNUMBER(SEARCH("fred",A272)))</f>
        <v>1</v>
      </c>
      <c r="AG280" s="199" t="b">
        <f>IF(AE280&lt;$J$4,TRUE,FALSE)</f>
        <v>0</v>
      </c>
      <c r="AH280" s="192" t="str">
        <f>IF(K280="CBU","",IF(K280="CNR","",IF(K280="Code Out","",SUM(M280-$U$1))))</f>
        <v/>
      </c>
      <c r="AI280" s="385">
        <f>COUNTIF(O280,"Del")</f>
        <v>0</v>
      </c>
      <c r="AJ280" s="385">
        <f>COUNTIF(P280,"*at lab*")</f>
        <v>0</v>
      </c>
      <c r="AK280" s="385">
        <f>SUM(AI280:AJ280)</f>
        <v>0</v>
      </c>
    </row>
    <row r="281" spans="1:37" x14ac:dyDescent="0.2">
      <c r="A281" s="365"/>
    </row>
    <row r="282" spans="1:37" x14ac:dyDescent="0.2">
      <c r="A282" s="365"/>
    </row>
    <row r="283" spans="1:37" x14ac:dyDescent="0.2">
      <c r="A283" s="365"/>
    </row>
    <row r="284" spans="1:37" x14ac:dyDescent="0.2">
      <c r="A284" s="365"/>
    </row>
    <row r="285" spans="1:37" x14ac:dyDescent="0.2">
      <c r="A285" s="365"/>
    </row>
    <row r="286" spans="1:37" x14ac:dyDescent="0.2">
      <c r="A286" s="365"/>
    </row>
    <row r="287" spans="1:37" x14ac:dyDescent="0.2">
      <c r="A287" s="365"/>
    </row>
    <row r="288" spans="1:37" x14ac:dyDescent="0.2">
      <c r="A288" s="365"/>
    </row>
    <row r="289" spans="1:1" x14ac:dyDescent="0.2">
      <c r="A289" s="365"/>
    </row>
    <row r="290" spans="1:1" x14ac:dyDescent="0.2">
      <c r="A290" s="365"/>
    </row>
    <row r="291" spans="1:1" x14ac:dyDescent="0.2">
      <c r="A291" s="365"/>
    </row>
    <row r="292" spans="1:1" x14ac:dyDescent="0.2">
      <c r="A292" s="365"/>
    </row>
    <row r="293" spans="1:1" x14ac:dyDescent="0.2">
      <c r="A293" s="365"/>
    </row>
    <row r="294" spans="1:1" x14ac:dyDescent="0.2">
      <c r="A294" s="365"/>
    </row>
    <row r="295" spans="1:1" x14ac:dyDescent="0.2">
      <c r="A295" s="365"/>
    </row>
    <row r="296" spans="1:1" x14ac:dyDescent="0.2">
      <c r="A296" s="365"/>
    </row>
    <row r="297" spans="1:1" x14ac:dyDescent="0.2">
      <c r="A297" s="365"/>
    </row>
    <row r="298" spans="1:1" x14ac:dyDescent="0.2">
      <c r="A298" s="365"/>
    </row>
    <row r="299" spans="1:1" x14ac:dyDescent="0.2">
      <c r="A299" s="365"/>
    </row>
    <row r="300" spans="1:1" x14ac:dyDescent="0.2">
      <c r="A300" s="365"/>
    </row>
    <row r="301" spans="1:1" x14ac:dyDescent="0.2">
      <c r="A301" s="365"/>
    </row>
    <row r="302" spans="1:1" x14ac:dyDescent="0.2">
      <c r="A302" s="365"/>
    </row>
    <row r="303" spans="1:1" x14ac:dyDescent="0.2">
      <c r="A303" s="365"/>
    </row>
    <row r="304" spans="1:1" x14ac:dyDescent="0.2">
      <c r="A304" s="365"/>
    </row>
    <row r="305" spans="1:1" x14ac:dyDescent="0.2">
      <c r="A305" s="365"/>
    </row>
    <row r="306" spans="1:1" x14ac:dyDescent="0.2">
      <c r="A306" s="365"/>
    </row>
    <row r="307" spans="1:1" x14ac:dyDescent="0.2">
      <c r="A307" s="365"/>
    </row>
    <row r="308" spans="1:1" x14ac:dyDescent="0.2">
      <c r="A308" s="365"/>
    </row>
    <row r="309" spans="1:1" x14ac:dyDescent="0.2">
      <c r="A309" s="365"/>
    </row>
    <row r="310" spans="1:1" x14ac:dyDescent="0.2">
      <c r="A310" s="365"/>
    </row>
    <row r="311" spans="1:1" x14ac:dyDescent="0.2">
      <c r="A311" s="365"/>
    </row>
    <row r="312" spans="1:1" x14ac:dyDescent="0.2">
      <c r="A312" s="365"/>
    </row>
    <row r="313" spans="1:1" x14ac:dyDescent="0.2">
      <c r="A313" s="365"/>
    </row>
    <row r="314" spans="1:1" x14ac:dyDescent="0.2">
      <c r="A314" s="365"/>
    </row>
    <row r="315" spans="1:1" x14ac:dyDescent="0.2">
      <c r="A315" s="365"/>
    </row>
    <row r="316" spans="1:1" x14ac:dyDescent="0.2">
      <c r="A316" s="365"/>
    </row>
    <row r="317" spans="1:1" x14ac:dyDescent="0.2">
      <c r="A317" s="365"/>
    </row>
    <row r="318" spans="1:1" x14ac:dyDescent="0.2">
      <c r="A318" s="365"/>
    </row>
    <row r="319" spans="1:1" x14ac:dyDescent="0.2">
      <c r="A319" s="365"/>
    </row>
    <row r="320" spans="1:1" x14ac:dyDescent="0.2">
      <c r="A320" s="365"/>
    </row>
    <row r="321" spans="1:1" x14ac:dyDescent="0.2">
      <c r="A321" s="365"/>
    </row>
    <row r="322" spans="1:1" x14ac:dyDescent="0.2">
      <c r="A322" s="365"/>
    </row>
    <row r="323" spans="1:1" x14ac:dyDescent="0.2">
      <c r="A323" s="365"/>
    </row>
    <row r="324" spans="1:1" x14ac:dyDescent="0.2">
      <c r="A324" s="365"/>
    </row>
    <row r="325" spans="1:1" x14ac:dyDescent="0.2">
      <c r="A325" s="365"/>
    </row>
    <row r="326" spans="1:1" x14ac:dyDescent="0.2">
      <c r="A326" s="365"/>
    </row>
    <row r="327" spans="1:1" x14ac:dyDescent="0.2">
      <c r="A327" s="365"/>
    </row>
  </sheetData>
  <sheetProtection formatCells="0" formatColumns="0" formatRows="0" insertColumns="0" insertRows="0" deleteRows="0" selectLockedCells="1" sort="0" autoFilter="0"/>
  <dataConsolidate/>
  <mergeCells count="4">
    <mergeCell ref="R1:R6"/>
    <mergeCell ref="S1:S6"/>
    <mergeCell ref="P1:P6"/>
    <mergeCell ref="Q1:Q6"/>
  </mergeCells>
  <conditionalFormatting sqref="P109 N108 P89 P95 P102 P141 P161 P217 AH9:AK279 O9:O235 O237:O278 O281:O2996 AI280:AK280 P280 P31:P82">
    <cfRule type="containsText" dxfId="174" priority="145" operator="containsText" text="DEL">
      <formula>NOT(ISERROR(SEARCH("DEL",N9)))</formula>
    </cfRule>
  </conditionalFormatting>
  <conditionalFormatting sqref="U226:U227 U229:U235 U237 P280 P9:P274">
    <cfRule type="containsText" dxfId="173" priority="25" stopIfTrue="1" operator="containsText" text="Proj">
      <formula>NOT(ISERROR(SEARCH("Proj",P9)))</formula>
    </cfRule>
  </conditionalFormatting>
  <conditionalFormatting sqref="P138 P148 P158:P159 P178 P182 P197 P201 P204 P207 P223:P224 P215:P216">
    <cfRule type="containsText" dxfId="172" priority="36" operator="containsText" text="DEL">
      <formula>NOT(ISERROR(SEARCH("DEL",P138)))</formula>
    </cfRule>
  </conditionalFormatting>
  <conditionalFormatting sqref="U236">
    <cfRule type="containsText" dxfId="171" priority="29" stopIfTrue="1" operator="containsText" text="at lab">
      <formula>NOT(ISERROR(SEARCH("at lab",U236)))</formula>
    </cfRule>
    <cfRule type="containsText" dxfId="170" priority="30" stopIfTrue="1" operator="containsText" text="Proj">
      <formula>NOT(ISERROR(SEARCH("Proj",U236)))</formula>
    </cfRule>
  </conditionalFormatting>
  <conditionalFormatting sqref="E9">
    <cfRule type="duplicateValues" dxfId="169" priority="28" stopIfTrue="1"/>
  </conditionalFormatting>
  <conditionalFormatting sqref="P280 P9:P274">
    <cfRule type="containsText" dxfId="168" priority="24" stopIfTrue="1" operator="containsText" text="AT LAB">
      <formula>NOT(ISERROR(SEARCH("AT LAB",P9)))</formula>
    </cfRule>
    <cfRule type="expression" dxfId="167" priority="26" stopIfTrue="1">
      <formula>AE9&lt;$J$4</formula>
    </cfRule>
  </conditionalFormatting>
  <conditionalFormatting sqref="P275:P276">
    <cfRule type="containsText" dxfId="166" priority="21" stopIfTrue="1" operator="containsText" text="Proj">
      <formula>NOT(ISERROR(SEARCH("Proj",P275)))</formula>
    </cfRule>
  </conditionalFormatting>
  <conditionalFormatting sqref="P275:P276">
    <cfRule type="containsText" dxfId="165" priority="20" stopIfTrue="1" operator="containsText" text="AT LAB">
      <formula>NOT(ISERROR(SEARCH("AT LAB",P275)))</formula>
    </cfRule>
    <cfRule type="expression" dxfId="164" priority="22">
      <formula>AE275&lt;$J$4</formula>
    </cfRule>
  </conditionalFormatting>
  <conditionalFormatting sqref="B275">
    <cfRule type="duplicateValues" dxfId="163" priority="23" stopIfTrue="1"/>
  </conditionalFormatting>
  <conditionalFormatting sqref="B276">
    <cfRule type="duplicateValues" dxfId="162" priority="15" stopIfTrue="1"/>
  </conditionalFormatting>
  <conditionalFormatting sqref="B277">
    <cfRule type="duplicateValues" dxfId="161" priority="14" stopIfTrue="1"/>
  </conditionalFormatting>
  <conditionalFormatting sqref="B278">
    <cfRule type="duplicateValues" dxfId="160" priority="13" stopIfTrue="1"/>
  </conditionalFormatting>
  <conditionalFormatting sqref="A134">
    <cfRule type="duplicateValues" dxfId="159" priority="12" stopIfTrue="1"/>
  </conditionalFormatting>
  <conditionalFormatting sqref="F49:F273 F9:F47">
    <cfRule type="duplicateValues" dxfId="158" priority="354" stopIfTrue="1"/>
  </conditionalFormatting>
  <conditionalFormatting sqref="B9:B274">
    <cfRule type="duplicateValues" dxfId="157" priority="357" stopIfTrue="1"/>
  </conditionalFormatting>
  <conditionalFormatting sqref="O236">
    <cfRule type="containsText" dxfId="156" priority="11" operator="containsText" text="DEL">
      <formula>NOT(ISERROR(SEARCH("DEL",O236)))</formula>
    </cfRule>
  </conditionalFormatting>
  <conditionalFormatting sqref="O279">
    <cfRule type="containsText" dxfId="155" priority="10" operator="containsText" text="DEL">
      <formula>NOT(ISERROR(SEARCH("DEL",O279)))</formula>
    </cfRule>
  </conditionalFormatting>
  <conditionalFormatting sqref="B279">
    <cfRule type="duplicateValues" dxfId="154" priority="9" stopIfTrue="1"/>
  </conditionalFormatting>
  <conditionalFormatting sqref="S280 B280">
    <cfRule type="duplicateValues" dxfId="153" priority="8" stopIfTrue="1"/>
  </conditionalFormatting>
  <conditionalFormatting sqref="T280 C280">
    <cfRule type="duplicateValues" dxfId="152" priority="7" stopIfTrue="1"/>
  </conditionalFormatting>
  <conditionalFormatting sqref="AA280:AB280 J280:K280">
    <cfRule type="containsText" dxfId="151" priority="6" operator="containsText" text="DEL">
      <formula>NOT(ISERROR(SEARCH("DEL",J280)))</formula>
    </cfRule>
  </conditionalFormatting>
  <conditionalFormatting sqref="AB280 K280">
    <cfRule type="containsText" dxfId="150" priority="4" stopIfTrue="1" operator="containsText" text="Proj">
      <formula>NOT(ISERROR(SEARCH("Proj",K280)))</formula>
    </cfRule>
  </conditionalFormatting>
  <conditionalFormatting sqref="AB280 K280">
    <cfRule type="containsText" dxfId="149" priority="3" stopIfTrue="1" operator="containsText" text="AT LAB">
      <formula>NOT(ISERROR(SEARCH("AT LAB",K280)))</formula>
    </cfRule>
    <cfRule type="expression" dxfId="148" priority="5" stopIfTrue="1">
      <formula>Z280&lt;$J$4</formula>
    </cfRule>
  </conditionalFormatting>
  <conditionalFormatting sqref="F280">
    <cfRule type="duplicateValues" dxfId="147" priority="1" stopIfTrue="1"/>
  </conditionalFormatting>
  <pageMargins left="0.25" right="0.25" top="0.75" bottom="0.75" header="0.3" footer="0.3"/>
  <pageSetup scale="45" fitToHeight="0" orientation="landscape" horizontalDpi="4294967295" verticalDpi="4294967295" r:id="rId1"/>
  <headerFooter alignWithMargins="0">
    <oddHeader>&amp;C&amp;"Arial,Bold"TMDE  SERIAL # &amp; LOCATION
&amp;"Arial,Regular"
CALIBRATION EQUIPMENT</oddHeader>
    <oddFooter>&amp;CPage &amp;P of  &amp;N
Printed &amp;D at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Sort">
                <anchor moveWithCells="1" sizeWithCells="1">
                  <from>
                    <xdr:col>11</xdr:col>
                    <xdr:colOff>295275</xdr:colOff>
                    <xdr:row>3</xdr:row>
                    <xdr:rowOff>76200</xdr:rowOff>
                  </from>
                  <to>
                    <xdr:col>15</xdr:col>
                    <xdr:colOff>0</xdr:colOff>
                    <xdr:row>5</xdr:row>
                    <xdr:rowOff>114300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I25"/>
  <sheetViews>
    <sheetView workbookViewId="0">
      <selection activeCell="I13" sqref="I13"/>
    </sheetView>
  </sheetViews>
  <sheetFormatPr defaultRowHeight="12.75" x14ac:dyDescent="0.2"/>
  <cols>
    <col min="2" max="2" width="14.7109375" style="59" customWidth="1"/>
    <col min="3" max="3" width="13.5703125" customWidth="1"/>
    <col min="4" max="4" width="13.42578125" customWidth="1"/>
    <col min="5" max="5" width="12.140625" customWidth="1"/>
  </cols>
  <sheetData>
    <row r="1" spans="1:9" x14ac:dyDescent="0.2">
      <c r="B1" s="60"/>
      <c r="C1" s="61"/>
    </row>
    <row r="2" spans="1:9" x14ac:dyDescent="0.2">
      <c r="B2" s="60"/>
      <c r="C2" s="61"/>
    </row>
    <row r="3" spans="1:9" ht="15" x14ac:dyDescent="0.25">
      <c r="B3" s="58" t="s">
        <v>1139</v>
      </c>
      <c r="C3" s="57" t="s">
        <v>1138</v>
      </c>
    </row>
    <row r="4" spans="1:9" x14ac:dyDescent="0.2">
      <c r="A4">
        <v>1</v>
      </c>
      <c r="B4" s="106">
        <v>42924</v>
      </c>
      <c r="C4" s="105">
        <f>IF(B5,B5,"")</f>
        <v>42959</v>
      </c>
      <c r="E4" s="439" t="s">
        <v>1140</v>
      </c>
      <c r="F4" s="440"/>
      <c r="G4" s="440"/>
      <c r="H4" s="440"/>
      <c r="I4" s="440"/>
    </row>
    <row r="5" spans="1:9" x14ac:dyDescent="0.2">
      <c r="A5">
        <v>2</v>
      </c>
      <c r="B5" s="106">
        <v>42959</v>
      </c>
      <c r="C5" s="105">
        <f t="shared" ref="C5:C20" si="0">IF(B6,B6,"")</f>
        <v>42987</v>
      </c>
      <c r="E5" s="440"/>
      <c r="F5" s="440"/>
      <c r="G5" s="440"/>
      <c r="H5" s="440"/>
      <c r="I5" s="440"/>
    </row>
    <row r="6" spans="1:9" x14ac:dyDescent="0.2">
      <c r="A6">
        <v>3</v>
      </c>
      <c r="B6" s="106">
        <v>42987</v>
      </c>
      <c r="C6" s="105">
        <f t="shared" si="0"/>
        <v>43021</v>
      </c>
      <c r="E6" s="440"/>
      <c r="F6" s="440"/>
      <c r="G6" s="440"/>
      <c r="H6" s="440"/>
      <c r="I6" s="440"/>
    </row>
    <row r="7" spans="1:9" x14ac:dyDescent="0.2">
      <c r="A7">
        <v>4</v>
      </c>
      <c r="B7" s="106">
        <v>43021</v>
      </c>
      <c r="C7" s="105">
        <f t="shared" si="0"/>
        <v>43043</v>
      </c>
      <c r="E7" s="440"/>
      <c r="F7" s="440"/>
      <c r="G7" s="440"/>
      <c r="H7" s="440"/>
      <c r="I7" s="440"/>
    </row>
    <row r="8" spans="1:9" x14ac:dyDescent="0.2">
      <c r="A8">
        <v>5</v>
      </c>
      <c r="B8" s="106">
        <v>43043</v>
      </c>
      <c r="C8" s="105">
        <f t="shared" si="0"/>
        <v>43078</v>
      </c>
      <c r="E8" s="440"/>
      <c r="F8" s="440"/>
      <c r="G8" s="440"/>
      <c r="H8" s="440"/>
      <c r="I8" s="440"/>
    </row>
    <row r="9" spans="1:9" x14ac:dyDescent="0.2">
      <c r="A9">
        <v>6</v>
      </c>
      <c r="B9" s="106">
        <v>43078</v>
      </c>
      <c r="C9" s="105">
        <f t="shared" si="0"/>
        <v>43120</v>
      </c>
      <c r="E9" s="440"/>
      <c r="F9" s="440"/>
      <c r="G9" s="440"/>
      <c r="H9" s="440"/>
      <c r="I9" s="440"/>
    </row>
    <row r="10" spans="1:9" x14ac:dyDescent="0.2">
      <c r="A10">
        <v>7</v>
      </c>
      <c r="B10" s="106">
        <v>43120</v>
      </c>
      <c r="C10" s="105">
        <f t="shared" si="0"/>
        <v>43134</v>
      </c>
      <c r="E10" s="438"/>
      <c r="F10" s="438"/>
      <c r="G10" s="438"/>
      <c r="H10" s="438"/>
      <c r="I10" s="438"/>
    </row>
    <row r="11" spans="1:9" x14ac:dyDescent="0.2">
      <c r="A11">
        <v>8</v>
      </c>
      <c r="B11" s="106">
        <v>43134</v>
      </c>
      <c r="C11" s="105">
        <f t="shared" si="0"/>
        <v>43169</v>
      </c>
      <c r="E11" s="438"/>
      <c r="F11" s="438"/>
      <c r="G11" s="438"/>
      <c r="H11" s="438"/>
      <c r="I11" s="438"/>
    </row>
    <row r="12" spans="1:9" x14ac:dyDescent="0.2">
      <c r="A12">
        <v>9</v>
      </c>
      <c r="B12" s="106">
        <v>43169</v>
      </c>
      <c r="C12" s="105">
        <f t="shared" si="0"/>
        <v>43196</v>
      </c>
      <c r="E12" s="438"/>
      <c r="F12" s="438"/>
      <c r="G12" s="438"/>
      <c r="H12" s="438"/>
      <c r="I12" s="438"/>
    </row>
    <row r="13" spans="1:9" x14ac:dyDescent="0.2">
      <c r="A13">
        <v>10</v>
      </c>
      <c r="B13" s="106">
        <v>43196</v>
      </c>
      <c r="C13" s="105">
        <f t="shared" si="0"/>
        <v>43225</v>
      </c>
    </row>
    <row r="14" spans="1:9" x14ac:dyDescent="0.2">
      <c r="A14">
        <v>11</v>
      </c>
      <c r="B14" s="106">
        <v>43225</v>
      </c>
      <c r="C14" s="105">
        <f t="shared" si="0"/>
        <v>43253</v>
      </c>
    </row>
    <row r="15" spans="1:9" x14ac:dyDescent="0.2">
      <c r="A15">
        <v>12</v>
      </c>
      <c r="B15" s="106">
        <v>43253</v>
      </c>
      <c r="C15" s="105">
        <f t="shared" si="0"/>
        <v>43295</v>
      </c>
    </row>
    <row r="16" spans="1:9" x14ac:dyDescent="0.2">
      <c r="A16">
        <v>13</v>
      </c>
      <c r="B16" s="106">
        <v>43295</v>
      </c>
      <c r="C16" s="105">
        <f t="shared" si="0"/>
        <v>43323</v>
      </c>
    </row>
    <row r="17" spans="1:3" x14ac:dyDescent="0.2">
      <c r="A17">
        <v>14</v>
      </c>
      <c r="B17" s="106">
        <v>43323</v>
      </c>
      <c r="C17" s="105">
        <f t="shared" si="0"/>
        <v>43351</v>
      </c>
    </row>
    <row r="18" spans="1:3" x14ac:dyDescent="0.2">
      <c r="A18">
        <v>15</v>
      </c>
      <c r="B18" s="106">
        <v>43351</v>
      </c>
      <c r="C18" s="105" t="str">
        <f t="shared" si="0"/>
        <v/>
      </c>
    </row>
    <row r="19" spans="1:3" x14ac:dyDescent="0.2">
      <c r="A19">
        <v>16</v>
      </c>
      <c r="B19" s="106"/>
      <c r="C19" s="105" t="str">
        <f t="shared" si="0"/>
        <v/>
      </c>
    </row>
    <row r="20" spans="1:3" x14ac:dyDescent="0.2">
      <c r="A20">
        <v>17</v>
      </c>
      <c r="B20" s="106"/>
      <c r="C20" s="105" t="str">
        <f t="shared" si="0"/>
        <v/>
      </c>
    </row>
    <row r="21" spans="1:3" x14ac:dyDescent="0.2">
      <c r="B21" s="106"/>
      <c r="C21" s="76"/>
    </row>
    <row r="22" spans="1:3" x14ac:dyDescent="0.2">
      <c r="B22" s="106"/>
      <c r="C22" s="76"/>
    </row>
    <row r="23" spans="1:3" x14ac:dyDescent="0.2">
      <c r="B23" s="106"/>
    </row>
    <row r="24" spans="1:3" x14ac:dyDescent="0.2">
      <c r="B24" s="106"/>
    </row>
    <row r="25" spans="1:3" x14ac:dyDescent="0.2">
      <c r="B25" s="106"/>
    </row>
  </sheetData>
  <sheetProtection selectLockedCells="1"/>
  <autoFilter ref="B3:C10">
    <sortState ref="B4:E10">
      <sortCondition ref="B3:B10"/>
    </sortState>
  </autoFilter>
  <mergeCells count="1">
    <mergeCell ref="E4:I1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2:O230"/>
  <sheetViews>
    <sheetView workbookViewId="0">
      <selection activeCell="J3" sqref="J3"/>
    </sheetView>
  </sheetViews>
  <sheetFormatPr defaultColWidth="8.85546875" defaultRowHeight="12.75" x14ac:dyDescent="0.2"/>
  <cols>
    <col min="1" max="1" width="29.28515625" style="5" customWidth="1"/>
    <col min="2" max="2" width="10.140625" style="5" bestFit="1" customWidth="1"/>
    <col min="3" max="3" width="8.85546875" style="5"/>
    <col min="4" max="4" width="9.7109375" style="5" customWidth="1"/>
    <col min="5" max="5" width="9.85546875" style="5" customWidth="1"/>
    <col min="6" max="9" width="8.85546875" style="5"/>
    <col min="10" max="10" width="13.85546875" style="4" customWidth="1"/>
    <col min="11" max="12" width="10.7109375" style="4" customWidth="1"/>
    <col min="13" max="13" width="12.28515625" style="4" customWidth="1"/>
    <col min="14" max="14" width="15.85546875" style="4" customWidth="1"/>
    <col min="15" max="15" width="20" style="5" customWidth="1"/>
    <col min="16" max="16384" width="8.85546875" style="5"/>
  </cols>
  <sheetData>
    <row r="2" spans="1:15" ht="51" x14ac:dyDescent="0.2">
      <c r="A2" s="133" t="s">
        <v>1162</v>
      </c>
      <c r="J2" s="111" t="s">
        <v>743</v>
      </c>
      <c r="K2" s="111" t="s">
        <v>744</v>
      </c>
      <c r="L2" s="111" t="s">
        <v>740</v>
      </c>
      <c r="M2" s="111" t="s">
        <v>745</v>
      </c>
      <c r="N2" s="111" t="s">
        <v>746</v>
      </c>
      <c r="O2" s="111" t="s">
        <v>798</v>
      </c>
    </row>
    <row r="3" spans="1:15" x14ac:dyDescent="0.2">
      <c r="A3" s="112" t="s">
        <v>836</v>
      </c>
      <c r="B3" s="123">
        <v>42948</v>
      </c>
      <c r="D3" s="125">
        <v>43024</v>
      </c>
      <c r="E3" s="113" t="s">
        <v>838</v>
      </c>
      <c r="I3" s="114" t="s">
        <v>1128</v>
      </c>
      <c r="J3" s="126">
        <v>42856</v>
      </c>
      <c r="K3" s="127">
        <f t="shared" ref="K3:K34" si="0">MONTH(J3)</f>
        <v>5</v>
      </c>
      <c r="L3" s="127">
        <f t="shared" ref="L3:L34" si="1">YEAR(J3)</f>
        <v>2017</v>
      </c>
      <c r="M3" s="128" t="str">
        <f t="shared" ref="M3:M34" si="2">CONCATENATE(K3,L3)</f>
        <v>52017</v>
      </c>
      <c r="N3" s="165">
        <f ca="1">COUNTIF(Consolidated!$AC$9:$AC$275,M3)</f>
        <v>0</v>
      </c>
      <c r="O3" s="129">
        <f ca="1">COUNTIF(Consolidated!$AD$9:AD$274,M3)</f>
        <v>0</v>
      </c>
    </row>
    <row r="4" spans="1:15" x14ac:dyDescent="0.2">
      <c r="A4" s="112" t="s">
        <v>835</v>
      </c>
      <c r="B4" s="124">
        <v>120</v>
      </c>
      <c r="D4" s="125">
        <v>43744</v>
      </c>
      <c r="E4" s="113" t="s">
        <v>839</v>
      </c>
      <c r="I4" s="114" t="s">
        <v>1129</v>
      </c>
      <c r="J4" s="126">
        <v>42887</v>
      </c>
      <c r="K4" s="127">
        <f t="shared" si="0"/>
        <v>6</v>
      </c>
      <c r="L4" s="127">
        <f t="shared" si="1"/>
        <v>2017</v>
      </c>
      <c r="M4" s="128" t="str">
        <f t="shared" si="2"/>
        <v>62017</v>
      </c>
      <c r="N4" s="165">
        <f ca="1">COUNTIF(Consolidated!$AC$9:$AC$275,M4)</f>
        <v>0</v>
      </c>
      <c r="O4" s="130">
        <f ca="1">COUNTIF(Consolidated!$AD$9:AD$274,M4)</f>
        <v>0</v>
      </c>
    </row>
    <row r="5" spans="1:15" x14ac:dyDescent="0.2">
      <c r="A5" s="112" t="s">
        <v>837</v>
      </c>
      <c r="B5" s="115">
        <f>SUM(B3+B4)</f>
        <v>43068</v>
      </c>
      <c r="D5" s="116">
        <f>SUM(D4-D3)</f>
        <v>720</v>
      </c>
      <c r="E5" s="113" t="s">
        <v>840</v>
      </c>
      <c r="I5" s="114" t="s">
        <v>1130</v>
      </c>
      <c r="J5" s="126">
        <v>42917</v>
      </c>
      <c r="K5" s="127">
        <f t="shared" si="0"/>
        <v>7</v>
      </c>
      <c r="L5" s="127">
        <f t="shared" si="1"/>
        <v>2017</v>
      </c>
      <c r="M5" s="128" t="str">
        <f t="shared" si="2"/>
        <v>72017</v>
      </c>
      <c r="N5" s="165">
        <f ca="1">COUNTIF(Consolidated!$AC$9:$AC$275,M5)</f>
        <v>0</v>
      </c>
      <c r="O5" s="130">
        <f ca="1">COUNTIF(Consolidated!$AD$9:AD$274,M5)</f>
        <v>0</v>
      </c>
    </row>
    <row r="6" spans="1:15" x14ac:dyDescent="0.2">
      <c r="A6" s="112"/>
      <c r="D6" s="117"/>
      <c r="I6" s="114" t="s">
        <v>1131</v>
      </c>
      <c r="J6" s="126">
        <v>42948</v>
      </c>
      <c r="K6" s="127">
        <f t="shared" si="0"/>
        <v>8</v>
      </c>
      <c r="L6" s="127">
        <f t="shared" si="1"/>
        <v>2017</v>
      </c>
      <c r="M6" s="128" t="str">
        <f t="shared" si="2"/>
        <v>82017</v>
      </c>
      <c r="N6" s="165">
        <f ca="1">COUNTIF(Consolidated!$AC$9:$AC$275,M6)</f>
        <v>0</v>
      </c>
      <c r="O6" s="130">
        <f ca="1">COUNTIF(Consolidated!$AD$9:AD$274,M6)</f>
        <v>0</v>
      </c>
    </row>
    <row r="7" spans="1:15" x14ac:dyDescent="0.2">
      <c r="A7" s="112" t="s">
        <v>834</v>
      </c>
      <c r="B7" s="123">
        <v>42926</v>
      </c>
      <c r="I7" s="114" t="s">
        <v>1132</v>
      </c>
      <c r="J7" s="126">
        <v>42979</v>
      </c>
      <c r="K7" s="127">
        <f t="shared" si="0"/>
        <v>9</v>
      </c>
      <c r="L7" s="127">
        <f t="shared" si="1"/>
        <v>2017</v>
      </c>
      <c r="M7" s="128" t="str">
        <f t="shared" si="2"/>
        <v>92017</v>
      </c>
      <c r="N7" s="165">
        <f ca="1">COUNTIF(Consolidated!$AC$9:$AC$275,M7)</f>
        <v>0</v>
      </c>
      <c r="O7" s="130">
        <f ca="1">COUNTIF(Consolidated!$AD$9:AD$274,M7)</f>
        <v>0</v>
      </c>
    </row>
    <row r="8" spans="1:15" x14ac:dyDescent="0.2">
      <c r="A8" s="112" t="s">
        <v>835</v>
      </c>
      <c r="B8" s="124">
        <v>365</v>
      </c>
      <c r="D8" s="441" t="s">
        <v>1133</v>
      </c>
      <c r="E8" s="442"/>
      <c r="F8" s="442"/>
      <c r="G8" s="442"/>
      <c r="H8" s="442"/>
      <c r="J8" s="126">
        <v>43009</v>
      </c>
      <c r="K8" s="127">
        <f t="shared" si="0"/>
        <v>10</v>
      </c>
      <c r="L8" s="127">
        <f t="shared" si="1"/>
        <v>2017</v>
      </c>
      <c r="M8" s="128" t="str">
        <f t="shared" si="2"/>
        <v>102017</v>
      </c>
      <c r="N8" s="165">
        <f ca="1">COUNTIF(Consolidated!$AC$9:$AC$275,M8)</f>
        <v>0</v>
      </c>
      <c r="O8" s="130">
        <f ca="1">COUNTIF(Consolidated!$AD$9:AD$274,M8)</f>
        <v>0</v>
      </c>
    </row>
    <row r="9" spans="1:15" x14ac:dyDescent="0.2">
      <c r="A9" s="112" t="s">
        <v>841</v>
      </c>
      <c r="B9" s="118">
        <f>B7-B8</f>
        <v>42561</v>
      </c>
      <c r="D9" s="442"/>
      <c r="E9" s="442"/>
      <c r="F9" s="442"/>
      <c r="G9" s="442"/>
      <c r="H9" s="442"/>
      <c r="J9" s="126">
        <v>43040</v>
      </c>
      <c r="K9" s="127">
        <f t="shared" si="0"/>
        <v>11</v>
      </c>
      <c r="L9" s="127">
        <f t="shared" si="1"/>
        <v>2017</v>
      </c>
      <c r="M9" s="128" t="str">
        <f t="shared" si="2"/>
        <v>112017</v>
      </c>
      <c r="N9" s="165">
        <f ca="1">COUNTIF(Consolidated!$AC$9:$AC$275,M9)</f>
        <v>0</v>
      </c>
      <c r="O9" s="130">
        <f ca="1">COUNTIF(Consolidated!$AD$9:AD$274,M9)</f>
        <v>0</v>
      </c>
    </row>
    <row r="10" spans="1:15" x14ac:dyDescent="0.2">
      <c r="D10" s="442"/>
      <c r="E10" s="442"/>
      <c r="F10" s="442"/>
      <c r="G10" s="442"/>
      <c r="H10" s="442"/>
      <c r="J10" s="126">
        <v>43070</v>
      </c>
      <c r="K10" s="127">
        <f t="shared" si="0"/>
        <v>12</v>
      </c>
      <c r="L10" s="127">
        <f t="shared" si="1"/>
        <v>2017</v>
      </c>
      <c r="M10" s="128" t="str">
        <f t="shared" si="2"/>
        <v>122017</v>
      </c>
      <c r="N10" s="165">
        <f ca="1">COUNTIF(Consolidated!$AC$9:$AC$275,M10)</f>
        <v>0</v>
      </c>
      <c r="O10" s="130">
        <f ca="1">COUNTIF(Consolidated!$AD$9:AD$274,M10)</f>
        <v>0</v>
      </c>
    </row>
    <row r="11" spans="1:15" x14ac:dyDescent="0.2">
      <c r="D11" s="442"/>
      <c r="E11" s="442"/>
      <c r="F11" s="442"/>
      <c r="G11" s="442"/>
      <c r="H11" s="442"/>
      <c r="J11" s="126">
        <v>43101</v>
      </c>
      <c r="K11" s="127">
        <f t="shared" si="0"/>
        <v>1</v>
      </c>
      <c r="L11" s="127">
        <f t="shared" si="1"/>
        <v>2018</v>
      </c>
      <c r="M11" s="128" t="str">
        <f t="shared" si="2"/>
        <v>12018</v>
      </c>
      <c r="N11" s="165">
        <f ca="1">COUNTIF(Consolidated!$AC$9:$AC$275,M11)</f>
        <v>0</v>
      </c>
      <c r="O11" s="130">
        <f ca="1">COUNTIF(Consolidated!$AD$9:AD$274,M11)</f>
        <v>0</v>
      </c>
    </row>
    <row r="12" spans="1:15" x14ac:dyDescent="0.2">
      <c r="A12" s="112" t="s">
        <v>1161</v>
      </c>
      <c r="B12" s="122" t="s">
        <v>1492</v>
      </c>
      <c r="C12" s="119">
        <f>IF(B12&gt;0,LOOKUP(B12,D22:D47,E22:E47),"")</f>
        <v>240</v>
      </c>
      <c r="D12" s="442"/>
      <c r="E12" s="442"/>
      <c r="F12" s="442"/>
      <c r="G12" s="442"/>
      <c r="H12" s="442"/>
      <c r="J12" s="126">
        <v>43132</v>
      </c>
      <c r="K12" s="127">
        <f t="shared" si="0"/>
        <v>2</v>
      </c>
      <c r="L12" s="127">
        <f t="shared" si="1"/>
        <v>2018</v>
      </c>
      <c r="M12" s="128" t="str">
        <f t="shared" si="2"/>
        <v>22018</v>
      </c>
      <c r="N12" s="165">
        <f ca="1">COUNTIF(Consolidated!$AC$9:$AC$275,M12)</f>
        <v>0</v>
      </c>
      <c r="O12" s="130">
        <f ca="1">COUNTIF(Consolidated!$AD$9:AD$274,M12)</f>
        <v>0</v>
      </c>
    </row>
    <row r="13" spans="1:15" x14ac:dyDescent="0.2">
      <c r="B13" s="18"/>
      <c r="D13" s="442"/>
      <c r="E13" s="442"/>
      <c r="F13" s="442"/>
      <c r="G13" s="442"/>
      <c r="H13" s="442"/>
      <c r="J13" s="126">
        <v>43160</v>
      </c>
      <c r="K13" s="127">
        <f t="shared" si="0"/>
        <v>3</v>
      </c>
      <c r="L13" s="127">
        <f t="shared" si="1"/>
        <v>2018</v>
      </c>
      <c r="M13" s="128" t="str">
        <f t="shared" si="2"/>
        <v>32018</v>
      </c>
      <c r="N13" s="165">
        <f ca="1">COUNTIF(Consolidated!$AC$9:$AC$275,M13)</f>
        <v>0</v>
      </c>
      <c r="O13" s="130">
        <f ca="1">COUNTIF(Consolidated!$AD$9:AD$274,M13)</f>
        <v>0</v>
      </c>
    </row>
    <row r="14" spans="1:15" x14ac:dyDescent="0.2">
      <c r="D14" s="442"/>
      <c r="E14" s="442"/>
      <c r="F14" s="442"/>
      <c r="G14" s="442"/>
      <c r="H14" s="442"/>
      <c r="J14" s="126">
        <v>43191</v>
      </c>
      <c r="K14" s="127">
        <f t="shared" si="0"/>
        <v>4</v>
      </c>
      <c r="L14" s="127">
        <f t="shared" si="1"/>
        <v>2018</v>
      </c>
      <c r="M14" s="128" t="str">
        <f t="shared" si="2"/>
        <v>42018</v>
      </c>
      <c r="N14" s="165">
        <f ca="1">COUNTIF(Consolidated!$AC$9:$AC$275,M14)</f>
        <v>0</v>
      </c>
      <c r="O14" s="130">
        <f ca="1">COUNTIF(Consolidated!$AD$9:AD$274,M14)</f>
        <v>0</v>
      </c>
    </row>
    <row r="15" spans="1:15" x14ac:dyDescent="0.2">
      <c r="D15" s="443"/>
      <c r="E15" s="443"/>
      <c r="F15" s="443"/>
      <c r="G15" s="443"/>
      <c r="H15" s="443"/>
      <c r="J15" s="126">
        <v>43221</v>
      </c>
      <c r="K15" s="127">
        <f t="shared" si="0"/>
        <v>5</v>
      </c>
      <c r="L15" s="127">
        <f t="shared" si="1"/>
        <v>2018</v>
      </c>
      <c r="M15" s="128" t="str">
        <f t="shared" si="2"/>
        <v>52018</v>
      </c>
      <c r="N15" s="165">
        <f ca="1">COUNTIF(Consolidated!$AC$9:$AC$275,M15)</f>
        <v>3</v>
      </c>
      <c r="O15" s="130">
        <f ca="1">COUNTIF(Consolidated!$AD$9:AD$274,M15)</f>
        <v>3</v>
      </c>
    </row>
    <row r="16" spans="1:15" x14ac:dyDescent="0.2">
      <c r="D16" s="443"/>
      <c r="E16" s="443"/>
      <c r="F16" s="443"/>
      <c r="G16" s="443"/>
      <c r="H16" s="443"/>
      <c r="J16" s="126">
        <v>43252</v>
      </c>
      <c r="K16" s="127">
        <f t="shared" si="0"/>
        <v>6</v>
      </c>
      <c r="L16" s="127">
        <f t="shared" si="1"/>
        <v>2018</v>
      </c>
      <c r="M16" s="128" t="str">
        <f t="shared" si="2"/>
        <v>62018</v>
      </c>
      <c r="N16" s="165">
        <f ca="1">COUNTIF(Consolidated!$AC$9:$AC$275,M16)</f>
        <v>5</v>
      </c>
      <c r="O16" s="130">
        <f ca="1">COUNTIF(Consolidated!$AD$9:AD$274,M16)</f>
        <v>5</v>
      </c>
    </row>
    <row r="17" spans="4:15" x14ac:dyDescent="0.2">
      <c r="D17" s="443"/>
      <c r="E17" s="443"/>
      <c r="F17" s="443"/>
      <c r="G17" s="443"/>
      <c r="H17" s="443"/>
      <c r="J17" s="126">
        <v>43282</v>
      </c>
      <c r="K17" s="127">
        <f t="shared" si="0"/>
        <v>7</v>
      </c>
      <c r="L17" s="127">
        <f t="shared" si="1"/>
        <v>2018</v>
      </c>
      <c r="M17" s="128" t="str">
        <f t="shared" si="2"/>
        <v>72018</v>
      </c>
      <c r="N17" s="165">
        <f ca="1">COUNTIF(Consolidated!$AC$9:$AC$275,M17)</f>
        <v>14</v>
      </c>
      <c r="O17" s="130">
        <f ca="1">COUNTIF(Consolidated!$AD$9:AD$274,M17)</f>
        <v>14</v>
      </c>
    </row>
    <row r="18" spans="4:15" x14ac:dyDescent="0.2">
      <c r="D18" s="443"/>
      <c r="E18" s="443"/>
      <c r="F18" s="443"/>
      <c r="G18" s="443"/>
      <c r="H18" s="443"/>
      <c r="J18" s="126">
        <v>43313</v>
      </c>
      <c r="K18" s="127">
        <f t="shared" si="0"/>
        <v>8</v>
      </c>
      <c r="L18" s="127">
        <f t="shared" si="1"/>
        <v>2018</v>
      </c>
      <c r="M18" s="128" t="str">
        <f t="shared" si="2"/>
        <v>82018</v>
      </c>
      <c r="N18" s="165">
        <f ca="1">COUNTIF(Consolidated!$AC$9:$AC$275,M18)</f>
        <v>20</v>
      </c>
      <c r="O18" s="130">
        <f ca="1">COUNTIF(Consolidated!$AD$9:AD$274,M18)</f>
        <v>20</v>
      </c>
    </row>
    <row r="19" spans="4:15" x14ac:dyDescent="0.2">
      <c r="J19" s="126">
        <v>43344</v>
      </c>
      <c r="K19" s="127">
        <f t="shared" si="0"/>
        <v>9</v>
      </c>
      <c r="L19" s="127">
        <f t="shared" si="1"/>
        <v>2018</v>
      </c>
      <c r="M19" s="128" t="str">
        <f t="shared" si="2"/>
        <v>92018</v>
      </c>
      <c r="N19" s="165">
        <f ca="1">COUNTIF(Consolidated!$AC$9:$AC$275,M19)</f>
        <v>22</v>
      </c>
      <c r="O19" s="130">
        <f ca="1">COUNTIF(Consolidated!$AD$9:AD$274,M19)</f>
        <v>22</v>
      </c>
    </row>
    <row r="20" spans="4:15" x14ac:dyDescent="0.2">
      <c r="J20" s="126">
        <v>43374</v>
      </c>
      <c r="K20" s="127">
        <f t="shared" si="0"/>
        <v>10</v>
      </c>
      <c r="L20" s="127">
        <f t="shared" si="1"/>
        <v>2018</v>
      </c>
      <c r="M20" s="128" t="str">
        <f t="shared" si="2"/>
        <v>102018</v>
      </c>
      <c r="N20" s="165">
        <f ca="1">COUNTIF(Consolidated!$AC$9:$AC$275,M20)</f>
        <v>19</v>
      </c>
      <c r="O20" s="130">
        <f ca="1">COUNTIF(Consolidated!$AD$9:AD$274,M20)</f>
        <v>19</v>
      </c>
    </row>
    <row r="21" spans="4:15" ht="25.5" x14ac:dyDescent="0.2">
      <c r="D21" s="120" t="s">
        <v>1159</v>
      </c>
      <c r="E21" s="120" t="s">
        <v>1160</v>
      </c>
      <c r="J21" s="126">
        <v>43405</v>
      </c>
      <c r="K21" s="160">
        <f t="shared" si="0"/>
        <v>11</v>
      </c>
      <c r="L21" s="160">
        <f t="shared" si="1"/>
        <v>2018</v>
      </c>
      <c r="M21" s="161" t="str">
        <f t="shared" si="2"/>
        <v>112018</v>
      </c>
      <c r="N21" s="167">
        <f ca="1">COUNTIF(Consolidated!$AC$9:$AC$275,M21)</f>
        <v>7</v>
      </c>
      <c r="O21" s="162">
        <f ca="1">COUNTIF(Consolidated!$AD$9:AD$274,M21)</f>
        <v>7</v>
      </c>
    </row>
    <row r="22" spans="4:15" x14ac:dyDescent="0.2">
      <c r="D22" s="341" t="s">
        <v>1147</v>
      </c>
      <c r="E22" s="121">
        <v>30</v>
      </c>
      <c r="J22" s="126">
        <v>43435</v>
      </c>
      <c r="K22" s="127">
        <f t="shared" si="0"/>
        <v>12</v>
      </c>
      <c r="L22" s="127">
        <f t="shared" si="1"/>
        <v>2018</v>
      </c>
      <c r="M22" s="128" t="str">
        <f t="shared" si="2"/>
        <v>122018</v>
      </c>
      <c r="N22" s="165">
        <f ca="1">COUNTIF(Consolidated!$AC$9:$AC$275,M22)</f>
        <v>1</v>
      </c>
      <c r="O22" s="130">
        <f ca="1">COUNTIF(Consolidated!$AD$9:AD$274,M22)</f>
        <v>1</v>
      </c>
    </row>
    <row r="23" spans="4:15" x14ac:dyDescent="0.2">
      <c r="D23" s="341" t="s">
        <v>852</v>
      </c>
      <c r="E23" s="121">
        <v>60</v>
      </c>
      <c r="J23" s="126">
        <v>43466</v>
      </c>
      <c r="K23" s="127">
        <f t="shared" si="0"/>
        <v>1</v>
      </c>
      <c r="L23" s="127">
        <f t="shared" si="1"/>
        <v>2019</v>
      </c>
      <c r="M23" s="128" t="str">
        <f t="shared" si="2"/>
        <v>12019</v>
      </c>
      <c r="N23" s="165">
        <f ca="1">COUNTIF(Consolidated!$AC$9:$AC$275,M23)</f>
        <v>12</v>
      </c>
      <c r="O23" s="130">
        <f ca="1">COUNTIF(Consolidated!$AD$9:AD$274,M23)</f>
        <v>12</v>
      </c>
    </row>
    <row r="24" spans="4:15" x14ac:dyDescent="0.2">
      <c r="D24" s="341" t="s">
        <v>1148</v>
      </c>
      <c r="E24" s="121">
        <v>90</v>
      </c>
      <c r="J24" s="126">
        <v>43497</v>
      </c>
      <c r="K24" s="127">
        <f t="shared" si="0"/>
        <v>2</v>
      </c>
      <c r="L24" s="127">
        <f t="shared" si="1"/>
        <v>2019</v>
      </c>
      <c r="M24" s="128" t="str">
        <f t="shared" si="2"/>
        <v>22019</v>
      </c>
      <c r="N24" s="165">
        <f ca="1">COUNTIF(Consolidated!$AC$9:$AC$275,M24)</f>
        <v>6</v>
      </c>
      <c r="O24" s="130">
        <f ca="1">COUNTIF(Consolidated!$AD$9:AD$274,M24)</f>
        <v>6</v>
      </c>
    </row>
    <row r="25" spans="4:15" x14ac:dyDescent="0.2">
      <c r="D25" s="341" t="s">
        <v>1149</v>
      </c>
      <c r="E25" s="121">
        <v>120</v>
      </c>
      <c r="J25" s="126">
        <v>43525</v>
      </c>
      <c r="K25" s="127">
        <f t="shared" si="0"/>
        <v>3</v>
      </c>
      <c r="L25" s="127">
        <f t="shared" si="1"/>
        <v>2019</v>
      </c>
      <c r="M25" s="128" t="str">
        <f t="shared" si="2"/>
        <v>32019</v>
      </c>
      <c r="N25" s="165">
        <f ca="1">COUNTIF(Consolidated!$AC$9:$AC$275,M25)</f>
        <v>5</v>
      </c>
      <c r="O25" s="130">
        <f ca="1">COUNTIF(Consolidated!$AD$9:AD$274,M25)</f>
        <v>5</v>
      </c>
    </row>
    <row r="26" spans="4:15" x14ac:dyDescent="0.2">
      <c r="D26" s="341" t="s">
        <v>1150</v>
      </c>
      <c r="E26" s="121">
        <v>150</v>
      </c>
      <c r="J26" s="126">
        <v>43556</v>
      </c>
      <c r="K26" s="127">
        <f t="shared" si="0"/>
        <v>4</v>
      </c>
      <c r="L26" s="127">
        <f t="shared" si="1"/>
        <v>2019</v>
      </c>
      <c r="M26" s="128" t="str">
        <f t="shared" si="2"/>
        <v>42019</v>
      </c>
      <c r="N26" s="165">
        <f ca="1">COUNTIF(Consolidated!$AC$9:$AC$275,M26)</f>
        <v>9</v>
      </c>
      <c r="O26" s="130">
        <f ca="1">COUNTIF(Consolidated!$AD$9:AD$274,M26)</f>
        <v>9</v>
      </c>
    </row>
    <row r="27" spans="4:15" x14ac:dyDescent="0.2">
      <c r="D27" s="341" t="s">
        <v>1151</v>
      </c>
      <c r="E27" s="121">
        <v>180</v>
      </c>
      <c r="J27" s="126">
        <v>43586</v>
      </c>
      <c r="K27" s="127">
        <f t="shared" si="0"/>
        <v>5</v>
      </c>
      <c r="L27" s="127">
        <f t="shared" si="1"/>
        <v>2019</v>
      </c>
      <c r="M27" s="128" t="str">
        <f t="shared" si="2"/>
        <v>52019</v>
      </c>
      <c r="N27" s="165">
        <f ca="1">COUNTIF(Consolidated!$AC$9:$AC$275,M27)</f>
        <v>2</v>
      </c>
      <c r="O27" s="130">
        <f ca="1">COUNTIF(Consolidated!$AD$9:AD$274,M27)</f>
        <v>2</v>
      </c>
    </row>
    <row r="28" spans="4:15" x14ac:dyDescent="0.2">
      <c r="D28" s="341" t="s">
        <v>1152</v>
      </c>
      <c r="E28" s="121">
        <v>210</v>
      </c>
      <c r="J28" s="126">
        <v>43617</v>
      </c>
      <c r="K28" s="127">
        <f t="shared" si="0"/>
        <v>6</v>
      </c>
      <c r="L28" s="127">
        <f t="shared" si="1"/>
        <v>2019</v>
      </c>
      <c r="M28" s="128" t="str">
        <f t="shared" si="2"/>
        <v>62019</v>
      </c>
      <c r="N28" s="165">
        <f ca="1">COUNTIF(Consolidated!$AC$9:$AC$275,M28)</f>
        <v>1</v>
      </c>
      <c r="O28" s="130">
        <f ca="1">COUNTIF(Consolidated!$AD$9:AD$274,M28)</f>
        <v>2</v>
      </c>
    </row>
    <row r="29" spans="4:15" x14ac:dyDescent="0.2">
      <c r="D29" s="341" t="s">
        <v>406</v>
      </c>
      <c r="E29" s="121">
        <v>240</v>
      </c>
      <c r="J29" s="126">
        <v>43647</v>
      </c>
      <c r="K29" s="127">
        <f t="shared" si="0"/>
        <v>7</v>
      </c>
      <c r="L29" s="127">
        <f t="shared" si="1"/>
        <v>2019</v>
      </c>
      <c r="M29" s="128" t="str">
        <f t="shared" si="2"/>
        <v>72019</v>
      </c>
      <c r="N29" s="165">
        <f ca="1">COUNTIF(Consolidated!$AC$9:$AC$275,M29)</f>
        <v>8</v>
      </c>
      <c r="O29" s="130">
        <f ca="1">COUNTIF(Consolidated!$AD$9:AD$274,M29)</f>
        <v>7</v>
      </c>
    </row>
    <row r="30" spans="4:15" x14ac:dyDescent="0.2">
      <c r="D30" s="341" t="s">
        <v>873</v>
      </c>
      <c r="E30" s="121">
        <v>270</v>
      </c>
      <c r="J30" s="126">
        <v>43678</v>
      </c>
      <c r="K30" s="127">
        <f t="shared" si="0"/>
        <v>8</v>
      </c>
      <c r="L30" s="127">
        <f t="shared" si="1"/>
        <v>2019</v>
      </c>
      <c r="M30" s="128" t="str">
        <f t="shared" si="2"/>
        <v>82019</v>
      </c>
      <c r="N30" s="165">
        <f ca="1">COUNTIF(Consolidated!$AC$9:$AC$275,M30)</f>
        <v>4</v>
      </c>
      <c r="O30" s="130">
        <f ca="1">COUNTIF(Consolidated!$AD$9:AD$274,M30)</f>
        <v>4</v>
      </c>
    </row>
    <row r="31" spans="4:15" x14ac:dyDescent="0.2">
      <c r="D31" s="341" t="s">
        <v>1153</v>
      </c>
      <c r="E31" s="121">
        <v>300</v>
      </c>
      <c r="J31" s="126">
        <v>43709</v>
      </c>
      <c r="K31" s="127">
        <f t="shared" si="0"/>
        <v>9</v>
      </c>
      <c r="L31" s="127">
        <f t="shared" si="1"/>
        <v>2019</v>
      </c>
      <c r="M31" s="128" t="str">
        <f t="shared" si="2"/>
        <v>92019</v>
      </c>
      <c r="N31" s="165">
        <f ca="1">COUNTIF(Consolidated!$AC$9:$AC$275,M31)</f>
        <v>3</v>
      </c>
      <c r="O31" s="130">
        <f ca="1">COUNTIF(Consolidated!$AD$9:AD$274,M31)</f>
        <v>3</v>
      </c>
    </row>
    <row r="32" spans="4:15" x14ac:dyDescent="0.2">
      <c r="D32" s="341" t="s">
        <v>1154</v>
      </c>
      <c r="E32" s="121">
        <v>330</v>
      </c>
      <c r="J32" s="126">
        <v>43739</v>
      </c>
      <c r="K32" s="127">
        <f t="shared" si="0"/>
        <v>10</v>
      </c>
      <c r="L32" s="127">
        <f t="shared" si="1"/>
        <v>2019</v>
      </c>
      <c r="M32" s="128" t="str">
        <f t="shared" si="2"/>
        <v>102019</v>
      </c>
      <c r="N32" s="165">
        <f ca="1">COUNTIF(Consolidated!$AC$9:$AC$275,M32)</f>
        <v>0</v>
      </c>
      <c r="O32" s="130">
        <f ca="1">COUNTIF(Consolidated!$AD$9:AD$274,M32)</f>
        <v>1</v>
      </c>
    </row>
    <row r="33" spans="4:15" x14ac:dyDescent="0.2">
      <c r="D33" s="341" t="s">
        <v>1155</v>
      </c>
      <c r="E33" s="121">
        <v>360</v>
      </c>
      <c r="J33" s="126">
        <v>43770</v>
      </c>
      <c r="K33" s="127">
        <f t="shared" si="0"/>
        <v>11</v>
      </c>
      <c r="L33" s="127">
        <f t="shared" si="1"/>
        <v>2019</v>
      </c>
      <c r="M33" s="128" t="str">
        <f t="shared" si="2"/>
        <v>112019</v>
      </c>
      <c r="N33" s="165">
        <f ca="1">COUNTIF(Consolidated!$AC$9:$AC$275,M33)</f>
        <v>0</v>
      </c>
      <c r="O33" s="130">
        <f ca="1">COUNTIF(Consolidated!$AD$9:AD$274,M33)</f>
        <v>0</v>
      </c>
    </row>
    <row r="34" spans="4:15" x14ac:dyDescent="0.2">
      <c r="D34" s="341" t="s">
        <v>1156</v>
      </c>
      <c r="E34" s="121">
        <v>450</v>
      </c>
      <c r="J34" s="126">
        <v>43800</v>
      </c>
      <c r="K34" s="127">
        <f t="shared" si="0"/>
        <v>12</v>
      </c>
      <c r="L34" s="127">
        <f t="shared" si="1"/>
        <v>2019</v>
      </c>
      <c r="M34" s="128" t="str">
        <f t="shared" si="2"/>
        <v>122019</v>
      </c>
      <c r="N34" s="165">
        <f ca="1">COUNTIF(Consolidated!$AC$9:$AC$275,M34)</f>
        <v>1</v>
      </c>
      <c r="O34" s="130">
        <f ca="1">COUNTIF(Consolidated!$AD$9:AD$274,M34)</f>
        <v>2</v>
      </c>
    </row>
    <row r="35" spans="4:15" x14ac:dyDescent="0.2">
      <c r="D35" s="341" t="s">
        <v>1157</v>
      </c>
      <c r="E35" s="121">
        <v>540</v>
      </c>
      <c r="J35" s="126">
        <v>43831</v>
      </c>
      <c r="K35" s="127">
        <f t="shared" ref="K35:K66" si="3">MONTH(J35)</f>
        <v>1</v>
      </c>
      <c r="L35" s="127">
        <f t="shared" ref="L35:L66" si="4">YEAR(J35)</f>
        <v>2020</v>
      </c>
      <c r="M35" s="128" t="str">
        <f t="shared" ref="M35:M66" si="5">CONCATENATE(K35,L35)</f>
        <v>12020</v>
      </c>
      <c r="N35" s="165">
        <f ca="1">COUNTIF(Consolidated!$AC$9:$AC$275,M35)</f>
        <v>2</v>
      </c>
      <c r="O35" s="130">
        <f ca="1">COUNTIF(Consolidated!$AD$9:AD$274,M35)</f>
        <v>2</v>
      </c>
    </row>
    <row r="36" spans="4:15" x14ac:dyDescent="0.2">
      <c r="D36" s="341" t="s">
        <v>1158</v>
      </c>
      <c r="E36" s="121">
        <v>630</v>
      </c>
      <c r="J36" s="126">
        <v>43862</v>
      </c>
      <c r="K36" s="127">
        <f t="shared" si="3"/>
        <v>2</v>
      </c>
      <c r="L36" s="127">
        <f t="shared" si="4"/>
        <v>2020</v>
      </c>
      <c r="M36" s="128" t="str">
        <f t="shared" si="5"/>
        <v>22020</v>
      </c>
      <c r="N36" s="165">
        <f ca="1">COUNTIF(Consolidated!$AC$9:$AC$275,M36)</f>
        <v>9</v>
      </c>
      <c r="O36" s="130">
        <f ca="1">COUNTIF(Consolidated!$AD$9:AD$274,M36)</f>
        <v>7</v>
      </c>
    </row>
    <row r="37" spans="4:15" x14ac:dyDescent="0.2">
      <c r="D37" s="341" t="s">
        <v>867</v>
      </c>
      <c r="E37" s="121">
        <v>480</v>
      </c>
      <c r="J37" s="126">
        <v>43891</v>
      </c>
      <c r="K37" s="127">
        <f t="shared" si="3"/>
        <v>3</v>
      </c>
      <c r="L37" s="127">
        <f t="shared" si="4"/>
        <v>2020</v>
      </c>
      <c r="M37" s="128" t="str">
        <f t="shared" si="5"/>
        <v>32020</v>
      </c>
      <c r="N37" s="165">
        <f ca="1">COUNTIF(Consolidated!$AC$9:$AC$275,M37)</f>
        <v>1</v>
      </c>
      <c r="O37" s="130">
        <f ca="1">COUNTIF(Consolidated!$AD$9:AD$274,M37)</f>
        <v>1</v>
      </c>
    </row>
    <row r="38" spans="4:15" x14ac:dyDescent="0.2">
      <c r="D38" s="341" t="s">
        <v>861</v>
      </c>
      <c r="E38" s="121">
        <v>600</v>
      </c>
      <c r="J38" s="126">
        <v>43922</v>
      </c>
      <c r="K38" s="127">
        <f t="shared" si="3"/>
        <v>4</v>
      </c>
      <c r="L38" s="127">
        <f t="shared" si="4"/>
        <v>2020</v>
      </c>
      <c r="M38" s="128" t="str">
        <f t="shared" si="5"/>
        <v>42020</v>
      </c>
      <c r="N38" s="165">
        <f ca="1">COUNTIF(Consolidated!$AC$9:$AC$275,M38)</f>
        <v>10</v>
      </c>
      <c r="O38" s="130">
        <f ca="1">COUNTIF(Consolidated!$AD$9:AD$274,M38)</f>
        <v>10</v>
      </c>
    </row>
    <row r="39" spans="4:15" x14ac:dyDescent="0.2">
      <c r="D39" s="341" t="s">
        <v>1478</v>
      </c>
      <c r="E39" s="121">
        <v>390</v>
      </c>
      <c r="J39" s="126">
        <v>43952</v>
      </c>
      <c r="K39" s="127">
        <f t="shared" si="3"/>
        <v>5</v>
      </c>
      <c r="L39" s="127">
        <f t="shared" si="4"/>
        <v>2020</v>
      </c>
      <c r="M39" s="128" t="str">
        <f t="shared" si="5"/>
        <v>52020</v>
      </c>
      <c r="N39" s="165">
        <f ca="1">COUNTIF(Consolidated!$AC$9:$AC$275,M39)</f>
        <v>4</v>
      </c>
      <c r="O39" s="130">
        <f ca="1">COUNTIF(Consolidated!$AD$9:AD$274,M39)</f>
        <v>4</v>
      </c>
    </row>
    <row r="40" spans="4:15" x14ac:dyDescent="0.2">
      <c r="D40" s="341" t="s">
        <v>862</v>
      </c>
      <c r="E40" s="121">
        <v>420</v>
      </c>
      <c r="J40" s="126">
        <v>43983</v>
      </c>
      <c r="K40" s="127">
        <f t="shared" si="3"/>
        <v>6</v>
      </c>
      <c r="L40" s="127">
        <f t="shared" si="4"/>
        <v>2020</v>
      </c>
      <c r="M40" s="128" t="str">
        <f t="shared" si="5"/>
        <v>62020</v>
      </c>
      <c r="N40" s="165">
        <f ca="1">COUNTIF(Consolidated!$AC$9:$AC$275,M40)</f>
        <v>9</v>
      </c>
      <c r="O40" s="130">
        <f ca="1">COUNTIF(Consolidated!$AD$9:AD$274,M40)</f>
        <v>8</v>
      </c>
    </row>
    <row r="41" spans="4:15" x14ac:dyDescent="0.2">
      <c r="D41" s="341" t="s">
        <v>1479</v>
      </c>
      <c r="E41" s="121">
        <v>510</v>
      </c>
      <c r="J41" s="126">
        <v>44013</v>
      </c>
      <c r="K41" s="127">
        <f t="shared" si="3"/>
        <v>7</v>
      </c>
      <c r="L41" s="127">
        <f t="shared" si="4"/>
        <v>2020</v>
      </c>
      <c r="M41" s="128" t="str">
        <f t="shared" si="5"/>
        <v>72020</v>
      </c>
      <c r="N41" s="165">
        <f ca="1">COUNTIF(Consolidated!$AC$9:$AC$275,M41)</f>
        <v>3</v>
      </c>
      <c r="O41" s="130">
        <f ca="1">COUNTIF(Consolidated!$AD$9:AD$274,M41)</f>
        <v>3</v>
      </c>
    </row>
    <row r="42" spans="4:15" x14ac:dyDescent="0.2">
      <c r="D42" s="341" t="s">
        <v>1480</v>
      </c>
      <c r="E42" s="121">
        <v>570</v>
      </c>
      <c r="J42" s="126">
        <v>44044</v>
      </c>
      <c r="K42" s="127">
        <f t="shared" si="3"/>
        <v>8</v>
      </c>
      <c r="L42" s="127">
        <f t="shared" si="4"/>
        <v>2020</v>
      </c>
      <c r="M42" s="128" t="str">
        <f t="shared" si="5"/>
        <v>82020</v>
      </c>
      <c r="N42" s="165">
        <f ca="1">COUNTIF(Consolidated!$AC$9:$AC$275,M42)</f>
        <v>1</v>
      </c>
      <c r="O42" s="130">
        <f ca="1">COUNTIF(Consolidated!$AD$9:AD$274,M42)</f>
        <v>1</v>
      </c>
    </row>
    <row r="43" spans="4:15" x14ac:dyDescent="0.2">
      <c r="D43" s="341" t="s">
        <v>1481</v>
      </c>
      <c r="E43" s="121">
        <v>660</v>
      </c>
      <c r="J43" s="126">
        <v>44075</v>
      </c>
      <c r="K43" s="127">
        <f t="shared" si="3"/>
        <v>9</v>
      </c>
      <c r="L43" s="127">
        <f t="shared" si="4"/>
        <v>2020</v>
      </c>
      <c r="M43" s="128" t="str">
        <f t="shared" si="5"/>
        <v>92020</v>
      </c>
      <c r="N43" s="165">
        <f ca="1">COUNTIF(Consolidated!$AC$9:$AC$275,M43)</f>
        <v>0</v>
      </c>
      <c r="O43" s="130">
        <f ca="1">COUNTIF(Consolidated!$AD$9:AD$274,M43)</f>
        <v>0</v>
      </c>
    </row>
    <row r="44" spans="4:15" x14ac:dyDescent="0.2">
      <c r="D44" s="341" t="s">
        <v>1482</v>
      </c>
      <c r="E44" s="121">
        <v>690</v>
      </c>
      <c r="J44" s="126">
        <v>44105</v>
      </c>
      <c r="K44" s="127">
        <f t="shared" si="3"/>
        <v>10</v>
      </c>
      <c r="L44" s="127">
        <f t="shared" si="4"/>
        <v>2020</v>
      </c>
      <c r="M44" s="128" t="str">
        <f t="shared" si="5"/>
        <v>102020</v>
      </c>
      <c r="N44" s="165">
        <f ca="1">COUNTIF(Consolidated!$AC$9:$AC$275,M44)</f>
        <v>7</v>
      </c>
      <c r="O44" s="130">
        <f ca="1">COUNTIF(Consolidated!$AD$9:AD$274,M44)</f>
        <v>7</v>
      </c>
    </row>
    <row r="45" spans="4:15" x14ac:dyDescent="0.2">
      <c r="D45" s="341" t="s">
        <v>1483</v>
      </c>
      <c r="E45" s="121">
        <v>840</v>
      </c>
      <c r="J45" s="126">
        <v>44136</v>
      </c>
      <c r="K45" s="127">
        <f t="shared" si="3"/>
        <v>11</v>
      </c>
      <c r="L45" s="127">
        <f t="shared" si="4"/>
        <v>2020</v>
      </c>
      <c r="M45" s="128" t="str">
        <f t="shared" si="5"/>
        <v>112020</v>
      </c>
      <c r="N45" s="165">
        <f ca="1">COUNTIF(Consolidated!$AC$9:$AC$275,M45)</f>
        <v>0</v>
      </c>
      <c r="O45" s="130">
        <f ca="1">COUNTIF(Consolidated!$AD$9:AD$274,M45)</f>
        <v>0</v>
      </c>
    </row>
    <row r="46" spans="4:15" x14ac:dyDescent="0.2">
      <c r="D46" s="341" t="s">
        <v>870</v>
      </c>
      <c r="E46" s="121">
        <v>720</v>
      </c>
      <c r="J46" s="126">
        <v>44166</v>
      </c>
      <c r="K46" s="127">
        <f t="shared" si="3"/>
        <v>12</v>
      </c>
      <c r="L46" s="127">
        <f t="shared" si="4"/>
        <v>2020</v>
      </c>
      <c r="M46" s="128" t="str">
        <f t="shared" si="5"/>
        <v>122020</v>
      </c>
      <c r="N46" s="165">
        <f ca="1">COUNTIF(Consolidated!$AC$9:$AC$275,M46)</f>
        <v>1</v>
      </c>
      <c r="O46" s="130">
        <f ca="1">COUNTIF(Consolidated!$AD$9:AD$274,M46)</f>
        <v>1</v>
      </c>
    </row>
    <row r="47" spans="4:15" x14ac:dyDescent="0.2">
      <c r="D47" s="342">
        <v>3</v>
      </c>
      <c r="E47" s="121">
        <v>1080</v>
      </c>
      <c r="J47" s="126">
        <v>44197</v>
      </c>
      <c r="K47" s="127">
        <f t="shared" si="3"/>
        <v>1</v>
      </c>
      <c r="L47" s="127">
        <f t="shared" si="4"/>
        <v>2021</v>
      </c>
      <c r="M47" s="128" t="str">
        <f t="shared" si="5"/>
        <v>12021</v>
      </c>
      <c r="N47" s="165">
        <f ca="1">COUNTIF(Consolidated!$AC$9:$AC$275,M47)</f>
        <v>4</v>
      </c>
      <c r="O47" s="130">
        <f ca="1">COUNTIF(Consolidated!$AD$9:AD$274,M47)</f>
        <v>4</v>
      </c>
    </row>
    <row r="48" spans="4:15" x14ac:dyDescent="0.2">
      <c r="J48" s="126">
        <v>44228</v>
      </c>
      <c r="K48" s="127">
        <f t="shared" si="3"/>
        <v>2</v>
      </c>
      <c r="L48" s="127">
        <f t="shared" si="4"/>
        <v>2021</v>
      </c>
      <c r="M48" s="128" t="str">
        <f t="shared" si="5"/>
        <v>22021</v>
      </c>
      <c r="N48" s="165">
        <f ca="1">COUNTIF(Consolidated!$AC$9:$AC$275,M48)</f>
        <v>0</v>
      </c>
      <c r="O48" s="130">
        <f ca="1">COUNTIF(Consolidated!$AD$9:AD$274,M48)</f>
        <v>0</v>
      </c>
    </row>
    <row r="49" spans="2:15" x14ac:dyDescent="0.2">
      <c r="J49" s="126">
        <v>44256</v>
      </c>
      <c r="K49" s="127">
        <f t="shared" si="3"/>
        <v>3</v>
      </c>
      <c r="L49" s="127">
        <f t="shared" si="4"/>
        <v>2021</v>
      </c>
      <c r="M49" s="128" t="str">
        <f t="shared" si="5"/>
        <v>32021</v>
      </c>
      <c r="N49" s="165">
        <f ca="1">COUNTIF(Consolidated!$AC$9:$AC$275,M49)</f>
        <v>0</v>
      </c>
      <c r="O49" s="130">
        <f ca="1">COUNTIF(Consolidated!$AD$9:AD$274,M49)</f>
        <v>0</v>
      </c>
    </row>
    <row r="50" spans="2:15" x14ac:dyDescent="0.2">
      <c r="J50" s="126">
        <v>44287</v>
      </c>
      <c r="K50" s="127">
        <f t="shared" si="3"/>
        <v>4</v>
      </c>
      <c r="L50" s="127">
        <f t="shared" si="4"/>
        <v>2021</v>
      </c>
      <c r="M50" s="128" t="str">
        <f t="shared" si="5"/>
        <v>42021</v>
      </c>
      <c r="N50" s="165">
        <f ca="1">COUNTIF(Consolidated!$AC$9:$AC$275,M50)</f>
        <v>1</v>
      </c>
      <c r="O50" s="130">
        <f ca="1">COUNTIF(Consolidated!$AD$9:AD$274,M50)</f>
        <v>1</v>
      </c>
    </row>
    <row r="51" spans="2:15" x14ac:dyDescent="0.2">
      <c r="J51" s="126">
        <v>44317</v>
      </c>
      <c r="K51" s="127">
        <f t="shared" si="3"/>
        <v>5</v>
      </c>
      <c r="L51" s="127">
        <f t="shared" si="4"/>
        <v>2021</v>
      </c>
      <c r="M51" s="128" t="str">
        <f t="shared" si="5"/>
        <v>52021</v>
      </c>
      <c r="N51" s="165">
        <f ca="1">COUNTIF(Consolidated!$AC$9:$AC$275,M51)</f>
        <v>0</v>
      </c>
      <c r="O51" s="130">
        <f ca="1">COUNTIF(Consolidated!$AD$9:AD$274,M51)</f>
        <v>0</v>
      </c>
    </row>
    <row r="52" spans="2:15" x14ac:dyDescent="0.2">
      <c r="J52" s="126">
        <v>44348</v>
      </c>
      <c r="K52" s="127">
        <f t="shared" si="3"/>
        <v>6</v>
      </c>
      <c r="L52" s="127">
        <f t="shared" si="4"/>
        <v>2021</v>
      </c>
      <c r="M52" s="128" t="str">
        <f t="shared" si="5"/>
        <v>62021</v>
      </c>
      <c r="N52" s="165">
        <f ca="1">COUNTIF(Consolidated!$AC$9:$AC$275,M52)</f>
        <v>0</v>
      </c>
      <c r="O52" s="130">
        <f ca="1">COUNTIF(Consolidated!$AD$9:AD$274,M52)</f>
        <v>0</v>
      </c>
    </row>
    <row r="53" spans="2:15" x14ac:dyDescent="0.2">
      <c r="J53" s="126">
        <v>44378</v>
      </c>
      <c r="K53" s="127">
        <f t="shared" si="3"/>
        <v>7</v>
      </c>
      <c r="L53" s="127">
        <f t="shared" si="4"/>
        <v>2021</v>
      </c>
      <c r="M53" s="128" t="str">
        <f t="shared" si="5"/>
        <v>72021</v>
      </c>
      <c r="N53" s="165">
        <f ca="1">COUNTIF(Consolidated!$AC$9:$AC$275,M53)</f>
        <v>0</v>
      </c>
      <c r="O53" s="130">
        <f ca="1">COUNTIF(Consolidated!$AD$9:AD$274,M53)</f>
        <v>0</v>
      </c>
    </row>
    <row r="54" spans="2:15" x14ac:dyDescent="0.2">
      <c r="J54" s="126">
        <v>44409</v>
      </c>
      <c r="K54" s="127">
        <f t="shared" si="3"/>
        <v>8</v>
      </c>
      <c r="L54" s="127">
        <f t="shared" si="4"/>
        <v>2021</v>
      </c>
      <c r="M54" s="128" t="str">
        <f t="shared" si="5"/>
        <v>82021</v>
      </c>
      <c r="N54" s="165">
        <f ca="1">COUNTIF(Consolidated!$AC$9:$AC$275,M54)</f>
        <v>0</v>
      </c>
      <c r="O54" s="130">
        <f ca="1">COUNTIF(Consolidated!$AD$9:AD$274,M54)</f>
        <v>0</v>
      </c>
    </row>
    <row r="55" spans="2:15" x14ac:dyDescent="0.2">
      <c r="J55" s="126">
        <v>44440</v>
      </c>
      <c r="K55" s="127">
        <f t="shared" si="3"/>
        <v>9</v>
      </c>
      <c r="L55" s="127">
        <f t="shared" si="4"/>
        <v>2021</v>
      </c>
      <c r="M55" s="128" t="str">
        <f t="shared" si="5"/>
        <v>92021</v>
      </c>
      <c r="N55" s="165">
        <f ca="1">COUNTIF(Consolidated!$AC$9:$AC$275,M55)</f>
        <v>0</v>
      </c>
      <c r="O55" s="130">
        <f ca="1">COUNTIF(Consolidated!$AD$9:AD$274,M55)</f>
        <v>0</v>
      </c>
    </row>
    <row r="56" spans="2:15" x14ac:dyDescent="0.2">
      <c r="J56" s="126">
        <v>44470</v>
      </c>
      <c r="K56" s="127">
        <f t="shared" si="3"/>
        <v>10</v>
      </c>
      <c r="L56" s="127">
        <f t="shared" si="4"/>
        <v>2021</v>
      </c>
      <c r="M56" s="128" t="str">
        <f t="shared" si="5"/>
        <v>102021</v>
      </c>
      <c r="N56" s="165">
        <f ca="1">COUNTIF(Consolidated!$AC$9:$AC$275,M56)</f>
        <v>0</v>
      </c>
      <c r="O56" s="130">
        <f ca="1">COUNTIF(Consolidated!$AD$9:AD$274,M56)</f>
        <v>0</v>
      </c>
    </row>
    <row r="57" spans="2:15" x14ac:dyDescent="0.2">
      <c r="B57" s="5" t="s">
        <v>1167</v>
      </c>
      <c r="J57" s="126">
        <v>44501</v>
      </c>
      <c r="K57" s="127">
        <f t="shared" si="3"/>
        <v>11</v>
      </c>
      <c r="L57" s="127">
        <f t="shared" si="4"/>
        <v>2021</v>
      </c>
      <c r="M57" s="128" t="str">
        <f t="shared" si="5"/>
        <v>112021</v>
      </c>
      <c r="N57" s="165">
        <f ca="1">COUNTIF(Consolidated!$AC$9:$AC$275,M57)</f>
        <v>0</v>
      </c>
      <c r="O57" s="130">
        <f ca="1">COUNTIF(Consolidated!$AD$9:AD$274,M57)</f>
        <v>0</v>
      </c>
    </row>
    <row r="58" spans="2:15" x14ac:dyDescent="0.2">
      <c r="B58" s="5" t="s">
        <v>1168</v>
      </c>
      <c r="J58" s="126">
        <v>44531</v>
      </c>
      <c r="K58" s="127">
        <f t="shared" si="3"/>
        <v>12</v>
      </c>
      <c r="L58" s="127">
        <f t="shared" si="4"/>
        <v>2021</v>
      </c>
      <c r="M58" s="128" t="str">
        <f t="shared" si="5"/>
        <v>122021</v>
      </c>
      <c r="N58" s="165">
        <f ca="1">COUNTIF(Consolidated!$AC$9:$AC$275,M58)</f>
        <v>0</v>
      </c>
      <c r="O58" s="130">
        <f ca="1">COUNTIF(Consolidated!$AD$9:AD$274,M58)</f>
        <v>0</v>
      </c>
    </row>
    <row r="59" spans="2:15" x14ac:dyDescent="0.2">
      <c r="B59" s="5" t="s">
        <v>1169</v>
      </c>
      <c r="J59" s="126">
        <v>44562</v>
      </c>
      <c r="K59" s="127">
        <f t="shared" si="3"/>
        <v>1</v>
      </c>
      <c r="L59" s="127">
        <f t="shared" si="4"/>
        <v>2022</v>
      </c>
      <c r="M59" s="128" t="str">
        <f t="shared" si="5"/>
        <v>12022</v>
      </c>
      <c r="N59" s="165">
        <f ca="1">COUNTIF(Consolidated!$AC$9:$AC$275,M59)</f>
        <v>0</v>
      </c>
      <c r="O59" s="130">
        <f ca="1">COUNTIF(Consolidated!$AD$9:AD$274,M59)</f>
        <v>0</v>
      </c>
    </row>
    <row r="60" spans="2:15" x14ac:dyDescent="0.2">
      <c r="B60" s="5" t="s">
        <v>1170</v>
      </c>
      <c r="J60" s="126">
        <v>44593</v>
      </c>
      <c r="K60" s="127">
        <f t="shared" si="3"/>
        <v>2</v>
      </c>
      <c r="L60" s="127">
        <f t="shared" si="4"/>
        <v>2022</v>
      </c>
      <c r="M60" s="128" t="str">
        <f t="shared" si="5"/>
        <v>22022</v>
      </c>
      <c r="N60" s="165">
        <f ca="1">COUNTIF(Consolidated!$AC$9:$AC$275,M60)</f>
        <v>0</v>
      </c>
      <c r="O60" s="130">
        <f ca="1">COUNTIF(Consolidated!$AD$9:AD$274,M60)</f>
        <v>0</v>
      </c>
    </row>
    <row r="61" spans="2:15" x14ac:dyDescent="0.2">
      <c r="B61" s="5" t="s">
        <v>1171</v>
      </c>
      <c r="J61" s="126">
        <v>44621</v>
      </c>
      <c r="K61" s="127">
        <f t="shared" si="3"/>
        <v>3</v>
      </c>
      <c r="L61" s="127">
        <f t="shared" si="4"/>
        <v>2022</v>
      </c>
      <c r="M61" s="128" t="str">
        <f t="shared" si="5"/>
        <v>32022</v>
      </c>
      <c r="N61" s="165">
        <f ca="1">COUNTIF(Consolidated!$AC$9:$AC$275,M61)</f>
        <v>0</v>
      </c>
      <c r="O61" s="130">
        <f ca="1">COUNTIF(Consolidated!$AD$9:AD$274,M61)</f>
        <v>0</v>
      </c>
    </row>
    <row r="62" spans="2:15" x14ac:dyDescent="0.2">
      <c r="B62" s="5" t="s">
        <v>1172</v>
      </c>
      <c r="J62" s="126">
        <v>44652</v>
      </c>
      <c r="K62" s="127">
        <f t="shared" si="3"/>
        <v>4</v>
      </c>
      <c r="L62" s="127">
        <f t="shared" si="4"/>
        <v>2022</v>
      </c>
      <c r="M62" s="128" t="str">
        <f t="shared" si="5"/>
        <v>42022</v>
      </c>
      <c r="N62" s="165">
        <f ca="1">COUNTIF(Consolidated!$AC$9:$AC$275,M62)</f>
        <v>0</v>
      </c>
      <c r="O62" s="130">
        <f ca="1">COUNTIF(Consolidated!$AD$9:AD$274,M62)</f>
        <v>0</v>
      </c>
    </row>
    <row r="63" spans="2:15" x14ac:dyDescent="0.2">
      <c r="B63" s="5" t="s">
        <v>1173</v>
      </c>
      <c r="J63" s="126">
        <v>44682</v>
      </c>
      <c r="K63" s="127">
        <f t="shared" si="3"/>
        <v>5</v>
      </c>
      <c r="L63" s="127">
        <f t="shared" si="4"/>
        <v>2022</v>
      </c>
      <c r="M63" s="128" t="str">
        <f t="shared" si="5"/>
        <v>52022</v>
      </c>
      <c r="N63" s="165">
        <f ca="1">COUNTIF(Consolidated!$AC$9:$AC$275,M63)</f>
        <v>0</v>
      </c>
      <c r="O63" s="130">
        <f ca="1">COUNTIF(Consolidated!$AD$9:AD$274,M63)</f>
        <v>0</v>
      </c>
    </row>
    <row r="64" spans="2:15" x14ac:dyDescent="0.2">
      <c r="B64" s="5" t="s">
        <v>1174</v>
      </c>
      <c r="J64" s="126">
        <v>44713</v>
      </c>
      <c r="K64" s="127">
        <f t="shared" si="3"/>
        <v>6</v>
      </c>
      <c r="L64" s="127">
        <f t="shared" si="4"/>
        <v>2022</v>
      </c>
      <c r="M64" s="128" t="str">
        <f t="shared" si="5"/>
        <v>62022</v>
      </c>
      <c r="N64" s="165">
        <f ca="1">COUNTIF(Consolidated!$AC$9:$AC$275,M64)</f>
        <v>0</v>
      </c>
      <c r="O64" s="130">
        <f ca="1">COUNTIF(Consolidated!$AD$9:AD$274,M64)</f>
        <v>0</v>
      </c>
    </row>
    <row r="65" spans="2:15" x14ac:dyDescent="0.2">
      <c r="B65" s="5" t="s">
        <v>1175</v>
      </c>
      <c r="J65" s="126">
        <v>44743</v>
      </c>
      <c r="K65" s="127">
        <f t="shared" si="3"/>
        <v>7</v>
      </c>
      <c r="L65" s="127">
        <f t="shared" si="4"/>
        <v>2022</v>
      </c>
      <c r="M65" s="128" t="str">
        <f t="shared" si="5"/>
        <v>72022</v>
      </c>
      <c r="N65" s="165">
        <f ca="1">COUNTIF(Consolidated!$AC$9:$AC$275,M65)</f>
        <v>0</v>
      </c>
      <c r="O65" s="130">
        <f ca="1">COUNTIF(Consolidated!$AD$9:AD$274,M65)</f>
        <v>0</v>
      </c>
    </row>
    <row r="66" spans="2:15" x14ac:dyDescent="0.2">
      <c r="B66" s="5" t="s">
        <v>1176</v>
      </c>
      <c r="J66" s="126">
        <v>44774</v>
      </c>
      <c r="K66" s="127">
        <f t="shared" si="3"/>
        <v>8</v>
      </c>
      <c r="L66" s="127">
        <f t="shared" si="4"/>
        <v>2022</v>
      </c>
      <c r="M66" s="128" t="str">
        <f t="shared" si="5"/>
        <v>82022</v>
      </c>
      <c r="N66" s="165">
        <f ca="1">COUNTIF(Consolidated!$AC$9:$AC$275,M66)</f>
        <v>0</v>
      </c>
      <c r="O66" s="130">
        <f ca="1">COUNTIF(Consolidated!$AD$9:AD$274,M66)</f>
        <v>0</v>
      </c>
    </row>
    <row r="67" spans="2:15" x14ac:dyDescent="0.2">
      <c r="B67" s="5" t="s">
        <v>1177</v>
      </c>
      <c r="J67" s="126">
        <v>44805</v>
      </c>
      <c r="K67" s="127">
        <f t="shared" ref="K67:K81" si="6">MONTH(J67)</f>
        <v>9</v>
      </c>
      <c r="L67" s="127">
        <f t="shared" ref="L67:L81" si="7">YEAR(J67)</f>
        <v>2022</v>
      </c>
      <c r="M67" s="128" t="str">
        <f t="shared" ref="M67:M81" si="8">CONCATENATE(K67,L67)</f>
        <v>92022</v>
      </c>
      <c r="N67" s="165">
        <f ca="1">COUNTIF(Consolidated!$AC$9:$AC$275,M67)</f>
        <v>0</v>
      </c>
      <c r="O67" s="130">
        <f ca="1">COUNTIF(Consolidated!$AD$9:AD$274,M67)</f>
        <v>0</v>
      </c>
    </row>
    <row r="68" spans="2:15" x14ac:dyDescent="0.2">
      <c r="B68" s="5" t="s">
        <v>1178</v>
      </c>
      <c r="J68" s="126">
        <v>44835</v>
      </c>
      <c r="K68" s="127">
        <f t="shared" si="6"/>
        <v>10</v>
      </c>
      <c r="L68" s="127">
        <f t="shared" si="7"/>
        <v>2022</v>
      </c>
      <c r="M68" s="128" t="str">
        <f t="shared" si="8"/>
        <v>102022</v>
      </c>
      <c r="N68" s="165">
        <f ca="1">COUNTIF(Consolidated!$AC$9:$AC$275,M68)</f>
        <v>0</v>
      </c>
      <c r="O68" s="130">
        <f ca="1">COUNTIF(Consolidated!$AD$9:AD$274,M68)</f>
        <v>0</v>
      </c>
    </row>
    <row r="69" spans="2:15" x14ac:dyDescent="0.2">
      <c r="B69" s="5" t="s">
        <v>1179</v>
      </c>
      <c r="J69" s="126">
        <v>44866</v>
      </c>
      <c r="K69" s="127">
        <f t="shared" si="6"/>
        <v>11</v>
      </c>
      <c r="L69" s="127">
        <f t="shared" si="7"/>
        <v>2022</v>
      </c>
      <c r="M69" s="128" t="str">
        <f t="shared" si="8"/>
        <v>112022</v>
      </c>
      <c r="N69" s="165">
        <f ca="1">COUNTIF(Consolidated!$AC$9:$AC$275,M69)</f>
        <v>0</v>
      </c>
      <c r="O69" s="130">
        <f ca="1">COUNTIF(Consolidated!$AD$9:AD$274,M69)</f>
        <v>0</v>
      </c>
    </row>
    <row r="70" spans="2:15" x14ac:dyDescent="0.2">
      <c r="B70" s="5" t="s">
        <v>1180</v>
      </c>
      <c r="J70" s="126">
        <v>44896</v>
      </c>
      <c r="K70" s="127">
        <f t="shared" si="6"/>
        <v>12</v>
      </c>
      <c r="L70" s="127">
        <f t="shared" si="7"/>
        <v>2022</v>
      </c>
      <c r="M70" s="128" t="str">
        <f t="shared" si="8"/>
        <v>122022</v>
      </c>
      <c r="N70" s="165">
        <f ca="1">COUNTIF(Consolidated!$AC$9:$AC$275,M70)</f>
        <v>0</v>
      </c>
      <c r="O70" s="130">
        <f ca="1">COUNTIF(Consolidated!$AD$9:AD$274,M70)</f>
        <v>0</v>
      </c>
    </row>
    <row r="71" spans="2:15" x14ac:dyDescent="0.2">
      <c r="B71" s="5" t="s">
        <v>1181</v>
      </c>
      <c r="J71" s="126">
        <v>44927</v>
      </c>
      <c r="K71" s="127">
        <f t="shared" si="6"/>
        <v>1</v>
      </c>
      <c r="L71" s="127">
        <f t="shared" si="7"/>
        <v>2023</v>
      </c>
      <c r="M71" s="128" t="str">
        <f t="shared" si="8"/>
        <v>12023</v>
      </c>
      <c r="N71" s="165">
        <f ca="1">COUNTIF(Consolidated!$AC$9:$AC$275,M71)</f>
        <v>0</v>
      </c>
      <c r="O71" s="130">
        <f ca="1">COUNTIF(Consolidated!$AD$9:AD$274,M71)</f>
        <v>0</v>
      </c>
    </row>
    <row r="72" spans="2:15" x14ac:dyDescent="0.2">
      <c r="B72" s="5" t="s">
        <v>1182</v>
      </c>
      <c r="J72" s="126">
        <v>44958</v>
      </c>
      <c r="K72" s="127">
        <f t="shared" si="6"/>
        <v>2</v>
      </c>
      <c r="L72" s="127">
        <f t="shared" si="7"/>
        <v>2023</v>
      </c>
      <c r="M72" s="128" t="str">
        <f t="shared" si="8"/>
        <v>22023</v>
      </c>
      <c r="N72" s="165">
        <f ca="1">COUNTIF(Consolidated!$AC$9:$AC$275,M72)</f>
        <v>0</v>
      </c>
      <c r="O72" s="130">
        <f ca="1">COUNTIF(Consolidated!$AD$9:AD$274,M72)</f>
        <v>0</v>
      </c>
    </row>
    <row r="73" spans="2:15" x14ac:dyDescent="0.2">
      <c r="B73" s="5" t="s">
        <v>1183</v>
      </c>
      <c r="J73" s="126">
        <v>44986</v>
      </c>
      <c r="K73" s="127">
        <f t="shared" si="6"/>
        <v>3</v>
      </c>
      <c r="L73" s="127">
        <f t="shared" si="7"/>
        <v>2023</v>
      </c>
      <c r="M73" s="128" t="str">
        <f t="shared" si="8"/>
        <v>32023</v>
      </c>
      <c r="N73" s="165">
        <f ca="1">COUNTIF(Consolidated!$AC$9:$AC$275,M73)</f>
        <v>0</v>
      </c>
      <c r="O73" s="130">
        <f ca="1">COUNTIF(Consolidated!$AD$9:AD$274,M73)</f>
        <v>0</v>
      </c>
    </row>
    <row r="74" spans="2:15" x14ac:dyDescent="0.2">
      <c r="B74" s="5" t="s">
        <v>1184</v>
      </c>
      <c r="J74" s="126">
        <v>45017</v>
      </c>
      <c r="K74" s="127">
        <f t="shared" si="6"/>
        <v>4</v>
      </c>
      <c r="L74" s="127">
        <f t="shared" si="7"/>
        <v>2023</v>
      </c>
      <c r="M74" s="128" t="str">
        <f t="shared" si="8"/>
        <v>42023</v>
      </c>
      <c r="N74" s="165">
        <f ca="1">COUNTIF(Consolidated!$AC$9:$AC$275,M74)</f>
        <v>0</v>
      </c>
      <c r="O74" s="130">
        <f ca="1">COUNTIF(Consolidated!$AD$9:AD$274,M74)</f>
        <v>0</v>
      </c>
    </row>
    <row r="75" spans="2:15" x14ac:dyDescent="0.2">
      <c r="B75" s="5" t="s">
        <v>1185</v>
      </c>
      <c r="J75" s="126">
        <v>45047</v>
      </c>
      <c r="K75" s="127">
        <f t="shared" si="6"/>
        <v>5</v>
      </c>
      <c r="L75" s="127">
        <f t="shared" si="7"/>
        <v>2023</v>
      </c>
      <c r="M75" s="128" t="str">
        <f t="shared" si="8"/>
        <v>52023</v>
      </c>
      <c r="N75" s="165">
        <f ca="1">COUNTIF(Consolidated!$AC$9:$AC$275,M75)</f>
        <v>0</v>
      </c>
      <c r="O75" s="130">
        <f ca="1">COUNTIF(Consolidated!$AD$9:AD$274,M75)</f>
        <v>0</v>
      </c>
    </row>
    <row r="76" spans="2:15" x14ac:dyDescent="0.2">
      <c r="B76" s="5" t="s">
        <v>1186</v>
      </c>
      <c r="J76" s="126">
        <v>45078</v>
      </c>
      <c r="K76" s="127">
        <f t="shared" si="6"/>
        <v>6</v>
      </c>
      <c r="L76" s="127">
        <f t="shared" si="7"/>
        <v>2023</v>
      </c>
      <c r="M76" s="128" t="str">
        <f t="shared" si="8"/>
        <v>62023</v>
      </c>
      <c r="N76" s="165">
        <f ca="1">COUNTIF(Consolidated!$AC$9:$AC$275,M76)</f>
        <v>0</v>
      </c>
      <c r="O76" s="130">
        <f ca="1">COUNTIF(Consolidated!$AD$9:AD$274,M76)</f>
        <v>0</v>
      </c>
    </row>
    <row r="77" spans="2:15" x14ac:dyDescent="0.2">
      <c r="B77" s="5" t="s">
        <v>1187</v>
      </c>
      <c r="J77" s="126">
        <v>45108</v>
      </c>
      <c r="K77" s="127">
        <f t="shared" si="6"/>
        <v>7</v>
      </c>
      <c r="L77" s="127">
        <f t="shared" si="7"/>
        <v>2023</v>
      </c>
      <c r="M77" s="128" t="str">
        <f t="shared" si="8"/>
        <v>72023</v>
      </c>
      <c r="N77" s="165">
        <f ca="1">COUNTIF(Consolidated!$AC$9:$AC$275,M77)</f>
        <v>0</v>
      </c>
      <c r="O77" s="130">
        <f ca="1">COUNTIF(Consolidated!$AD$9:AD$274,M77)</f>
        <v>0</v>
      </c>
    </row>
    <row r="78" spans="2:15" x14ac:dyDescent="0.2">
      <c r="B78" s="5" t="s">
        <v>1188</v>
      </c>
      <c r="J78" s="126">
        <v>45139</v>
      </c>
      <c r="K78" s="127">
        <f t="shared" si="6"/>
        <v>8</v>
      </c>
      <c r="L78" s="127">
        <f t="shared" si="7"/>
        <v>2023</v>
      </c>
      <c r="M78" s="128" t="str">
        <f t="shared" si="8"/>
        <v>82023</v>
      </c>
      <c r="N78" s="165">
        <f ca="1">COUNTIF(Consolidated!$AC$9:$AC$275,M78)</f>
        <v>0</v>
      </c>
      <c r="O78" s="130">
        <f ca="1">COUNTIF(Consolidated!$AD$9:AD$274,M78)</f>
        <v>0</v>
      </c>
    </row>
    <row r="79" spans="2:15" x14ac:dyDescent="0.2">
      <c r="B79" s="5" t="s">
        <v>1189</v>
      </c>
      <c r="J79" s="126">
        <v>45170</v>
      </c>
      <c r="K79" s="127">
        <f t="shared" si="6"/>
        <v>9</v>
      </c>
      <c r="L79" s="127">
        <f t="shared" si="7"/>
        <v>2023</v>
      </c>
      <c r="M79" s="128" t="str">
        <f t="shared" si="8"/>
        <v>92023</v>
      </c>
      <c r="N79" s="165">
        <f ca="1">COUNTIF(Consolidated!$AC$9:$AC$275,M79)</f>
        <v>0</v>
      </c>
      <c r="O79" s="130">
        <f ca="1">COUNTIF(Consolidated!$AD$9:AD$274,M79)</f>
        <v>0</v>
      </c>
    </row>
    <row r="80" spans="2:15" x14ac:dyDescent="0.2">
      <c r="B80" s="5" t="s">
        <v>1190</v>
      </c>
      <c r="J80" s="126">
        <v>45200</v>
      </c>
      <c r="K80" s="127">
        <f t="shared" si="6"/>
        <v>10</v>
      </c>
      <c r="L80" s="127">
        <f t="shared" si="7"/>
        <v>2023</v>
      </c>
      <c r="M80" s="128" t="str">
        <f t="shared" si="8"/>
        <v>102023</v>
      </c>
      <c r="N80" s="165">
        <f ca="1">COUNTIF(Consolidated!$AC$9:$AC$275,M80)</f>
        <v>0</v>
      </c>
      <c r="O80" s="130">
        <f ca="1">COUNTIF(Consolidated!$AD$9:AD$274,M80)</f>
        <v>0</v>
      </c>
    </row>
    <row r="81" spans="2:15" x14ac:dyDescent="0.2">
      <c r="B81" s="5" t="s">
        <v>1191</v>
      </c>
      <c r="J81" s="126">
        <v>45231</v>
      </c>
      <c r="K81" s="131">
        <f t="shared" si="6"/>
        <v>11</v>
      </c>
      <c r="L81" s="131">
        <f t="shared" si="7"/>
        <v>2023</v>
      </c>
      <c r="M81" s="132" t="str">
        <f t="shared" si="8"/>
        <v>112023</v>
      </c>
      <c r="N81" s="166">
        <f ca="1">COUNTIF(Consolidated!$AC$9:$AC$275,M81)</f>
        <v>0</v>
      </c>
      <c r="O81" s="130">
        <f ca="1">COUNTIF(Consolidated!$AD$9:AD$274,M81)</f>
        <v>0</v>
      </c>
    </row>
    <row r="82" spans="2:15" x14ac:dyDescent="0.2">
      <c r="B82" s="5" t="s">
        <v>1192</v>
      </c>
    </row>
    <row r="83" spans="2:15" x14ac:dyDescent="0.2">
      <c r="B83" s="5" t="s">
        <v>1193</v>
      </c>
    </row>
    <row r="84" spans="2:15" x14ac:dyDescent="0.2">
      <c r="B84" s="5" t="s">
        <v>1194</v>
      </c>
    </row>
    <row r="85" spans="2:15" x14ac:dyDescent="0.2">
      <c r="B85" s="5" t="s">
        <v>1195</v>
      </c>
    </row>
    <row r="86" spans="2:15" x14ac:dyDescent="0.2">
      <c r="B86" s="5" t="s">
        <v>1196</v>
      </c>
    </row>
    <row r="87" spans="2:15" x14ac:dyDescent="0.2">
      <c r="B87" s="5" t="s">
        <v>1197</v>
      </c>
    </row>
    <row r="88" spans="2:15" x14ac:dyDescent="0.2">
      <c r="B88" s="5" t="s">
        <v>1198</v>
      </c>
    </row>
    <row r="89" spans="2:15" x14ac:dyDescent="0.2">
      <c r="B89" s="5" t="s">
        <v>1199</v>
      </c>
    </row>
    <row r="90" spans="2:15" x14ac:dyDescent="0.2">
      <c r="B90" s="5" t="s">
        <v>1200</v>
      </c>
    </row>
    <row r="91" spans="2:15" x14ac:dyDescent="0.2">
      <c r="B91" s="5" t="s">
        <v>1201</v>
      </c>
    </row>
    <row r="92" spans="2:15" x14ac:dyDescent="0.2">
      <c r="B92" s="5" t="s">
        <v>1202</v>
      </c>
    </row>
    <row r="93" spans="2:15" x14ac:dyDescent="0.2">
      <c r="B93" s="5" t="s">
        <v>1203</v>
      </c>
    </row>
    <row r="94" spans="2:15" x14ac:dyDescent="0.2">
      <c r="B94" s="5" t="s">
        <v>1204</v>
      </c>
    </row>
    <row r="95" spans="2:15" x14ac:dyDescent="0.2">
      <c r="B95" s="5" t="s">
        <v>1205</v>
      </c>
    </row>
    <row r="96" spans="2:15" x14ac:dyDescent="0.2">
      <c r="B96" s="5" t="s">
        <v>1206</v>
      </c>
    </row>
    <row r="97" spans="2:2" x14ac:dyDescent="0.2">
      <c r="B97" s="5" t="s">
        <v>1207</v>
      </c>
    </row>
    <row r="98" spans="2:2" x14ac:dyDescent="0.2">
      <c r="B98" s="5" t="s">
        <v>1208</v>
      </c>
    </row>
    <row r="99" spans="2:2" x14ac:dyDescent="0.2">
      <c r="B99" s="5" t="s">
        <v>1209</v>
      </c>
    </row>
    <row r="100" spans="2:2" x14ac:dyDescent="0.2">
      <c r="B100" s="5" t="s">
        <v>1210</v>
      </c>
    </row>
    <row r="101" spans="2:2" x14ac:dyDescent="0.2">
      <c r="B101" s="5" t="s">
        <v>1211</v>
      </c>
    </row>
    <row r="102" spans="2:2" x14ac:dyDescent="0.2">
      <c r="B102" s="5" t="s">
        <v>1212</v>
      </c>
    </row>
    <row r="103" spans="2:2" x14ac:dyDescent="0.2">
      <c r="B103" s="5" t="s">
        <v>1213</v>
      </c>
    </row>
    <row r="104" spans="2:2" x14ac:dyDescent="0.2">
      <c r="B104" s="5" t="s">
        <v>1214</v>
      </c>
    </row>
    <row r="105" spans="2:2" x14ac:dyDescent="0.2">
      <c r="B105" s="5" t="s">
        <v>1215</v>
      </c>
    </row>
    <row r="106" spans="2:2" x14ac:dyDescent="0.2">
      <c r="B106" s="5" t="s">
        <v>1216</v>
      </c>
    </row>
    <row r="107" spans="2:2" x14ac:dyDescent="0.2">
      <c r="B107" s="5" t="s">
        <v>1217</v>
      </c>
    </row>
    <row r="108" spans="2:2" x14ac:dyDescent="0.2">
      <c r="B108" s="5" t="s">
        <v>1218</v>
      </c>
    </row>
    <row r="109" spans="2:2" x14ac:dyDescent="0.2">
      <c r="B109" s="5" t="s">
        <v>1219</v>
      </c>
    </row>
    <row r="110" spans="2:2" x14ac:dyDescent="0.2">
      <c r="B110" s="5" t="s">
        <v>1220</v>
      </c>
    </row>
    <row r="111" spans="2:2" x14ac:dyDescent="0.2">
      <c r="B111" s="5" t="s">
        <v>1221</v>
      </c>
    </row>
    <row r="112" spans="2:2" x14ac:dyDescent="0.2">
      <c r="B112" s="5" t="s">
        <v>1222</v>
      </c>
    </row>
    <row r="113" spans="2:2" x14ac:dyDescent="0.2">
      <c r="B113" s="5" t="s">
        <v>1223</v>
      </c>
    </row>
    <row r="114" spans="2:2" x14ac:dyDescent="0.2">
      <c r="B114" s="5" t="s">
        <v>1224</v>
      </c>
    </row>
    <row r="115" spans="2:2" x14ac:dyDescent="0.2">
      <c r="B115" s="5" t="s">
        <v>1225</v>
      </c>
    </row>
    <row r="116" spans="2:2" x14ac:dyDescent="0.2">
      <c r="B116" s="5" t="s">
        <v>1226</v>
      </c>
    </row>
    <row r="117" spans="2:2" x14ac:dyDescent="0.2">
      <c r="B117" s="5" t="s">
        <v>1227</v>
      </c>
    </row>
    <row r="118" spans="2:2" x14ac:dyDescent="0.2">
      <c r="B118" s="5" t="s">
        <v>1228</v>
      </c>
    </row>
    <row r="119" spans="2:2" x14ac:dyDescent="0.2">
      <c r="B119" s="5" t="s">
        <v>1229</v>
      </c>
    </row>
    <row r="120" spans="2:2" x14ac:dyDescent="0.2">
      <c r="B120" s="5" t="s">
        <v>1230</v>
      </c>
    </row>
    <row r="121" spans="2:2" x14ac:dyDescent="0.2">
      <c r="B121" s="5" t="s">
        <v>1231</v>
      </c>
    </row>
    <row r="122" spans="2:2" x14ac:dyDescent="0.2">
      <c r="B122" s="5" t="s">
        <v>1232</v>
      </c>
    </row>
    <row r="123" spans="2:2" x14ac:dyDescent="0.2">
      <c r="B123" s="5" t="s">
        <v>1233</v>
      </c>
    </row>
    <row r="124" spans="2:2" x14ac:dyDescent="0.2">
      <c r="B124" s="5" t="s">
        <v>1234</v>
      </c>
    </row>
    <row r="125" spans="2:2" x14ac:dyDescent="0.2">
      <c r="B125" s="5" t="s">
        <v>1235</v>
      </c>
    </row>
    <row r="126" spans="2:2" x14ac:dyDescent="0.2">
      <c r="B126" s="5" t="s">
        <v>1236</v>
      </c>
    </row>
    <row r="127" spans="2:2" x14ac:dyDescent="0.2">
      <c r="B127" s="5" t="s">
        <v>1237</v>
      </c>
    </row>
    <row r="128" spans="2:2" x14ac:dyDescent="0.2">
      <c r="B128" s="5" t="s">
        <v>1238</v>
      </c>
    </row>
    <row r="129" spans="2:2" x14ac:dyDescent="0.2">
      <c r="B129" s="5" t="s">
        <v>1239</v>
      </c>
    </row>
    <row r="130" spans="2:2" x14ac:dyDescent="0.2">
      <c r="B130" s="5" t="s">
        <v>1240</v>
      </c>
    </row>
    <row r="131" spans="2:2" x14ac:dyDescent="0.2">
      <c r="B131" s="5" t="s">
        <v>1241</v>
      </c>
    </row>
    <row r="132" spans="2:2" x14ac:dyDescent="0.2">
      <c r="B132" s="5" t="s">
        <v>1242</v>
      </c>
    </row>
    <row r="133" spans="2:2" x14ac:dyDescent="0.2">
      <c r="B133" s="5" t="s">
        <v>1243</v>
      </c>
    </row>
    <row r="134" spans="2:2" x14ac:dyDescent="0.2">
      <c r="B134" s="5" t="s">
        <v>1244</v>
      </c>
    </row>
    <row r="135" spans="2:2" x14ac:dyDescent="0.2">
      <c r="B135" s="5" t="s">
        <v>1245</v>
      </c>
    </row>
    <row r="136" spans="2:2" x14ac:dyDescent="0.2">
      <c r="B136" s="5" t="s">
        <v>1246</v>
      </c>
    </row>
    <row r="137" spans="2:2" x14ac:dyDescent="0.2">
      <c r="B137" s="5" t="s">
        <v>1247</v>
      </c>
    </row>
    <row r="138" spans="2:2" x14ac:dyDescent="0.2">
      <c r="B138" s="5" t="s">
        <v>1248</v>
      </c>
    </row>
    <row r="139" spans="2:2" x14ac:dyDescent="0.2">
      <c r="B139" s="5" t="s">
        <v>1249</v>
      </c>
    </row>
    <row r="140" spans="2:2" x14ac:dyDescent="0.2">
      <c r="B140" s="5" t="s">
        <v>1250</v>
      </c>
    </row>
    <row r="141" spans="2:2" x14ac:dyDescent="0.2">
      <c r="B141" s="5" t="s">
        <v>1251</v>
      </c>
    </row>
    <row r="142" spans="2:2" x14ac:dyDescent="0.2">
      <c r="B142" s="5" t="s">
        <v>1252</v>
      </c>
    </row>
    <row r="143" spans="2:2" x14ac:dyDescent="0.2">
      <c r="B143" s="5" t="s">
        <v>1253</v>
      </c>
    </row>
    <row r="144" spans="2:2" x14ac:dyDescent="0.2">
      <c r="B144" s="5" t="s">
        <v>1254</v>
      </c>
    </row>
    <row r="145" spans="2:2" x14ac:dyDescent="0.2">
      <c r="B145" s="5" t="s">
        <v>1255</v>
      </c>
    </row>
    <row r="146" spans="2:2" x14ac:dyDescent="0.2">
      <c r="B146" s="5" t="s">
        <v>1256</v>
      </c>
    </row>
    <row r="147" spans="2:2" x14ac:dyDescent="0.2">
      <c r="B147" s="5" t="s">
        <v>1257</v>
      </c>
    </row>
    <row r="148" spans="2:2" x14ac:dyDescent="0.2">
      <c r="B148" s="5" t="s">
        <v>1258</v>
      </c>
    </row>
    <row r="149" spans="2:2" x14ac:dyDescent="0.2">
      <c r="B149" s="5" t="s">
        <v>1259</v>
      </c>
    </row>
    <row r="150" spans="2:2" x14ac:dyDescent="0.2">
      <c r="B150" s="5" t="s">
        <v>1260</v>
      </c>
    </row>
    <row r="151" spans="2:2" x14ac:dyDescent="0.2">
      <c r="B151" s="5" t="s">
        <v>1261</v>
      </c>
    </row>
    <row r="152" spans="2:2" x14ac:dyDescent="0.2">
      <c r="B152" s="5" t="s">
        <v>1262</v>
      </c>
    </row>
    <row r="153" spans="2:2" x14ac:dyDescent="0.2">
      <c r="B153" s="5" t="s">
        <v>1263</v>
      </c>
    </row>
    <row r="154" spans="2:2" x14ac:dyDescent="0.2">
      <c r="B154" s="5" t="s">
        <v>1264</v>
      </c>
    </row>
    <row r="155" spans="2:2" x14ac:dyDescent="0.2">
      <c r="B155" s="5" t="s">
        <v>1265</v>
      </c>
    </row>
    <row r="156" spans="2:2" x14ac:dyDescent="0.2">
      <c r="B156" s="5" t="s">
        <v>1266</v>
      </c>
    </row>
    <row r="157" spans="2:2" x14ac:dyDescent="0.2">
      <c r="B157" s="5" t="s">
        <v>1267</v>
      </c>
    </row>
    <row r="158" spans="2:2" x14ac:dyDescent="0.2">
      <c r="B158" s="5" t="s">
        <v>1268</v>
      </c>
    </row>
    <row r="159" spans="2:2" x14ac:dyDescent="0.2">
      <c r="B159" s="5" t="s">
        <v>1269</v>
      </c>
    </row>
    <row r="160" spans="2:2" x14ac:dyDescent="0.2">
      <c r="B160" s="5" t="s">
        <v>1270</v>
      </c>
    </row>
    <row r="161" spans="2:2" x14ac:dyDescent="0.2">
      <c r="B161" s="5" t="s">
        <v>1271</v>
      </c>
    </row>
    <row r="162" spans="2:2" x14ac:dyDescent="0.2">
      <c r="B162" s="5" t="s">
        <v>1272</v>
      </c>
    </row>
    <row r="163" spans="2:2" x14ac:dyDescent="0.2">
      <c r="B163" s="5" t="s">
        <v>1273</v>
      </c>
    </row>
    <row r="164" spans="2:2" x14ac:dyDescent="0.2">
      <c r="B164" s="5" t="s">
        <v>1274</v>
      </c>
    </row>
    <row r="165" spans="2:2" x14ac:dyDescent="0.2">
      <c r="B165" s="5" t="s">
        <v>1275</v>
      </c>
    </row>
    <row r="166" spans="2:2" x14ac:dyDescent="0.2">
      <c r="B166" s="5" t="s">
        <v>1276</v>
      </c>
    </row>
    <row r="167" spans="2:2" x14ac:dyDescent="0.2">
      <c r="B167" s="5" t="s">
        <v>1277</v>
      </c>
    </row>
    <row r="168" spans="2:2" x14ac:dyDescent="0.2">
      <c r="B168" s="5" t="s">
        <v>1278</v>
      </c>
    </row>
    <row r="169" spans="2:2" x14ac:dyDescent="0.2">
      <c r="B169" s="5" t="s">
        <v>1279</v>
      </c>
    </row>
    <row r="170" spans="2:2" x14ac:dyDescent="0.2">
      <c r="B170" s="5" t="s">
        <v>1280</v>
      </c>
    </row>
    <row r="171" spans="2:2" x14ac:dyDescent="0.2">
      <c r="B171" s="5" t="s">
        <v>1281</v>
      </c>
    </row>
    <row r="172" spans="2:2" x14ac:dyDescent="0.2">
      <c r="B172" s="5" t="s">
        <v>1282</v>
      </c>
    </row>
    <row r="173" spans="2:2" x14ac:dyDescent="0.2">
      <c r="B173" s="5" t="s">
        <v>1283</v>
      </c>
    </row>
    <row r="174" spans="2:2" x14ac:dyDescent="0.2">
      <c r="B174" s="5" t="s">
        <v>1284</v>
      </c>
    </row>
    <row r="175" spans="2:2" x14ac:dyDescent="0.2">
      <c r="B175" s="5" t="s">
        <v>1285</v>
      </c>
    </row>
    <row r="176" spans="2:2" x14ac:dyDescent="0.2">
      <c r="B176" s="5" t="s">
        <v>1286</v>
      </c>
    </row>
    <row r="177" spans="2:2" x14ac:dyDescent="0.2">
      <c r="B177" s="5" t="s">
        <v>1287</v>
      </c>
    </row>
    <row r="178" spans="2:2" x14ac:dyDescent="0.2">
      <c r="B178" s="5" t="s">
        <v>1288</v>
      </c>
    </row>
    <row r="179" spans="2:2" x14ac:dyDescent="0.2">
      <c r="B179" s="5" t="s">
        <v>1289</v>
      </c>
    </row>
    <row r="180" spans="2:2" x14ac:dyDescent="0.2">
      <c r="B180" s="5" t="s">
        <v>1290</v>
      </c>
    </row>
    <row r="181" spans="2:2" x14ac:dyDescent="0.2">
      <c r="B181" s="5" t="s">
        <v>1291</v>
      </c>
    </row>
    <row r="182" spans="2:2" x14ac:dyDescent="0.2">
      <c r="B182" s="5" t="s">
        <v>1292</v>
      </c>
    </row>
    <row r="183" spans="2:2" x14ac:dyDescent="0.2">
      <c r="B183" s="5" t="s">
        <v>1293</v>
      </c>
    </row>
    <row r="184" spans="2:2" x14ac:dyDescent="0.2">
      <c r="B184" s="5" t="s">
        <v>1294</v>
      </c>
    </row>
    <row r="185" spans="2:2" x14ac:dyDescent="0.2">
      <c r="B185" s="5" t="s">
        <v>1295</v>
      </c>
    </row>
    <row r="186" spans="2:2" x14ac:dyDescent="0.2">
      <c r="B186" s="5" t="s">
        <v>1296</v>
      </c>
    </row>
    <row r="187" spans="2:2" x14ac:dyDescent="0.2">
      <c r="B187" s="5" t="s">
        <v>1297</v>
      </c>
    </row>
    <row r="188" spans="2:2" x14ac:dyDescent="0.2">
      <c r="B188" s="5" t="s">
        <v>1298</v>
      </c>
    </row>
    <row r="189" spans="2:2" x14ac:dyDescent="0.2">
      <c r="B189" s="5" t="s">
        <v>1299</v>
      </c>
    </row>
    <row r="190" spans="2:2" x14ac:dyDescent="0.2">
      <c r="B190" s="5" t="s">
        <v>1300</v>
      </c>
    </row>
    <row r="191" spans="2:2" x14ac:dyDescent="0.2">
      <c r="B191" s="5" t="s">
        <v>1301</v>
      </c>
    </row>
    <row r="192" spans="2:2" x14ac:dyDescent="0.2">
      <c r="B192" s="5" t="s">
        <v>1302</v>
      </c>
    </row>
    <row r="193" spans="2:2" x14ac:dyDescent="0.2">
      <c r="B193" s="5" t="s">
        <v>1303</v>
      </c>
    </row>
    <row r="194" spans="2:2" x14ac:dyDescent="0.2">
      <c r="B194" s="5" t="s">
        <v>1304</v>
      </c>
    </row>
    <row r="195" spans="2:2" x14ac:dyDescent="0.2">
      <c r="B195" s="5" t="s">
        <v>1305</v>
      </c>
    </row>
    <row r="196" spans="2:2" x14ac:dyDescent="0.2">
      <c r="B196" s="5" t="s">
        <v>1306</v>
      </c>
    </row>
    <row r="197" spans="2:2" x14ac:dyDescent="0.2">
      <c r="B197" s="5" t="s">
        <v>1307</v>
      </c>
    </row>
    <row r="198" spans="2:2" x14ac:dyDescent="0.2">
      <c r="B198" s="5" t="s">
        <v>1308</v>
      </c>
    </row>
    <row r="199" spans="2:2" x14ac:dyDescent="0.2">
      <c r="B199" s="5" t="s">
        <v>1309</v>
      </c>
    </row>
    <row r="200" spans="2:2" x14ac:dyDescent="0.2">
      <c r="B200" s="5" t="s">
        <v>1310</v>
      </c>
    </row>
    <row r="201" spans="2:2" x14ac:dyDescent="0.2">
      <c r="B201" s="5" t="s">
        <v>1311</v>
      </c>
    </row>
    <row r="202" spans="2:2" x14ac:dyDescent="0.2">
      <c r="B202" s="5" t="s">
        <v>1312</v>
      </c>
    </row>
    <row r="203" spans="2:2" x14ac:dyDescent="0.2">
      <c r="B203" s="5" t="s">
        <v>1313</v>
      </c>
    </row>
    <row r="204" spans="2:2" x14ac:dyDescent="0.2">
      <c r="B204" s="5" t="s">
        <v>1314</v>
      </c>
    </row>
    <row r="205" spans="2:2" x14ac:dyDescent="0.2">
      <c r="B205" s="5" t="s">
        <v>1315</v>
      </c>
    </row>
    <row r="206" spans="2:2" x14ac:dyDescent="0.2">
      <c r="B206" s="5" t="s">
        <v>1316</v>
      </c>
    </row>
    <row r="207" spans="2:2" x14ac:dyDescent="0.2">
      <c r="B207" s="5" t="s">
        <v>1317</v>
      </c>
    </row>
    <row r="208" spans="2:2" x14ac:dyDescent="0.2">
      <c r="B208" s="5" t="s">
        <v>1318</v>
      </c>
    </row>
    <row r="209" spans="2:2" x14ac:dyDescent="0.2">
      <c r="B209" s="5" t="s">
        <v>1319</v>
      </c>
    </row>
    <row r="210" spans="2:2" x14ac:dyDescent="0.2">
      <c r="B210" s="5" t="s">
        <v>1320</v>
      </c>
    </row>
    <row r="211" spans="2:2" x14ac:dyDescent="0.2">
      <c r="B211" s="5" t="s">
        <v>1321</v>
      </c>
    </row>
    <row r="212" spans="2:2" x14ac:dyDescent="0.2">
      <c r="B212" s="5" t="s">
        <v>1322</v>
      </c>
    </row>
    <row r="213" spans="2:2" x14ac:dyDescent="0.2">
      <c r="B213" s="5" t="s">
        <v>1323</v>
      </c>
    </row>
    <row r="214" spans="2:2" x14ac:dyDescent="0.2">
      <c r="B214" s="5" t="s">
        <v>1324</v>
      </c>
    </row>
    <row r="215" spans="2:2" x14ac:dyDescent="0.2">
      <c r="B215" s="5" t="s">
        <v>1325</v>
      </c>
    </row>
    <row r="216" spans="2:2" x14ac:dyDescent="0.2">
      <c r="B216" s="5" t="s">
        <v>1326</v>
      </c>
    </row>
    <row r="217" spans="2:2" x14ac:dyDescent="0.2">
      <c r="B217" s="5" t="s">
        <v>1327</v>
      </c>
    </row>
    <row r="218" spans="2:2" x14ac:dyDescent="0.2">
      <c r="B218" s="5" t="s">
        <v>1328</v>
      </c>
    </row>
    <row r="219" spans="2:2" x14ac:dyDescent="0.2">
      <c r="B219" s="5" t="s">
        <v>1329</v>
      </c>
    </row>
    <row r="220" spans="2:2" x14ac:dyDescent="0.2">
      <c r="B220" s="5" t="s">
        <v>1330</v>
      </c>
    </row>
    <row r="221" spans="2:2" x14ac:dyDescent="0.2">
      <c r="B221" s="5" t="s">
        <v>1331</v>
      </c>
    </row>
    <row r="222" spans="2:2" x14ac:dyDescent="0.2">
      <c r="B222" s="5" t="s">
        <v>1332</v>
      </c>
    </row>
    <row r="223" spans="2:2" x14ac:dyDescent="0.2">
      <c r="B223" s="5" t="s">
        <v>1333</v>
      </c>
    </row>
    <row r="224" spans="2:2" x14ac:dyDescent="0.2">
      <c r="B224" s="5" t="s">
        <v>1334</v>
      </c>
    </row>
    <row r="225" spans="2:2" x14ac:dyDescent="0.2">
      <c r="B225" s="5" t="s">
        <v>1335</v>
      </c>
    </row>
    <row r="226" spans="2:2" x14ac:dyDescent="0.2">
      <c r="B226" s="5" t="s">
        <v>1336</v>
      </c>
    </row>
    <row r="227" spans="2:2" x14ac:dyDescent="0.2">
      <c r="B227" s="5" t="s">
        <v>1337</v>
      </c>
    </row>
    <row r="228" spans="2:2" x14ac:dyDescent="0.2">
      <c r="B228" s="5" t="s">
        <v>1338</v>
      </c>
    </row>
    <row r="229" spans="2:2" x14ac:dyDescent="0.2">
      <c r="B229" s="5" t="s">
        <v>1339</v>
      </c>
    </row>
    <row r="230" spans="2:2" x14ac:dyDescent="0.2">
      <c r="B230" s="5" t="s">
        <v>1340</v>
      </c>
    </row>
  </sheetData>
  <sheetProtection sheet="1" objects="1" scenarios="1" selectLockedCells="1"/>
  <mergeCells count="1">
    <mergeCell ref="D8:H18"/>
  </mergeCells>
  <phoneticPr fontId="0" type="noConversion"/>
  <dataValidations count="1">
    <dataValidation type="list" allowBlank="1" showInputMessage="1" showErrorMessage="1" error="Incorrect Valuse, enter A, B, C, D, E, F, G, H, J, K, L, M, N, O, P, Q, R, S, T, U, V, W, X, Y, Z, 2 or 3" sqref="B12">
      <formula1>$D$22:$D$47</formula1>
    </dataValidation>
  </dataValidations>
  <pageMargins left="0.75" right="0.75" top="1" bottom="1" header="0.5" footer="0.5"/>
  <pageSetup orientation="portrait" r:id="rId1"/>
  <headerFooter alignWithMargins="0">
    <oddHeader>&amp;A</oddHeader>
    <oddFooter>Page &amp;P</oddFooter>
  </headerFooter>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XEJ82"/>
  <sheetViews>
    <sheetView topLeftCell="A9" zoomScaleNormal="100" workbookViewId="0">
      <pane xSplit="32445" topLeftCell="L1"/>
      <selection activeCell="D9" sqref="D9"/>
      <selection pane="topRight" activeCell="L76" sqref="L76"/>
    </sheetView>
  </sheetViews>
  <sheetFormatPr defaultColWidth="14.7109375" defaultRowHeight="14.1" customHeight="1" x14ac:dyDescent="0.2"/>
  <cols>
    <col min="1" max="16384" width="14.7109375" style="210"/>
  </cols>
  <sheetData>
    <row r="1" spans="1:224" s="219" customFormat="1" ht="14.1" customHeight="1" x14ac:dyDescent="0.2">
      <c r="A1" s="216" t="s">
        <v>0</v>
      </c>
      <c r="B1" s="216" t="s">
        <v>375</v>
      </c>
      <c r="C1" s="216" t="s">
        <v>1</v>
      </c>
      <c r="D1" s="217" t="s">
        <v>2</v>
      </c>
      <c r="E1" s="218" t="s">
        <v>92</v>
      </c>
      <c r="F1" s="217" t="s">
        <v>374</v>
      </c>
      <c r="G1" s="216" t="s">
        <v>366</v>
      </c>
    </row>
    <row r="2" spans="1:224" s="226" customFormat="1" ht="14.1" customHeight="1" x14ac:dyDescent="0.2">
      <c r="A2" s="220" t="s">
        <v>133</v>
      </c>
      <c r="B2" s="220" t="s">
        <v>126</v>
      </c>
      <c r="C2" s="220" t="s">
        <v>288</v>
      </c>
      <c r="D2" s="221" t="s">
        <v>127</v>
      </c>
      <c r="E2" s="222">
        <v>4920013886790</v>
      </c>
      <c r="F2" s="295" t="s">
        <v>408</v>
      </c>
      <c r="G2" s="224" t="s">
        <v>373</v>
      </c>
      <c r="H2" s="225"/>
    </row>
    <row r="3" spans="1:224" s="226" customFormat="1" ht="14.1" customHeight="1" x14ac:dyDescent="0.2">
      <c r="A3" s="220" t="s">
        <v>173</v>
      </c>
      <c r="B3" s="220" t="s">
        <v>400</v>
      </c>
      <c r="C3" s="220" t="s">
        <v>174</v>
      </c>
      <c r="D3" s="221" t="s">
        <v>93</v>
      </c>
      <c r="E3" s="222">
        <v>5985000872547</v>
      </c>
      <c r="F3" s="223" t="s">
        <v>409</v>
      </c>
      <c r="G3" s="224" t="s">
        <v>367</v>
      </c>
      <c r="H3" s="225"/>
    </row>
    <row r="4" spans="1:224" s="226" customFormat="1" ht="14.1" customHeight="1" x14ac:dyDescent="0.2">
      <c r="A4" s="227" t="s">
        <v>362</v>
      </c>
      <c r="B4" s="227" t="s">
        <v>363</v>
      </c>
      <c r="C4" s="227" t="s">
        <v>364</v>
      </c>
      <c r="D4" s="228" t="s">
        <v>365</v>
      </c>
      <c r="E4" s="229">
        <v>6625012769421</v>
      </c>
      <c r="F4" s="230" t="s">
        <v>1450</v>
      </c>
      <c r="G4" s="227" t="s">
        <v>373</v>
      </c>
    </row>
    <row r="5" spans="1:224" ht="14.1" customHeight="1" x14ac:dyDescent="0.2">
      <c r="A5" s="231" t="s">
        <v>432</v>
      </c>
      <c r="B5" s="231" t="s">
        <v>438</v>
      </c>
      <c r="C5" s="231" t="s">
        <v>444</v>
      </c>
      <c r="D5" s="231" t="s">
        <v>443</v>
      </c>
      <c r="E5" s="232">
        <v>5210002212091</v>
      </c>
      <c r="F5" s="230" t="s">
        <v>494</v>
      </c>
      <c r="G5" s="233" t="s">
        <v>373</v>
      </c>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c r="AX5" s="226"/>
      <c r="AY5" s="226"/>
      <c r="AZ5" s="226"/>
      <c r="BA5" s="226"/>
      <c r="BB5" s="226"/>
      <c r="BC5" s="226"/>
      <c r="BD5" s="226"/>
      <c r="BE5" s="226"/>
      <c r="BF5" s="226"/>
      <c r="BG5" s="226"/>
      <c r="BH5" s="226"/>
      <c r="BI5" s="226"/>
      <c r="BJ5" s="226"/>
      <c r="BK5" s="226"/>
      <c r="BL5" s="226"/>
      <c r="BM5" s="226"/>
      <c r="BN5" s="226"/>
      <c r="BO5" s="226"/>
      <c r="BP5" s="226"/>
      <c r="BQ5" s="226"/>
      <c r="BR5" s="226"/>
      <c r="BS5" s="226"/>
      <c r="BT5" s="226"/>
      <c r="BU5" s="226"/>
      <c r="BV5" s="226"/>
      <c r="BW5" s="226"/>
      <c r="BX5" s="226"/>
      <c r="BY5" s="226"/>
      <c r="BZ5" s="226"/>
      <c r="CA5" s="226"/>
      <c r="CB5" s="226"/>
      <c r="CC5" s="226"/>
      <c r="CD5" s="226"/>
      <c r="CE5" s="226"/>
      <c r="CF5" s="226"/>
      <c r="CG5" s="226"/>
      <c r="CH5" s="226"/>
      <c r="CI5" s="226"/>
      <c r="CJ5" s="226"/>
      <c r="CK5" s="226"/>
      <c r="CL5" s="226"/>
      <c r="CM5" s="226"/>
      <c r="CN5" s="226"/>
      <c r="CO5" s="226"/>
      <c r="CP5" s="226"/>
      <c r="CQ5" s="226"/>
      <c r="CR5" s="226"/>
      <c r="CS5" s="226"/>
      <c r="CT5" s="226"/>
      <c r="CU5" s="226"/>
      <c r="CV5" s="226"/>
      <c r="CW5" s="226"/>
      <c r="CX5" s="226"/>
      <c r="CY5" s="226"/>
      <c r="CZ5" s="226"/>
      <c r="DA5" s="226"/>
      <c r="DB5" s="226"/>
      <c r="DC5" s="226"/>
      <c r="DD5" s="226"/>
      <c r="DE5" s="226"/>
      <c r="DF5" s="226"/>
      <c r="DG5" s="226"/>
      <c r="DH5" s="226"/>
      <c r="DI5" s="226"/>
      <c r="DJ5" s="226"/>
      <c r="DK5" s="226"/>
      <c r="DL5" s="226"/>
      <c r="DM5" s="226"/>
      <c r="DN5" s="226"/>
      <c r="DO5" s="226"/>
      <c r="DP5" s="226"/>
      <c r="DQ5" s="226"/>
      <c r="DR5" s="226"/>
      <c r="DS5" s="226"/>
      <c r="DT5" s="226"/>
      <c r="DU5" s="226"/>
      <c r="DV5" s="226"/>
      <c r="DW5" s="226"/>
      <c r="DX5" s="226"/>
      <c r="DY5" s="226"/>
      <c r="DZ5" s="226"/>
      <c r="EA5" s="226"/>
      <c r="EB5" s="226"/>
      <c r="EC5" s="226"/>
      <c r="ED5" s="226"/>
      <c r="EE5" s="226"/>
      <c r="EF5" s="226"/>
      <c r="EG5" s="226"/>
      <c r="EH5" s="226"/>
      <c r="EI5" s="226"/>
      <c r="EJ5" s="226"/>
      <c r="EK5" s="226"/>
      <c r="EL5" s="226"/>
      <c r="EM5" s="226"/>
      <c r="EN5" s="226"/>
      <c r="EO5" s="226"/>
      <c r="EP5" s="226"/>
      <c r="EQ5" s="226"/>
      <c r="ER5" s="226"/>
      <c r="ES5" s="226"/>
      <c r="ET5" s="226"/>
      <c r="EU5" s="226"/>
      <c r="EV5" s="226"/>
      <c r="EW5" s="226"/>
      <c r="EX5" s="226"/>
      <c r="EY5" s="226"/>
      <c r="EZ5" s="226"/>
      <c r="FA5" s="226"/>
      <c r="FB5" s="226"/>
      <c r="FC5" s="226"/>
      <c r="FD5" s="226"/>
      <c r="FE5" s="226"/>
      <c r="FF5" s="226"/>
      <c r="FG5" s="226"/>
      <c r="FH5" s="226"/>
      <c r="FI5" s="226"/>
      <c r="FJ5" s="226"/>
      <c r="FK5" s="226"/>
      <c r="FL5" s="226"/>
      <c r="FM5" s="226"/>
      <c r="FN5" s="226"/>
      <c r="FO5" s="226"/>
      <c r="FP5" s="226"/>
      <c r="FQ5" s="226"/>
      <c r="FR5" s="226"/>
      <c r="FS5" s="226"/>
      <c r="FT5" s="226"/>
      <c r="FU5" s="226"/>
      <c r="FV5" s="226"/>
      <c r="FW5" s="226"/>
      <c r="FX5" s="226"/>
      <c r="FY5" s="226"/>
      <c r="FZ5" s="226"/>
      <c r="GA5" s="226"/>
      <c r="GB5" s="226"/>
      <c r="GC5" s="226"/>
      <c r="GD5" s="226"/>
      <c r="GE5" s="226"/>
      <c r="GF5" s="226"/>
      <c r="GG5" s="226"/>
      <c r="GH5" s="226"/>
      <c r="GI5" s="226"/>
      <c r="GJ5" s="226"/>
      <c r="GK5" s="226"/>
      <c r="GL5" s="226"/>
      <c r="GM5" s="226"/>
      <c r="GN5" s="226"/>
      <c r="GO5" s="226"/>
      <c r="GP5" s="226"/>
      <c r="GQ5" s="226"/>
      <c r="GR5" s="226"/>
      <c r="GS5" s="226"/>
      <c r="GT5" s="226"/>
      <c r="GU5" s="226"/>
      <c r="GV5" s="226"/>
      <c r="GW5" s="226"/>
      <c r="GX5" s="226"/>
      <c r="GY5" s="226"/>
      <c r="GZ5" s="226"/>
      <c r="HA5" s="226"/>
      <c r="HB5" s="226"/>
      <c r="HC5" s="226"/>
      <c r="HD5" s="226"/>
      <c r="HE5" s="226"/>
      <c r="HF5" s="226"/>
      <c r="HG5" s="226"/>
      <c r="HH5" s="226"/>
      <c r="HI5" s="226"/>
      <c r="HJ5" s="226"/>
      <c r="HK5" s="226"/>
      <c r="HL5" s="226"/>
      <c r="HM5" s="226"/>
      <c r="HN5" s="226"/>
      <c r="HO5" s="226"/>
      <c r="HP5" s="226"/>
    </row>
    <row r="6" spans="1:224" ht="14.1" customHeight="1" x14ac:dyDescent="0.2">
      <c r="A6" s="231" t="s">
        <v>432</v>
      </c>
      <c r="B6" s="231" t="s">
        <v>438</v>
      </c>
      <c r="C6" s="231" t="s">
        <v>487</v>
      </c>
      <c r="D6" s="231" t="s">
        <v>445</v>
      </c>
      <c r="E6" s="232">
        <v>5210008265368</v>
      </c>
      <c r="F6" s="230" t="s">
        <v>493</v>
      </c>
      <c r="G6" s="233" t="s">
        <v>373</v>
      </c>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c r="AX6" s="226"/>
      <c r="AY6" s="226"/>
      <c r="AZ6" s="226"/>
      <c r="BA6" s="226"/>
      <c r="BB6" s="226"/>
      <c r="BC6" s="226"/>
      <c r="BD6" s="226"/>
      <c r="BE6" s="226"/>
      <c r="BF6" s="226"/>
      <c r="BG6" s="226"/>
      <c r="BH6" s="226"/>
      <c r="BI6" s="226"/>
      <c r="BJ6" s="226"/>
      <c r="BK6" s="226"/>
      <c r="BL6" s="226"/>
      <c r="BM6" s="226"/>
      <c r="BN6" s="226"/>
      <c r="BO6" s="226"/>
      <c r="BP6" s="226"/>
      <c r="BQ6" s="226"/>
      <c r="BR6" s="226"/>
      <c r="BS6" s="226"/>
      <c r="BT6" s="226"/>
      <c r="BU6" s="226"/>
      <c r="BV6" s="226"/>
      <c r="BW6" s="226"/>
      <c r="BX6" s="226"/>
      <c r="BY6" s="226"/>
      <c r="BZ6" s="226"/>
      <c r="CA6" s="226"/>
      <c r="CB6" s="226"/>
      <c r="CC6" s="226"/>
      <c r="CD6" s="226"/>
      <c r="CE6" s="226"/>
      <c r="CF6" s="226"/>
      <c r="CG6" s="226"/>
      <c r="CH6" s="226"/>
      <c r="CI6" s="226"/>
      <c r="CJ6" s="226"/>
      <c r="CK6" s="226"/>
      <c r="CL6" s="226"/>
      <c r="CM6" s="226"/>
      <c r="CN6" s="226"/>
      <c r="CO6" s="226"/>
      <c r="CP6" s="226"/>
      <c r="CQ6" s="226"/>
      <c r="CR6" s="226"/>
      <c r="CS6" s="226"/>
      <c r="CT6" s="226"/>
      <c r="CU6" s="226"/>
      <c r="CV6" s="226"/>
      <c r="CW6" s="226"/>
      <c r="CX6" s="226"/>
      <c r="CY6" s="226"/>
      <c r="CZ6" s="226"/>
      <c r="DA6" s="226"/>
      <c r="DB6" s="226"/>
      <c r="DC6" s="226"/>
      <c r="DD6" s="226"/>
      <c r="DE6" s="226"/>
      <c r="DF6" s="226"/>
      <c r="DG6" s="226"/>
      <c r="DH6" s="226"/>
      <c r="DI6" s="226"/>
      <c r="DJ6" s="226"/>
      <c r="DK6" s="226"/>
      <c r="DL6" s="226"/>
      <c r="DM6" s="226"/>
      <c r="DN6" s="226"/>
      <c r="DO6" s="226"/>
      <c r="DP6" s="226"/>
      <c r="DQ6" s="226"/>
      <c r="DR6" s="226"/>
      <c r="DS6" s="226"/>
      <c r="DT6" s="226"/>
      <c r="DU6" s="226"/>
      <c r="DV6" s="226"/>
      <c r="DW6" s="226"/>
      <c r="DX6" s="226"/>
      <c r="DY6" s="226"/>
      <c r="DZ6" s="226"/>
      <c r="EA6" s="226"/>
      <c r="EB6" s="226"/>
      <c r="EC6" s="226"/>
      <c r="ED6" s="226"/>
      <c r="EE6" s="226"/>
      <c r="EF6" s="226"/>
      <c r="EG6" s="226"/>
      <c r="EH6" s="226"/>
      <c r="EI6" s="226"/>
      <c r="EJ6" s="226"/>
      <c r="EK6" s="226"/>
      <c r="EL6" s="226"/>
      <c r="EM6" s="226"/>
      <c r="EN6" s="226"/>
      <c r="EO6" s="226"/>
      <c r="EP6" s="226"/>
      <c r="EQ6" s="226"/>
      <c r="ER6" s="226"/>
      <c r="ES6" s="226"/>
      <c r="ET6" s="226"/>
      <c r="EU6" s="226"/>
      <c r="EV6" s="226"/>
      <c r="EW6" s="226"/>
      <c r="EX6" s="226"/>
      <c r="EY6" s="226"/>
      <c r="EZ6" s="226"/>
      <c r="FA6" s="226"/>
      <c r="FB6" s="226"/>
      <c r="FC6" s="226"/>
      <c r="FD6" s="226"/>
      <c r="FE6" s="226"/>
      <c r="FF6" s="226"/>
      <c r="FG6" s="226"/>
      <c r="FH6" s="226"/>
      <c r="FI6" s="226"/>
      <c r="FJ6" s="226"/>
      <c r="FK6" s="226"/>
      <c r="FL6" s="226"/>
      <c r="FM6" s="226"/>
      <c r="FN6" s="226"/>
      <c r="FO6" s="226"/>
      <c r="FP6" s="226"/>
      <c r="FQ6" s="226"/>
      <c r="FR6" s="226"/>
      <c r="FS6" s="226"/>
      <c r="FT6" s="226"/>
      <c r="FU6" s="226"/>
      <c r="FV6" s="226"/>
      <c r="FW6" s="226"/>
      <c r="FX6" s="226"/>
      <c r="FY6" s="226"/>
      <c r="FZ6" s="226"/>
      <c r="GA6" s="226"/>
      <c r="GB6" s="226"/>
      <c r="GC6" s="226"/>
      <c r="GD6" s="226"/>
      <c r="GE6" s="226"/>
      <c r="GF6" s="226"/>
      <c r="GG6" s="226"/>
      <c r="GH6" s="226"/>
      <c r="GI6" s="226"/>
      <c r="GJ6" s="226"/>
      <c r="GK6" s="226"/>
      <c r="GL6" s="226"/>
      <c r="GM6" s="226"/>
      <c r="GN6" s="226"/>
      <c r="GO6" s="226"/>
      <c r="GP6" s="226"/>
      <c r="GQ6" s="226"/>
      <c r="GR6" s="226"/>
      <c r="GS6" s="226"/>
      <c r="GT6" s="226"/>
      <c r="GU6" s="226"/>
      <c r="GV6" s="226"/>
      <c r="GW6" s="226"/>
      <c r="GX6" s="226"/>
      <c r="GY6" s="226"/>
      <c r="GZ6" s="226"/>
      <c r="HA6" s="226"/>
      <c r="HB6" s="226"/>
      <c r="HC6" s="226"/>
      <c r="HD6" s="226"/>
      <c r="HE6" s="226"/>
      <c r="HF6" s="226"/>
      <c r="HG6" s="226"/>
      <c r="HH6" s="226"/>
      <c r="HI6" s="226"/>
      <c r="HJ6" s="226"/>
      <c r="HK6" s="226"/>
      <c r="HL6" s="226"/>
      <c r="HM6" s="226"/>
      <c r="HN6" s="226"/>
      <c r="HO6" s="226"/>
      <c r="HP6" s="226"/>
    </row>
    <row r="7" spans="1:224" ht="14.1" customHeight="1" x14ac:dyDescent="0.2">
      <c r="A7" s="231" t="s">
        <v>432</v>
      </c>
      <c r="B7" s="231" t="s">
        <v>449</v>
      </c>
      <c r="C7" s="231"/>
      <c r="D7" s="231" t="s">
        <v>450</v>
      </c>
      <c r="E7" s="232">
        <v>6625012823746</v>
      </c>
      <c r="F7" s="230" t="s">
        <v>523</v>
      </c>
      <c r="G7" s="233" t="s">
        <v>373</v>
      </c>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c r="AX7" s="226"/>
      <c r="AY7" s="226"/>
      <c r="AZ7" s="226"/>
      <c r="BA7" s="226"/>
      <c r="BB7" s="226"/>
      <c r="BC7" s="226"/>
      <c r="BD7" s="226"/>
      <c r="BE7" s="226"/>
      <c r="BF7" s="226"/>
      <c r="BG7" s="226"/>
      <c r="BH7" s="226"/>
      <c r="BI7" s="226"/>
      <c r="BJ7" s="226"/>
      <c r="BK7" s="226"/>
      <c r="BL7" s="226"/>
      <c r="BM7" s="226"/>
      <c r="BN7" s="226"/>
      <c r="BO7" s="226"/>
      <c r="BP7" s="226"/>
      <c r="BQ7" s="226"/>
      <c r="BR7" s="226"/>
      <c r="BS7" s="226"/>
      <c r="BT7" s="226"/>
      <c r="BU7" s="226"/>
      <c r="BV7" s="226"/>
      <c r="BW7" s="226"/>
      <c r="BX7" s="226"/>
      <c r="BY7" s="226"/>
      <c r="BZ7" s="226"/>
      <c r="CA7" s="226"/>
      <c r="CB7" s="226"/>
      <c r="CC7" s="226"/>
      <c r="CD7" s="226"/>
      <c r="CE7" s="226"/>
      <c r="CF7" s="226"/>
      <c r="CG7" s="226"/>
      <c r="CH7" s="226"/>
      <c r="CI7" s="226"/>
      <c r="CJ7" s="226"/>
      <c r="CK7" s="226"/>
      <c r="CL7" s="226"/>
      <c r="CM7" s="226"/>
      <c r="CN7" s="226"/>
      <c r="CO7" s="226"/>
      <c r="CP7" s="226"/>
      <c r="CQ7" s="226"/>
      <c r="CR7" s="226"/>
      <c r="CS7" s="226"/>
      <c r="CT7" s="226"/>
      <c r="CU7" s="226"/>
      <c r="CV7" s="226"/>
      <c r="CW7" s="226"/>
      <c r="CX7" s="226"/>
      <c r="CY7" s="226"/>
      <c r="CZ7" s="226"/>
      <c r="DA7" s="226"/>
      <c r="DB7" s="226"/>
      <c r="DC7" s="226"/>
      <c r="DD7" s="226"/>
      <c r="DE7" s="226"/>
      <c r="DF7" s="226"/>
      <c r="DG7" s="226"/>
      <c r="DH7" s="226"/>
      <c r="DI7" s="226"/>
      <c r="DJ7" s="226"/>
      <c r="DK7" s="226"/>
      <c r="DL7" s="226"/>
      <c r="DM7" s="226"/>
      <c r="DN7" s="226"/>
      <c r="DO7" s="226"/>
      <c r="DP7" s="226"/>
      <c r="DQ7" s="226"/>
      <c r="DR7" s="226"/>
      <c r="DS7" s="226"/>
      <c r="DT7" s="226"/>
      <c r="DU7" s="226"/>
      <c r="DV7" s="226"/>
      <c r="DW7" s="226"/>
      <c r="DX7" s="226"/>
      <c r="DY7" s="226"/>
      <c r="DZ7" s="226"/>
      <c r="EA7" s="226"/>
      <c r="EB7" s="226"/>
      <c r="EC7" s="226"/>
      <c r="ED7" s="226"/>
      <c r="EE7" s="226"/>
      <c r="EF7" s="226"/>
      <c r="EG7" s="226"/>
      <c r="EH7" s="226"/>
      <c r="EI7" s="226"/>
      <c r="EJ7" s="226"/>
      <c r="EK7" s="226"/>
      <c r="EL7" s="226"/>
      <c r="EM7" s="226"/>
      <c r="EN7" s="226"/>
      <c r="EO7" s="226"/>
      <c r="EP7" s="226"/>
      <c r="EQ7" s="226"/>
      <c r="ER7" s="226"/>
      <c r="ES7" s="226"/>
      <c r="ET7" s="226"/>
      <c r="EU7" s="226"/>
      <c r="EV7" s="226"/>
      <c r="EW7" s="226"/>
      <c r="EX7" s="226"/>
      <c r="EY7" s="226"/>
      <c r="EZ7" s="226"/>
      <c r="FA7" s="226"/>
      <c r="FB7" s="226"/>
      <c r="FC7" s="226"/>
      <c r="FD7" s="226"/>
      <c r="FE7" s="226"/>
      <c r="FF7" s="226"/>
      <c r="FG7" s="226"/>
      <c r="FH7" s="226"/>
      <c r="FI7" s="226"/>
      <c r="FJ7" s="226"/>
      <c r="FK7" s="226"/>
      <c r="FL7" s="226"/>
      <c r="FM7" s="226"/>
      <c r="FN7" s="226"/>
      <c r="FO7" s="226"/>
      <c r="FP7" s="226"/>
      <c r="FQ7" s="226"/>
      <c r="FR7" s="226"/>
      <c r="FS7" s="226"/>
      <c r="FT7" s="226"/>
      <c r="FU7" s="226"/>
      <c r="FV7" s="226"/>
      <c r="FW7" s="226"/>
      <c r="FX7" s="226"/>
      <c r="FY7" s="226"/>
      <c r="FZ7" s="226"/>
      <c r="GA7" s="226"/>
      <c r="GB7" s="226"/>
      <c r="GC7" s="226"/>
      <c r="GD7" s="226"/>
      <c r="GE7" s="226"/>
      <c r="GF7" s="226"/>
      <c r="GG7" s="226"/>
      <c r="GH7" s="226"/>
      <c r="GI7" s="226"/>
      <c r="GJ7" s="226"/>
      <c r="GK7" s="226"/>
      <c r="GL7" s="226"/>
      <c r="GM7" s="226"/>
      <c r="GN7" s="226"/>
      <c r="GO7" s="226"/>
      <c r="GP7" s="226"/>
      <c r="GQ7" s="226"/>
      <c r="GR7" s="226"/>
      <c r="GS7" s="226"/>
      <c r="GT7" s="226"/>
      <c r="GU7" s="226"/>
      <c r="GV7" s="226"/>
      <c r="GW7" s="226"/>
      <c r="GX7" s="226"/>
      <c r="GY7" s="226"/>
      <c r="GZ7" s="226"/>
      <c r="HA7" s="226"/>
      <c r="HB7" s="226"/>
      <c r="HC7" s="226"/>
      <c r="HD7" s="226"/>
      <c r="HE7" s="226"/>
      <c r="HF7" s="226"/>
      <c r="HG7" s="226"/>
      <c r="HH7" s="226"/>
      <c r="HI7" s="226"/>
      <c r="HJ7" s="226"/>
      <c r="HK7" s="226"/>
      <c r="HL7" s="226"/>
      <c r="HM7" s="226"/>
      <c r="HN7" s="226"/>
      <c r="HO7" s="226"/>
      <c r="HP7" s="226"/>
    </row>
    <row r="8" spans="1:224" ht="14.1" customHeight="1" x14ac:dyDescent="0.2">
      <c r="A8" s="231" t="s">
        <v>432</v>
      </c>
      <c r="B8" s="231" t="s">
        <v>438</v>
      </c>
      <c r="C8" s="227" t="s">
        <v>501</v>
      </c>
      <c r="D8" s="231" t="s">
        <v>448</v>
      </c>
      <c r="E8" s="232">
        <v>5120005547134</v>
      </c>
      <c r="F8" s="230" t="s">
        <v>490</v>
      </c>
      <c r="G8" s="233" t="s">
        <v>373</v>
      </c>
      <c r="H8" s="226"/>
      <c r="I8" s="226"/>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c r="BQ8" s="226"/>
      <c r="BR8" s="226"/>
      <c r="BS8" s="226"/>
      <c r="BT8" s="226"/>
      <c r="BU8" s="226"/>
      <c r="BV8" s="226"/>
      <c r="BW8" s="226"/>
      <c r="BX8" s="226"/>
      <c r="BY8" s="226"/>
      <c r="BZ8" s="226"/>
      <c r="CA8" s="226"/>
      <c r="CB8" s="226"/>
      <c r="CC8" s="226"/>
      <c r="CD8" s="226"/>
      <c r="CE8" s="226"/>
      <c r="CF8" s="226"/>
      <c r="CG8" s="226"/>
      <c r="CH8" s="226"/>
      <c r="CI8" s="226"/>
      <c r="CJ8" s="226"/>
      <c r="CK8" s="226"/>
      <c r="CL8" s="226"/>
      <c r="CM8" s="226"/>
      <c r="CN8" s="226"/>
      <c r="CO8" s="226"/>
      <c r="CP8" s="226"/>
      <c r="CQ8" s="226"/>
      <c r="CR8" s="226"/>
      <c r="CS8" s="226"/>
      <c r="CT8" s="226"/>
      <c r="CU8" s="226"/>
      <c r="CV8" s="226"/>
      <c r="CW8" s="226"/>
      <c r="CX8" s="226"/>
      <c r="CY8" s="226"/>
      <c r="CZ8" s="226"/>
      <c r="DA8" s="226"/>
      <c r="DB8" s="226"/>
      <c r="DC8" s="226"/>
      <c r="DD8" s="226"/>
      <c r="DE8" s="226"/>
      <c r="DF8" s="226"/>
      <c r="DG8" s="226"/>
      <c r="DH8" s="226"/>
      <c r="DI8" s="226"/>
      <c r="DJ8" s="226"/>
      <c r="DK8" s="226"/>
      <c r="DL8" s="226"/>
      <c r="DM8" s="226"/>
      <c r="DN8" s="226"/>
      <c r="DO8" s="226"/>
      <c r="DP8" s="226"/>
      <c r="DQ8" s="226"/>
      <c r="DR8" s="226"/>
      <c r="DS8" s="226"/>
      <c r="DT8" s="226"/>
      <c r="DU8" s="226"/>
      <c r="DV8" s="226"/>
      <c r="DW8" s="226"/>
      <c r="DX8" s="226"/>
      <c r="DY8" s="226"/>
      <c r="DZ8" s="226"/>
      <c r="EA8" s="226"/>
      <c r="EB8" s="226"/>
      <c r="EC8" s="226"/>
      <c r="ED8" s="226"/>
      <c r="EE8" s="226"/>
      <c r="EF8" s="226"/>
      <c r="EG8" s="226"/>
      <c r="EH8" s="226"/>
      <c r="EI8" s="226"/>
      <c r="EJ8" s="226"/>
      <c r="EK8" s="226"/>
      <c r="EL8" s="226"/>
      <c r="EM8" s="226"/>
      <c r="EN8" s="226"/>
      <c r="EO8" s="226"/>
      <c r="EP8" s="226"/>
      <c r="EQ8" s="226"/>
      <c r="ER8" s="226"/>
      <c r="ES8" s="226"/>
      <c r="ET8" s="226"/>
      <c r="EU8" s="226"/>
      <c r="EV8" s="226"/>
      <c r="EW8" s="226"/>
      <c r="EX8" s="226"/>
      <c r="EY8" s="226"/>
      <c r="EZ8" s="226"/>
      <c r="FA8" s="226"/>
      <c r="FB8" s="226"/>
      <c r="FC8" s="226"/>
      <c r="FD8" s="226"/>
      <c r="FE8" s="226"/>
      <c r="FF8" s="226"/>
      <c r="FG8" s="226"/>
      <c r="FH8" s="226"/>
      <c r="FI8" s="226"/>
      <c r="FJ8" s="226"/>
      <c r="FK8" s="226"/>
      <c r="FL8" s="226"/>
      <c r="FM8" s="226"/>
      <c r="FN8" s="226"/>
      <c r="FO8" s="226"/>
      <c r="FP8" s="226"/>
      <c r="FQ8" s="226"/>
      <c r="FR8" s="226"/>
      <c r="FS8" s="226"/>
      <c r="FT8" s="226"/>
      <c r="FU8" s="226"/>
      <c r="FV8" s="226"/>
      <c r="FW8" s="226"/>
      <c r="FX8" s="226"/>
      <c r="FY8" s="226"/>
      <c r="FZ8" s="226"/>
      <c r="GA8" s="226"/>
      <c r="GB8" s="226"/>
      <c r="GC8" s="226"/>
      <c r="GD8" s="226"/>
      <c r="GE8" s="226"/>
      <c r="GF8" s="226"/>
      <c r="GG8" s="226"/>
      <c r="GH8" s="226"/>
      <c r="GI8" s="226"/>
      <c r="GJ8" s="226"/>
      <c r="GK8" s="226"/>
      <c r="GL8" s="226"/>
      <c r="GM8" s="226"/>
      <c r="GN8" s="226"/>
      <c r="GO8" s="226"/>
      <c r="GP8" s="226"/>
      <c r="GQ8" s="226"/>
      <c r="GR8" s="226"/>
      <c r="GS8" s="226"/>
      <c r="GT8" s="226"/>
      <c r="GU8" s="226"/>
      <c r="GV8" s="226"/>
      <c r="GW8" s="226"/>
      <c r="GX8" s="226"/>
      <c r="GY8" s="226"/>
      <c r="GZ8" s="226"/>
      <c r="HA8" s="226"/>
      <c r="HB8" s="226"/>
      <c r="HC8" s="226"/>
      <c r="HD8" s="226"/>
      <c r="HE8" s="226"/>
      <c r="HF8" s="226"/>
      <c r="HG8" s="226"/>
      <c r="HH8" s="226"/>
      <c r="HI8" s="226"/>
      <c r="HJ8" s="226"/>
      <c r="HK8" s="226"/>
      <c r="HL8" s="226"/>
      <c r="HM8" s="226"/>
      <c r="HN8" s="226"/>
      <c r="HO8" s="226"/>
      <c r="HP8" s="226"/>
    </row>
    <row r="9" spans="1:224" ht="14.1" customHeight="1" x14ac:dyDescent="0.2">
      <c r="A9" s="234" t="s">
        <v>39</v>
      </c>
      <c r="B9" s="235" t="s">
        <v>203</v>
      </c>
      <c r="C9" s="235" t="s">
        <v>40</v>
      </c>
      <c r="D9" s="236" t="s">
        <v>41</v>
      </c>
      <c r="E9" s="237">
        <v>6685001691663</v>
      </c>
      <c r="F9" s="238" t="s">
        <v>654</v>
      </c>
      <c r="G9" s="239" t="s">
        <v>655</v>
      </c>
    </row>
    <row r="10" spans="1:224" ht="14.1" customHeight="1" x14ac:dyDescent="0.2">
      <c r="A10" s="240" t="s">
        <v>42</v>
      </c>
      <c r="B10" s="241" t="s">
        <v>204</v>
      </c>
      <c r="C10" s="242" t="s">
        <v>43</v>
      </c>
      <c r="D10" s="243" t="s">
        <v>41</v>
      </c>
      <c r="E10" s="244">
        <v>6685001691662</v>
      </c>
      <c r="F10" s="245" t="s">
        <v>654</v>
      </c>
      <c r="G10" s="245" t="s">
        <v>655</v>
      </c>
    </row>
    <row r="11" spans="1:224" ht="14.1" customHeight="1" x14ac:dyDescent="0.2">
      <c r="A11" s="240" t="s">
        <v>44</v>
      </c>
      <c r="B11" s="241" t="s">
        <v>205</v>
      </c>
      <c r="C11" s="242" t="s">
        <v>45</v>
      </c>
      <c r="D11" s="243" t="s">
        <v>41</v>
      </c>
      <c r="E11" s="244">
        <v>6685001691661</v>
      </c>
      <c r="F11" s="245" t="s">
        <v>654</v>
      </c>
      <c r="G11" s="239" t="s">
        <v>655</v>
      </c>
    </row>
    <row r="12" spans="1:224" ht="14.1" customHeight="1" x14ac:dyDescent="0.2">
      <c r="A12" s="210" t="s">
        <v>579</v>
      </c>
      <c r="B12" s="210" t="s">
        <v>578</v>
      </c>
      <c r="E12" s="210" t="s">
        <v>576</v>
      </c>
      <c r="F12" s="210" t="s">
        <v>577</v>
      </c>
      <c r="O12" s="210">
        <v>40470</v>
      </c>
      <c r="P12" s="210">
        <v>365</v>
      </c>
      <c r="Q12" s="210">
        <v>40835</v>
      </c>
      <c r="S12" s="210">
        <v>-92.654934143516584</v>
      </c>
      <c r="T12" s="210">
        <v>0</v>
      </c>
      <c r="U12" s="210">
        <v>0</v>
      </c>
      <c r="V12" s="210">
        <v>0</v>
      </c>
      <c r="W12" s="210" t="s">
        <v>635</v>
      </c>
      <c r="AA12" s="210" t="s">
        <v>735</v>
      </c>
      <c r="AB12" s="210" t="s">
        <v>371</v>
      </c>
    </row>
    <row r="13" spans="1:224" ht="14.1" customHeight="1" x14ac:dyDescent="0.2">
      <c r="A13" s="210" t="s">
        <v>335</v>
      </c>
      <c r="B13" s="210" t="s">
        <v>332</v>
      </c>
      <c r="D13" s="210" t="s">
        <v>499</v>
      </c>
      <c r="E13" s="210" t="s">
        <v>427</v>
      </c>
      <c r="F13" s="210" t="s">
        <v>5</v>
      </c>
      <c r="G13" s="210">
        <v>5120007761841</v>
      </c>
      <c r="O13" s="210">
        <v>40644</v>
      </c>
      <c r="P13" s="210">
        <v>180</v>
      </c>
      <c r="Q13" s="210">
        <v>40824</v>
      </c>
      <c r="S13" s="210">
        <v>-103.65525277777488</v>
      </c>
      <c r="T13" s="210">
        <v>0</v>
      </c>
      <c r="U13" s="210">
        <v>0</v>
      </c>
      <c r="V13" s="210">
        <v>0</v>
      </c>
      <c r="W13" s="210" t="s">
        <v>635</v>
      </c>
      <c r="Z13" s="210" t="s">
        <v>398</v>
      </c>
      <c r="AA13" s="210" t="s">
        <v>708</v>
      </c>
      <c r="AB13" s="210" t="s">
        <v>373</v>
      </c>
    </row>
    <row r="15" spans="1:224" ht="14.1" customHeight="1" x14ac:dyDescent="0.2">
      <c r="A15" s="210" t="s">
        <v>16</v>
      </c>
      <c r="B15" s="210" t="s">
        <v>17</v>
      </c>
      <c r="C15" s="210" t="s">
        <v>350</v>
      </c>
      <c r="D15" s="210" t="s">
        <v>12</v>
      </c>
      <c r="E15" s="229">
        <v>4920012083635</v>
      </c>
      <c r="F15" s="210">
        <v>40526</v>
      </c>
      <c r="G15" s="210">
        <v>270</v>
      </c>
      <c r="H15" s="210">
        <v>40796</v>
      </c>
      <c r="I15" s="210" t="s">
        <v>739</v>
      </c>
      <c r="J15" s="210" t="s">
        <v>635</v>
      </c>
      <c r="M15" s="210" t="s">
        <v>398</v>
      </c>
      <c r="N15" s="210" t="s">
        <v>738</v>
      </c>
      <c r="O15" s="210" t="s">
        <v>693</v>
      </c>
    </row>
    <row r="16" spans="1:224" ht="14.1" customHeight="1" x14ac:dyDescent="0.2">
      <c r="A16" s="210" t="s">
        <v>459</v>
      </c>
      <c r="B16" s="210" t="s">
        <v>441</v>
      </c>
      <c r="C16" s="210" t="s">
        <v>473</v>
      </c>
      <c r="D16" s="210" t="s">
        <v>442</v>
      </c>
      <c r="E16" s="229">
        <v>6635005301128</v>
      </c>
      <c r="F16" s="210" t="s">
        <v>432</v>
      </c>
      <c r="G16" s="210" t="s">
        <v>432</v>
      </c>
      <c r="H16" s="210" t="s">
        <v>432</v>
      </c>
      <c r="I16" s="210" t="e">
        <v>#VALUE!</v>
      </c>
      <c r="M16" s="210" t="s">
        <v>398</v>
      </c>
      <c r="N16" s="210" t="s">
        <v>1454</v>
      </c>
      <c r="O16" s="210" t="s">
        <v>373</v>
      </c>
    </row>
    <row r="17" spans="1:38" ht="14.1" customHeight="1" x14ac:dyDescent="0.2">
      <c r="A17" s="210" t="s">
        <v>478</v>
      </c>
      <c r="B17" s="210" t="s">
        <v>478</v>
      </c>
      <c r="C17" s="210" t="s">
        <v>141</v>
      </c>
      <c r="D17" s="210" t="s">
        <v>142</v>
      </c>
      <c r="E17" s="229">
        <v>6685008514577</v>
      </c>
      <c r="F17" s="210">
        <v>40667</v>
      </c>
      <c r="G17" s="210">
        <v>1080</v>
      </c>
      <c r="H17" s="210">
        <v>41747</v>
      </c>
      <c r="I17" s="210" t="s">
        <v>352</v>
      </c>
      <c r="M17" s="210" t="s">
        <v>398</v>
      </c>
      <c r="N17" s="210" t="s">
        <v>1455</v>
      </c>
      <c r="O17" s="210" t="s">
        <v>373</v>
      </c>
    </row>
    <row r="18" spans="1:38" ht="14.1" customHeight="1" x14ac:dyDescent="0.2">
      <c r="A18" s="210" t="s">
        <v>479</v>
      </c>
      <c r="B18" s="210" t="s">
        <v>479</v>
      </c>
      <c r="C18" s="210" t="s">
        <v>141</v>
      </c>
      <c r="D18" s="210" t="s">
        <v>142</v>
      </c>
      <c r="E18" s="229">
        <v>6685008514577</v>
      </c>
      <c r="F18" s="210">
        <v>40667</v>
      </c>
      <c r="G18" s="210">
        <v>1080</v>
      </c>
      <c r="H18" s="210">
        <v>41747</v>
      </c>
      <c r="I18" s="210" t="s">
        <v>352</v>
      </c>
      <c r="M18" s="210" t="s">
        <v>398</v>
      </c>
      <c r="N18" s="210" t="s">
        <v>1456</v>
      </c>
      <c r="O18" s="210" t="s">
        <v>373</v>
      </c>
    </row>
    <row r="19" spans="1:38" ht="14.1" customHeight="1" x14ac:dyDescent="0.2">
      <c r="A19" s="246" t="s">
        <v>360</v>
      </c>
      <c r="B19" s="247" t="s">
        <v>347</v>
      </c>
      <c r="C19" s="247" t="s">
        <v>399</v>
      </c>
      <c r="D19" s="248" t="s">
        <v>100</v>
      </c>
      <c r="E19" s="249">
        <v>40952</v>
      </c>
      <c r="F19" s="248">
        <v>360</v>
      </c>
      <c r="G19" s="249">
        <v>41312</v>
      </c>
      <c r="H19" s="250" t="s">
        <v>352</v>
      </c>
      <c r="I19" s="251"/>
      <c r="J19" s="252"/>
      <c r="K19" s="252"/>
      <c r="L19" s="252" t="s">
        <v>398</v>
      </c>
      <c r="M19" s="249"/>
      <c r="N19" s="249" t="s">
        <v>1461</v>
      </c>
    </row>
    <row r="20" spans="1:38" ht="14.1" customHeight="1" x14ac:dyDescent="0.2">
      <c r="A20" s="246" t="s">
        <v>732</v>
      </c>
      <c r="B20" s="247" t="s">
        <v>727</v>
      </c>
      <c r="C20" s="247" t="s">
        <v>717</v>
      </c>
      <c r="D20" s="247" t="s">
        <v>718</v>
      </c>
      <c r="E20" s="249" t="s">
        <v>800</v>
      </c>
      <c r="F20" s="248">
        <v>1080</v>
      </c>
      <c r="G20" s="249" t="e">
        <v>#VALUE!</v>
      </c>
      <c r="H20" s="250" t="e">
        <v>#VALUE!</v>
      </c>
      <c r="I20" s="251"/>
      <c r="J20" s="252"/>
      <c r="K20" s="252"/>
      <c r="L20" s="252" t="s">
        <v>398</v>
      </c>
      <c r="M20" s="249"/>
      <c r="N20" s="249" t="s">
        <v>1462</v>
      </c>
    </row>
    <row r="21" spans="1:38" ht="14.1" customHeight="1" x14ac:dyDescent="0.2">
      <c r="A21" s="246" t="s">
        <v>295</v>
      </c>
      <c r="B21" s="247"/>
      <c r="C21" s="247" t="s">
        <v>295</v>
      </c>
      <c r="D21" s="247" t="s">
        <v>285</v>
      </c>
      <c r="E21" s="248" t="s">
        <v>41</v>
      </c>
      <c r="F21" s="252">
        <v>6685000000000</v>
      </c>
      <c r="G21" s="253" t="s">
        <v>842</v>
      </c>
      <c r="H21" s="248">
        <v>840</v>
      </c>
      <c r="I21" s="249" t="e">
        <v>#VALUE!</v>
      </c>
      <c r="J21" s="249"/>
      <c r="K21" s="252"/>
      <c r="L21" s="252"/>
      <c r="M21" s="252" t="s">
        <v>398</v>
      </c>
      <c r="N21" s="249" t="s">
        <v>1463</v>
      </c>
      <c r="O21" s="247" t="s">
        <v>372</v>
      </c>
    </row>
    <row r="22" spans="1:38" ht="14.1" customHeight="1" x14ac:dyDescent="0.2">
      <c r="A22" s="246" t="s">
        <v>83</v>
      </c>
      <c r="B22" s="247"/>
      <c r="C22" s="247" t="s">
        <v>84</v>
      </c>
      <c r="D22" s="248"/>
      <c r="E22" s="248" t="s">
        <v>499</v>
      </c>
      <c r="F22" s="247" t="s">
        <v>85</v>
      </c>
      <c r="G22" s="247"/>
      <c r="H22" s="248" t="s">
        <v>41</v>
      </c>
      <c r="I22" s="252">
        <v>6685008469720</v>
      </c>
      <c r="J22" s="248"/>
      <c r="K22" s="248"/>
      <c r="L22" s="248"/>
      <c r="M22" s="248"/>
      <c r="N22" s="248"/>
      <c r="O22" s="248"/>
      <c r="P22" s="248"/>
      <c r="Q22" s="253" t="s">
        <v>842</v>
      </c>
      <c r="R22" s="248">
        <v>1080</v>
      </c>
      <c r="S22" s="249" t="e">
        <f>IF(R22="cnr","CNR",IF(R22="CBU", "CBU",Q22+R22))</f>
        <v>#VALUE!</v>
      </c>
      <c r="T22" s="250" t="e">
        <f>IF(W22=1,"",IF(U22&lt;1,"DEL",""))</f>
        <v>#VALUE!</v>
      </c>
      <c r="U22" s="252" t="e">
        <f>IF(R22="CBU","",IF(R22="CNR","",SUM(S22-#REF!)))</f>
        <v>#VALUE!</v>
      </c>
      <c r="V22" s="252">
        <f>COUNTIF(T22,"Del")</f>
        <v>0</v>
      </c>
      <c r="W22" s="252">
        <f>COUNTIF(Y22,"*at lab*")</f>
        <v>0</v>
      </c>
      <c r="X22" s="252">
        <f>SUM(V22:W22)</f>
        <v>0</v>
      </c>
      <c r="Y22" s="251"/>
      <c r="Z22" s="254" t="e">
        <f>S22</f>
        <v>#VALUE!</v>
      </c>
      <c r="AA22" s="296" t="str">
        <f>IF(AL22,MONTH(Z22),"")</f>
        <v/>
      </c>
      <c r="AB22" s="296" t="str">
        <f>IF(AL22,YEAR(Z22),"")</f>
        <v/>
      </c>
      <c r="AC22" s="255" t="str">
        <f>CONCATENATE(AA22,AB22)</f>
        <v/>
      </c>
      <c r="AD22" s="252"/>
      <c r="AE22" s="252"/>
      <c r="AF22" s="252" t="s">
        <v>398</v>
      </c>
      <c r="AG22" s="249" t="s">
        <v>1451</v>
      </c>
      <c r="AH22" s="247" t="s">
        <v>675</v>
      </c>
    </row>
    <row r="23" spans="1:38" ht="14.1" customHeight="1" x14ac:dyDescent="0.2">
      <c r="C23" s="210">
        <v>999</v>
      </c>
      <c r="D23" s="210" t="s">
        <v>226</v>
      </c>
      <c r="E23" s="210" t="s">
        <v>506</v>
      </c>
      <c r="F23" s="210" t="s">
        <v>162</v>
      </c>
      <c r="H23" s="210" t="s">
        <v>163</v>
      </c>
      <c r="I23" s="210">
        <v>5950006179242</v>
      </c>
      <c r="Q23" s="210" t="s">
        <v>138</v>
      </c>
      <c r="R23" s="210" t="s">
        <v>138</v>
      </c>
      <c r="S23" s="210" t="s">
        <v>138</v>
      </c>
      <c r="T23" s="210" t="s">
        <v>352</v>
      </c>
      <c r="U23" s="210" t="s">
        <v>352</v>
      </c>
      <c r="V23" s="210">
        <v>0</v>
      </c>
      <c r="W23" s="210">
        <v>0</v>
      </c>
      <c r="X23" s="210">
        <v>0</v>
      </c>
      <c r="Z23" s="210" t="s">
        <v>138</v>
      </c>
      <c r="AA23" s="210" t="e">
        <v>#VALUE!</v>
      </c>
      <c r="AB23" s="210" t="e">
        <v>#VALUE!</v>
      </c>
      <c r="AC23" s="210" t="e">
        <v>#VALUE!</v>
      </c>
      <c r="AG23" s="210" t="s">
        <v>829</v>
      </c>
      <c r="AH23" s="210" t="s">
        <v>369</v>
      </c>
      <c r="AI23" s="210" t="e">
        <v>#VALUE!</v>
      </c>
      <c r="AJ23" s="210" t="e">
        <v>#VALUE!</v>
      </c>
      <c r="AK23" s="210" t="e">
        <v>#VALUE!</v>
      </c>
      <c r="AL23" s="210" t="b">
        <v>1</v>
      </c>
    </row>
    <row r="24" spans="1:38" ht="14.1" customHeight="1" x14ac:dyDescent="0.2">
      <c r="A24" s="256" t="s">
        <v>591</v>
      </c>
      <c r="B24" s="249"/>
      <c r="C24" s="247" t="s">
        <v>564</v>
      </c>
      <c r="D24" s="247"/>
      <c r="E24" s="247"/>
      <c r="F24" s="247" t="s">
        <v>618</v>
      </c>
      <c r="G24" s="247" t="s">
        <v>557</v>
      </c>
      <c r="H24" s="252">
        <v>5120000000000</v>
      </c>
      <c r="I24" s="249" t="s">
        <v>843</v>
      </c>
      <c r="J24" s="248">
        <v>180</v>
      </c>
      <c r="K24" s="249" t="e">
        <v>#VALUE!</v>
      </c>
      <c r="L24" s="250" t="e">
        <v>#VALUE!</v>
      </c>
      <c r="M24" s="249"/>
      <c r="N24" s="254" t="e">
        <v>#VALUE!</v>
      </c>
      <c r="O24" s="252"/>
      <c r="P24" s="252"/>
      <c r="Q24" s="252" t="s">
        <v>398</v>
      </c>
      <c r="R24" s="249" t="s">
        <v>883</v>
      </c>
      <c r="S24" s="247" t="s">
        <v>664</v>
      </c>
    </row>
    <row r="25" spans="1:38" ht="14.1" customHeight="1" x14ac:dyDescent="0.2">
      <c r="A25" s="246" t="s">
        <v>636</v>
      </c>
      <c r="B25" s="247"/>
      <c r="C25" s="247" t="s">
        <v>626</v>
      </c>
      <c r="D25" s="247" t="s">
        <v>226</v>
      </c>
      <c r="E25" s="247" t="s">
        <v>754</v>
      </c>
      <c r="F25" s="247" t="s">
        <v>627</v>
      </c>
      <c r="G25" s="247"/>
      <c r="H25" s="247" t="s">
        <v>628</v>
      </c>
      <c r="I25" s="252">
        <v>6625012769421</v>
      </c>
      <c r="J25" s="257"/>
      <c r="K25" s="257"/>
      <c r="L25" s="257"/>
      <c r="M25" s="257"/>
      <c r="N25" s="248"/>
      <c r="O25" s="248"/>
      <c r="P25" s="248"/>
      <c r="Q25" s="249" t="s">
        <v>843</v>
      </c>
      <c r="R25" s="248">
        <v>390</v>
      </c>
      <c r="S25" s="249" t="s">
        <v>843</v>
      </c>
      <c r="T25" s="250" t="e">
        <f>IF(W25=1,"",IF(U25&lt;1,"DEL",""))</f>
        <v>#VALUE!</v>
      </c>
      <c r="U25" s="252" t="e">
        <f>IF(R25="CBU","",IF(R25="CNR","",SUM(S25-#REF!)))</f>
        <v>#VALUE!</v>
      </c>
      <c r="V25" s="252">
        <f>COUNTIF(T25,"Del")</f>
        <v>0</v>
      </c>
      <c r="W25" s="252">
        <f>COUNTIF(Y25,"*at lab*")</f>
        <v>0</v>
      </c>
      <c r="X25" s="252">
        <f>SUM(V25:W25)</f>
        <v>0</v>
      </c>
      <c r="Y25" s="249"/>
      <c r="Z25" s="254" t="str">
        <f>S25</f>
        <v>Code Out</v>
      </c>
      <c r="AA25" s="296" t="str">
        <f>IF(AL25,MONTH(Z25),"")</f>
        <v/>
      </c>
      <c r="AB25" s="296" t="str">
        <f>IF(AL25,YEAR(Z25),"")</f>
        <v/>
      </c>
      <c r="AC25" s="255" t="str">
        <f>CONCATENATE(AA25,AB25)</f>
        <v/>
      </c>
      <c r="AD25" s="252"/>
      <c r="AE25" s="252"/>
      <c r="AF25" s="252" t="s">
        <v>398</v>
      </c>
      <c r="AG25" s="249" t="s">
        <v>884</v>
      </c>
      <c r="AH25" s="247" t="s">
        <v>367</v>
      </c>
    </row>
    <row r="26" spans="1:38" ht="14.1" customHeight="1" x14ac:dyDescent="0.2">
      <c r="A26" s="246" t="s">
        <v>3</v>
      </c>
      <c r="B26" s="247"/>
      <c r="C26" s="247" t="s">
        <v>4</v>
      </c>
      <c r="D26" s="258" t="s">
        <v>612</v>
      </c>
      <c r="E26" s="248" t="s">
        <v>5</v>
      </c>
      <c r="F26" s="252" t="s">
        <v>518</v>
      </c>
      <c r="G26" s="249">
        <v>41008</v>
      </c>
      <c r="H26" s="248">
        <v>180</v>
      </c>
      <c r="I26" s="249" t="s">
        <v>843</v>
      </c>
      <c r="J26" s="250" t="e">
        <v>#VALUE!</v>
      </c>
      <c r="K26" s="249"/>
      <c r="L26" s="252"/>
      <c r="M26" s="252"/>
      <c r="N26" s="252" t="s">
        <v>398</v>
      </c>
      <c r="O26" s="249" t="s">
        <v>896</v>
      </c>
      <c r="P26" s="247" t="s">
        <v>686</v>
      </c>
    </row>
    <row r="27" spans="1:38" ht="14.1" customHeight="1" x14ac:dyDescent="0.2">
      <c r="A27" s="246" t="s">
        <v>186</v>
      </c>
      <c r="B27" s="247"/>
      <c r="C27" s="247" t="s">
        <v>713</v>
      </c>
      <c r="D27" s="247"/>
      <c r="E27" s="247"/>
      <c r="F27" s="247" t="s">
        <v>714</v>
      </c>
      <c r="G27" s="247"/>
      <c r="H27" s="247" t="s">
        <v>142</v>
      </c>
      <c r="I27" s="252">
        <v>41000000000</v>
      </c>
      <c r="J27" s="257"/>
      <c r="K27" s="257"/>
      <c r="L27" s="257"/>
      <c r="M27" s="257"/>
      <c r="N27" s="248"/>
      <c r="O27" s="248"/>
      <c r="P27" s="248"/>
      <c r="Q27" s="249">
        <v>41092</v>
      </c>
      <c r="R27" s="248">
        <v>1080</v>
      </c>
      <c r="S27" s="259">
        <f>IF(Q27="cnr","CNR",IF(Q27="CBU", "CBU",IF(Q27="Code Out","Code Out",Q27+R27)))</f>
        <v>42172</v>
      </c>
      <c r="T27" s="260" t="e">
        <f>IF(W27=1,"",IF(U27&lt;1,"DEL",""))</f>
        <v>#REF!</v>
      </c>
      <c r="U27" s="252" t="e">
        <f>IF(Q27="CBU","",IF(Q27="CNR","",IF(Q27="Code Out","",SUM(S27-#REF!))))</f>
        <v>#REF!</v>
      </c>
      <c r="V27" s="252">
        <f>COUNTIF(T27,"Del")</f>
        <v>0</v>
      </c>
      <c r="W27" s="252">
        <f>COUNTIF(Y27,"*at lab*")</f>
        <v>0</v>
      </c>
      <c r="X27" s="252">
        <f>SUM(V27:W27)</f>
        <v>0</v>
      </c>
      <c r="Y27" s="249" t="s">
        <v>635</v>
      </c>
      <c r="Z27" s="254">
        <f>S27</f>
        <v>42172</v>
      </c>
      <c r="AA27" s="296" t="str">
        <f>IF(AL27,MONTH(Z27),"")</f>
        <v/>
      </c>
      <c r="AB27" s="296" t="str">
        <f>IF(AL27,YEAR(Z27),"")</f>
        <v/>
      </c>
      <c r="AC27" s="255" t="str">
        <f>CONCATENATE(AA27,AB27)</f>
        <v/>
      </c>
      <c r="AD27" s="252"/>
      <c r="AE27" s="252"/>
      <c r="AF27" s="252" t="s">
        <v>398</v>
      </c>
      <c r="AG27" s="253" t="s">
        <v>1452</v>
      </c>
      <c r="AH27" s="250" t="s">
        <v>814</v>
      </c>
    </row>
    <row r="28" spans="1:38" ht="14.1" customHeight="1" x14ac:dyDescent="0.2">
      <c r="A28" s="246" t="s">
        <v>88</v>
      </c>
      <c r="B28" s="247"/>
      <c r="C28" s="247" t="s">
        <v>89</v>
      </c>
      <c r="D28" s="248"/>
      <c r="E28" s="248" t="s">
        <v>499</v>
      </c>
      <c r="F28" s="247" t="s">
        <v>90</v>
      </c>
      <c r="G28" s="247"/>
      <c r="H28" s="248" t="s">
        <v>91</v>
      </c>
      <c r="I28" s="252">
        <v>5210010104522</v>
      </c>
      <c r="J28" s="248"/>
      <c r="K28" s="248"/>
      <c r="L28" s="248"/>
      <c r="M28" s="248"/>
      <c r="N28" s="248"/>
      <c r="O28" s="248"/>
      <c r="P28" s="248"/>
      <c r="Q28" s="249">
        <v>40288</v>
      </c>
      <c r="R28" s="248">
        <v>1080</v>
      </c>
      <c r="S28" s="259">
        <f>IF(Q28="cnr","CNR",IF(Q28="CBU", "CBU",IF(Q28="Code Out","Code Out",Q28+R28)))</f>
        <v>41368</v>
      </c>
      <c r="T28" s="260" t="e">
        <f>IF(W28=1,"",IF(U28&lt;1,"DEL",""))</f>
        <v>#REF!</v>
      </c>
      <c r="U28" s="252" t="e">
        <f>IF(Q28="CBU","",IF(Q28="CNR","",IF(Q28="Code Out","",SUM(S28-#REF!))))</f>
        <v>#REF!</v>
      </c>
      <c r="V28" s="252">
        <f>COUNTIF(T28,"Del")</f>
        <v>0</v>
      </c>
      <c r="W28" s="252">
        <f>COUNTIF(Y28,"*at lab*")</f>
        <v>0</v>
      </c>
      <c r="X28" s="252">
        <f>SUM(V28:W28)</f>
        <v>0</v>
      </c>
      <c r="Y28" s="251" t="s">
        <v>635</v>
      </c>
      <c r="Z28" s="254">
        <f>S28</f>
        <v>41368</v>
      </c>
      <c r="AA28" s="296" t="str">
        <f>IF(AL28,MONTH(Z28),"")</f>
        <v/>
      </c>
      <c r="AB28" s="296" t="str">
        <f>IF(AL28,YEAR(Z28),"")</f>
        <v/>
      </c>
      <c r="AC28" s="255" t="str">
        <f>CONCATENATE(AA28,AB28)</f>
        <v/>
      </c>
      <c r="AD28" s="252"/>
      <c r="AE28" s="252"/>
      <c r="AF28" s="252" t="s">
        <v>398</v>
      </c>
      <c r="AG28" s="249" t="s">
        <v>1453</v>
      </c>
      <c r="AH28" s="247" t="s">
        <v>736</v>
      </c>
    </row>
    <row r="29" spans="1:38" ht="14.1" customHeight="1" x14ac:dyDescent="0.2">
      <c r="A29" s="246" t="s">
        <v>461</v>
      </c>
      <c r="B29" s="247"/>
      <c r="C29" s="247" t="s">
        <v>440</v>
      </c>
      <c r="D29" s="247"/>
      <c r="E29" s="248" t="s">
        <v>517</v>
      </c>
      <c r="F29" s="247" t="s">
        <v>472</v>
      </c>
      <c r="G29" s="247"/>
      <c r="H29" s="247" t="s">
        <v>442</v>
      </c>
      <c r="I29" s="252">
        <v>6635005301128</v>
      </c>
      <c r="J29" s="257"/>
      <c r="K29" s="257"/>
      <c r="L29" s="257"/>
      <c r="M29" s="257"/>
      <c r="N29" s="248"/>
      <c r="O29" s="248"/>
      <c r="P29" s="248"/>
      <c r="Q29" s="249">
        <v>40674</v>
      </c>
      <c r="R29" s="248">
        <v>690</v>
      </c>
      <c r="S29" s="259">
        <f>IF(Q29="cnr","CNR",IF(Q29="CBU", "CBU",IF(Q29="Code Out","Code Out",Q29+R29)))</f>
        <v>41364</v>
      </c>
      <c r="T29" s="260" t="e">
        <f>IF(W29=1,"",IF(U29&lt;1,"DEL",""))</f>
        <v>#REF!</v>
      </c>
      <c r="U29" s="252" t="e">
        <f>IF(Q29="CBU","",IF(Q29="CNR","",IF(Q29="Code Out","",SUM(S29-#REF!))))</f>
        <v>#REF!</v>
      </c>
      <c r="V29" s="252">
        <f>COUNTIF(T29,"Del")</f>
        <v>0</v>
      </c>
      <c r="W29" s="252">
        <f>COUNTIF(Y29,"*at lab*")</f>
        <v>0</v>
      </c>
      <c r="X29" s="252">
        <f>SUM(V29:W29)</f>
        <v>0</v>
      </c>
      <c r="Y29" s="251" t="s">
        <v>635</v>
      </c>
      <c r="Z29" s="254">
        <f>S29</f>
        <v>41364</v>
      </c>
      <c r="AA29" s="296" t="str">
        <f>IF(AL29,MONTH(Z29),"")</f>
        <v/>
      </c>
      <c r="AB29" s="296" t="str">
        <f>IF(AL29,YEAR(Z29),"")</f>
        <v/>
      </c>
      <c r="AC29" s="255" t="str">
        <f>CONCATENATE(AA29,AB29)</f>
        <v/>
      </c>
      <c r="AD29" s="252"/>
      <c r="AE29" s="252"/>
      <c r="AF29" s="252" t="s">
        <v>398</v>
      </c>
      <c r="AG29" s="253" t="s">
        <v>914</v>
      </c>
      <c r="AH29" s="250" t="s">
        <v>667</v>
      </c>
    </row>
    <row r="30" spans="1:38" ht="14.1" customHeight="1" x14ac:dyDescent="0.2">
      <c r="A30" s="246" t="s">
        <v>432</v>
      </c>
      <c r="B30" s="247"/>
      <c r="C30" s="247" t="s">
        <v>915</v>
      </c>
      <c r="D30" s="247" t="s">
        <v>916</v>
      </c>
      <c r="E30" s="247" t="s">
        <v>917</v>
      </c>
      <c r="F30" s="252"/>
      <c r="G30" s="249" t="s">
        <v>138</v>
      </c>
      <c r="H30" s="248" t="s">
        <v>138</v>
      </c>
      <c r="I30" s="259" t="s">
        <v>138</v>
      </c>
      <c r="J30" s="260"/>
      <c r="K30" s="251"/>
      <c r="L30" s="252"/>
      <c r="M30" s="252"/>
      <c r="N30" s="252" t="s">
        <v>912</v>
      </c>
      <c r="O30" s="249" t="s">
        <v>953</v>
      </c>
      <c r="P30" s="250"/>
    </row>
    <row r="31" spans="1:38" ht="14.1" customHeight="1" x14ac:dyDescent="0.2">
      <c r="A31" s="246" t="s">
        <v>277</v>
      </c>
      <c r="B31" s="247"/>
      <c r="C31" s="247" t="s">
        <v>277</v>
      </c>
      <c r="D31" s="247" t="s">
        <v>286</v>
      </c>
      <c r="E31" s="248" t="s">
        <v>274</v>
      </c>
      <c r="F31" s="252">
        <v>6685000000000</v>
      </c>
      <c r="G31" s="249" t="s">
        <v>843</v>
      </c>
      <c r="H31" s="248">
        <v>1080</v>
      </c>
      <c r="I31" s="259" t="s">
        <v>843</v>
      </c>
      <c r="J31" s="260" t="s">
        <v>352</v>
      </c>
      <c r="K31" s="249"/>
      <c r="L31" s="252"/>
      <c r="M31" s="252"/>
      <c r="N31" s="252" t="s">
        <v>398</v>
      </c>
      <c r="O31" s="249" t="s">
        <v>954</v>
      </c>
      <c r="P31" s="247" t="s">
        <v>680</v>
      </c>
    </row>
    <row r="32" spans="1:38" ht="14.1" customHeight="1" x14ac:dyDescent="0.2">
      <c r="A32" s="246" t="s">
        <v>710</v>
      </c>
      <c r="B32" s="247"/>
      <c r="C32" s="247">
        <v>611043346</v>
      </c>
      <c r="D32" s="247"/>
      <c r="E32" s="247"/>
      <c r="F32" s="247" t="s">
        <v>797</v>
      </c>
      <c r="G32" s="247"/>
      <c r="H32" s="247" t="s">
        <v>557</v>
      </c>
      <c r="I32" s="252">
        <v>5120013965931</v>
      </c>
      <c r="J32" s="257"/>
      <c r="K32" s="257"/>
      <c r="L32" s="257"/>
      <c r="M32" s="257"/>
      <c r="N32" s="248"/>
      <c r="O32" s="248"/>
      <c r="P32" s="248"/>
      <c r="Q32" s="249" t="s">
        <v>843</v>
      </c>
      <c r="R32" s="248" t="s">
        <v>843</v>
      </c>
      <c r="S32" s="259" t="str">
        <f>IF(Q32="cnr","CNR",IF(Q32="CBU", "CBU",IF(Q32="Code Out","Code Out",Q32+R32)))</f>
        <v>Code Out</v>
      </c>
      <c r="T32" s="260"/>
      <c r="U32" s="252" t="str">
        <f>IF(Q32="CBU","",IF(Q32="CNR","",IF(Q32="Code Out","",SUM(S32-#REF!))))</f>
        <v/>
      </c>
      <c r="V32" s="252">
        <f>COUNTIF(T32,"Del")</f>
        <v>0</v>
      </c>
      <c r="W32" s="252">
        <f>COUNTIF(Y32,"*at lab*")</f>
        <v>0</v>
      </c>
      <c r="X32" s="252">
        <f>SUM(V32:W32)</f>
        <v>0</v>
      </c>
      <c r="Y32" s="249"/>
      <c r="Z32" s="254" t="str">
        <f>S32</f>
        <v>Code Out</v>
      </c>
      <c r="AA32" s="296" t="str">
        <f>IF(AL32,MONTH(Z32),"")</f>
        <v/>
      </c>
      <c r="AB32" s="296" t="str">
        <f>IF(AL32,YEAR(Z32),"")</f>
        <v/>
      </c>
      <c r="AC32" s="255" t="str">
        <f>CONCATENATE(AA32,AB32)</f>
        <v/>
      </c>
      <c r="AD32" s="252"/>
      <c r="AE32" s="252"/>
      <c r="AF32" s="252" t="s">
        <v>398</v>
      </c>
      <c r="AG32" s="249" t="s">
        <v>922</v>
      </c>
      <c r="AH32" s="250" t="s">
        <v>814</v>
      </c>
    </row>
    <row r="33" spans="1:233" ht="14.1" customHeight="1" x14ac:dyDescent="0.2">
      <c r="A33" s="261" t="s">
        <v>731</v>
      </c>
      <c r="B33" s="262"/>
      <c r="C33" s="262" t="s">
        <v>730</v>
      </c>
      <c r="D33" s="262"/>
      <c r="E33" s="262"/>
      <c r="F33" s="262" t="s">
        <v>723</v>
      </c>
      <c r="G33" s="262"/>
      <c r="H33" s="262" t="s">
        <v>581</v>
      </c>
      <c r="I33" s="263">
        <v>6625011216934</v>
      </c>
      <c r="J33" s="264"/>
      <c r="K33" s="264"/>
      <c r="L33" s="264"/>
      <c r="M33" s="264"/>
      <c r="N33" s="265"/>
      <c r="O33" s="265"/>
      <c r="P33" s="265"/>
      <c r="Q33" s="266" t="s">
        <v>843</v>
      </c>
      <c r="R33" s="265">
        <v>330</v>
      </c>
      <c r="S33" s="267" t="str">
        <f>IF(Q33="cnr","CNR",IF(Q33="CBU", "CBU",IF(Q33="Code Out","Code Out",Q33+R33)))</f>
        <v>Code Out</v>
      </c>
      <c r="T33" s="268" t="str">
        <f>IF(W33=1,"",IF(U33&lt;1,"DEL",""))</f>
        <v/>
      </c>
      <c r="U33" s="263" t="str">
        <f>IF(Q33="CBU","",IF(Q33="CNR","",IF(Q33="Code Out","",SUM(S33-#REF!))))</f>
        <v/>
      </c>
      <c r="V33" s="263">
        <f>COUNTIF(T33,"Del")</f>
        <v>0</v>
      </c>
      <c r="W33" s="263">
        <f>COUNTIF(Y33,"*at lab*")</f>
        <v>0</v>
      </c>
      <c r="X33" s="263">
        <f>SUM(V33:W33)</f>
        <v>0</v>
      </c>
      <c r="Y33" s="269"/>
      <c r="Z33" s="270" t="str">
        <f>S33</f>
        <v>Code Out</v>
      </c>
      <c r="AA33" s="297" t="str">
        <f>IF(AL33,MONTH(Z33),"")</f>
        <v/>
      </c>
      <c r="AB33" s="297" t="str">
        <f>IF(AL33,YEAR(Z33),"")</f>
        <v/>
      </c>
      <c r="AC33" s="271" t="str">
        <f>CONCATENATE(AA33,AB33)</f>
        <v/>
      </c>
      <c r="AD33" s="263"/>
      <c r="AE33" s="263"/>
      <c r="AF33" s="263" t="s">
        <v>398</v>
      </c>
      <c r="AG33" s="266" t="s">
        <v>923</v>
      </c>
      <c r="AH33" s="272" t="s">
        <v>367</v>
      </c>
    </row>
    <row r="34" spans="1:233" ht="14.1" customHeight="1" x14ac:dyDescent="0.2">
      <c r="A34" s="246" t="s">
        <v>882</v>
      </c>
      <c r="B34" s="247"/>
      <c r="C34" s="247" t="s">
        <v>243</v>
      </c>
      <c r="D34" s="248"/>
      <c r="E34" s="247" t="s">
        <v>499</v>
      </c>
      <c r="F34" s="247" t="s">
        <v>414</v>
      </c>
      <c r="G34" s="247" t="s">
        <v>792</v>
      </c>
      <c r="H34" s="248" t="s">
        <v>5</v>
      </c>
      <c r="I34" s="252">
        <v>5120013390367</v>
      </c>
      <c r="J34" s="248"/>
      <c r="K34" s="248"/>
      <c r="L34" s="248"/>
      <c r="M34" s="248"/>
      <c r="N34" s="248"/>
      <c r="O34" s="248"/>
      <c r="P34" s="248"/>
      <c r="Q34" s="249" t="s">
        <v>843</v>
      </c>
      <c r="R34" s="248">
        <v>180</v>
      </c>
      <c r="S34" s="259" t="str">
        <f>IF(Q34="cnr","CNR",IF(Q34="CBU", "CBU",IF(Q34="Code Out","Code Out",Q34+R34)))</f>
        <v>Code Out</v>
      </c>
      <c r="T34" s="260" t="str">
        <f>IF(W34=1,"",IF(U34&lt;1,"DEL",""))</f>
        <v/>
      </c>
      <c r="U34" s="252" t="str">
        <f>IF(Q34="CBU","",IF(Q34="CNR","",IF(Q34="Code Out","",SUM(S34-#REF!))))</f>
        <v/>
      </c>
      <c r="V34" s="252">
        <f>COUNTIF(T34,"Del")</f>
        <v>0</v>
      </c>
      <c r="W34" s="252">
        <f>COUNTIF(Y34,"*at lab*")</f>
        <v>0</v>
      </c>
      <c r="X34" s="252">
        <f>SUM(V34:W34)</f>
        <v>0</v>
      </c>
      <c r="Y34" s="249"/>
      <c r="Z34" s="254" t="str">
        <f>S34</f>
        <v>Code Out</v>
      </c>
      <c r="AA34" s="296" t="str">
        <f>IF(AL34,MONTH(Z34),"")</f>
        <v/>
      </c>
      <c r="AB34" s="296" t="str">
        <f>IF(AL34,YEAR(Z34),"")</f>
        <v/>
      </c>
      <c r="AC34" s="255" t="str">
        <f>CONCATENATE(AA34,AB34)</f>
        <v/>
      </c>
      <c r="AD34" s="252"/>
      <c r="AE34" s="252"/>
      <c r="AF34" s="252" t="s">
        <v>398</v>
      </c>
      <c r="AG34" s="249" t="s">
        <v>924</v>
      </c>
      <c r="AH34" s="247" t="s">
        <v>650</v>
      </c>
    </row>
    <row r="35" spans="1:233" ht="14.1" customHeight="1" x14ac:dyDescent="0.2">
      <c r="A35" s="246" t="s">
        <v>150</v>
      </c>
      <c r="B35" s="247"/>
      <c r="C35" s="247" t="s">
        <v>150</v>
      </c>
      <c r="D35" s="248"/>
      <c r="E35" s="248" t="s">
        <v>499</v>
      </c>
      <c r="F35" s="247" t="s">
        <v>141</v>
      </c>
      <c r="G35" s="247"/>
      <c r="H35" s="248" t="s">
        <v>142</v>
      </c>
      <c r="I35" s="252">
        <v>6685008514577</v>
      </c>
      <c r="J35" s="248"/>
      <c r="K35" s="248"/>
      <c r="L35" s="248"/>
      <c r="M35" s="248"/>
      <c r="N35" s="248"/>
      <c r="O35" s="248"/>
      <c r="P35" s="248"/>
      <c r="Q35" s="249">
        <v>40288</v>
      </c>
      <c r="R35" s="248">
        <v>1080</v>
      </c>
      <c r="S35" s="259">
        <f>IF(Q35="cnr","CNR",IF(Q35="CBU", "CBU",IF(Q35="Code Out","Code Out",Q35+R35)))</f>
        <v>41368</v>
      </c>
      <c r="T35" s="260" t="e">
        <f>IF(W35=1,"",IF(U35&lt;1,"DEL",""))</f>
        <v>#REF!</v>
      </c>
      <c r="U35" s="252" t="e">
        <f>IF(Q35="CBU","",IF(Q35="CNR","",IF(Q35="Code Out","",SUM(S35-#REF!))))</f>
        <v>#REF!</v>
      </c>
      <c r="V35" s="252">
        <f>COUNTIF(T35,"Del")</f>
        <v>0</v>
      </c>
      <c r="W35" s="252">
        <f>COUNTIF(Y35,"*at lab*")</f>
        <v>0</v>
      </c>
      <c r="X35" s="252">
        <f>SUM(V35:W35)</f>
        <v>0</v>
      </c>
      <c r="Y35" s="251"/>
      <c r="Z35" s="254">
        <f>S35</f>
        <v>41368</v>
      </c>
      <c r="AA35" s="296" t="str">
        <f>IF(AL35,MONTH(Z35),"")</f>
        <v/>
      </c>
      <c r="AB35" s="296" t="str">
        <f>IF(AL35,YEAR(Z35),"")</f>
        <v/>
      </c>
      <c r="AC35" s="255" t="str">
        <f>CONCATENATE(AA35,AB35)</f>
        <v/>
      </c>
      <c r="AD35" s="252"/>
      <c r="AE35" s="252"/>
      <c r="AF35" s="252" t="s">
        <v>398</v>
      </c>
      <c r="AG35" s="253" t="s">
        <v>955</v>
      </c>
      <c r="AH35" s="247" t="s">
        <v>373</v>
      </c>
    </row>
    <row r="36" spans="1:233" ht="14.1" customHeight="1" x14ac:dyDescent="0.2">
      <c r="A36" s="246" t="s">
        <v>81</v>
      </c>
      <c r="B36" s="247" t="s">
        <v>82</v>
      </c>
      <c r="C36" s="247" t="s">
        <v>183</v>
      </c>
      <c r="D36" s="248" t="s">
        <v>41</v>
      </c>
      <c r="E36" s="249" t="s">
        <v>843</v>
      </c>
      <c r="F36" s="248" t="s">
        <v>843</v>
      </c>
      <c r="G36" s="259" t="s">
        <v>843</v>
      </c>
      <c r="H36" s="260" t="s">
        <v>352</v>
      </c>
      <c r="I36" s="251" t="s">
        <v>635</v>
      </c>
      <c r="J36" s="254" t="s">
        <v>843</v>
      </c>
      <c r="K36" s="252"/>
      <c r="L36" s="252"/>
      <c r="M36" s="252" t="s">
        <v>912</v>
      </c>
      <c r="N36" s="249" t="s">
        <v>913</v>
      </c>
      <c r="O36" s="247" t="s">
        <v>680</v>
      </c>
    </row>
    <row r="37" spans="1:233" ht="14.1" customHeight="1" x14ac:dyDescent="0.2">
      <c r="A37" s="246" t="s">
        <v>49</v>
      </c>
      <c r="B37" s="247" t="s">
        <v>50</v>
      </c>
      <c r="C37" s="247" t="s">
        <v>560</v>
      </c>
      <c r="D37" s="248" t="s">
        <v>51</v>
      </c>
      <c r="E37" s="249" t="s">
        <v>843</v>
      </c>
      <c r="F37" s="248">
        <v>1080</v>
      </c>
      <c r="G37" s="259" t="s">
        <v>843</v>
      </c>
      <c r="H37" s="260" t="s">
        <v>352</v>
      </c>
      <c r="I37" s="251"/>
      <c r="J37" s="254" t="s">
        <v>843</v>
      </c>
      <c r="K37" s="252"/>
      <c r="L37" s="252"/>
      <c r="M37" s="252" t="s">
        <v>912</v>
      </c>
      <c r="N37" s="249" t="s">
        <v>952</v>
      </c>
      <c r="O37" s="247" t="s">
        <v>897</v>
      </c>
    </row>
    <row r="38" spans="1:233" ht="14.1" customHeight="1" x14ac:dyDescent="0.2">
      <c r="A38" s="273" t="s">
        <v>292</v>
      </c>
      <c r="B38" s="274" t="s">
        <v>292</v>
      </c>
      <c r="C38" s="274" t="s">
        <v>293</v>
      </c>
      <c r="D38" s="275" t="s">
        <v>142</v>
      </c>
      <c r="E38" s="276" t="s">
        <v>843</v>
      </c>
      <c r="F38" s="275">
        <v>1080</v>
      </c>
      <c r="G38" s="267" t="s">
        <v>843</v>
      </c>
      <c r="H38" s="268" t="s">
        <v>352</v>
      </c>
      <c r="I38" s="277"/>
      <c r="J38" s="278" t="s">
        <v>843</v>
      </c>
      <c r="K38" s="279"/>
      <c r="L38" s="279"/>
      <c r="M38" s="279" t="s">
        <v>912</v>
      </c>
      <c r="N38" s="266" t="s">
        <v>985</v>
      </c>
      <c r="O38" s="262" t="s">
        <v>373</v>
      </c>
    </row>
    <row r="39" spans="1:233" ht="14.1" customHeight="1" x14ac:dyDescent="0.2">
      <c r="A39" s="246" t="s">
        <v>388</v>
      </c>
      <c r="B39" s="247" t="s">
        <v>488</v>
      </c>
      <c r="C39" s="247" t="s">
        <v>417</v>
      </c>
      <c r="D39" s="248" t="s">
        <v>5</v>
      </c>
      <c r="E39" s="249" t="s">
        <v>843</v>
      </c>
      <c r="F39" s="248">
        <v>180</v>
      </c>
      <c r="G39" s="267" t="s">
        <v>843</v>
      </c>
      <c r="H39" s="268" t="s">
        <v>352</v>
      </c>
      <c r="I39" s="251"/>
      <c r="J39" s="254" t="s">
        <v>843</v>
      </c>
      <c r="K39" s="252"/>
      <c r="L39" s="252"/>
      <c r="M39" s="252" t="s">
        <v>912</v>
      </c>
      <c r="N39" s="266" t="s">
        <v>986</v>
      </c>
      <c r="O39" s="262" t="s">
        <v>911</v>
      </c>
    </row>
    <row r="40" spans="1:233" ht="14.1" customHeight="1" x14ac:dyDescent="0.2">
      <c r="A40" s="261" t="s">
        <v>590</v>
      </c>
      <c r="B40" s="262" t="s">
        <v>569</v>
      </c>
      <c r="C40" s="262" t="s">
        <v>568</v>
      </c>
      <c r="D40" s="262" t="s">
        <v>557</v>
      </c>
      <c r="E40" s="266" t="s">
        <v>843</v>
      </c>
      <c r="F40" s="265">
        <v>180</v>
      </c>
      <c r="G40" s="267" t="s">
        <v>843</v>
      </c>
      <c r="H40" s="268" t="s">
        <v>352</v>
      </c>
      <c r="I40" s="269"/>
      <c r="J40" s="270" t="s">
        <v>843</v>
      </c>
      <c r="K40" s="263"/>
      <c r="L40" s="263"/>
      <c r="M40" s="263" t="s">
        <v>912</v>
      </c>
      <c r="N40" s="266" t="s">
        <v>987</v>
      </c>
      <c r="O40" s="262" t="s">
        <v>664</v>
      </c>
    </row>
    <row r="41" spans="1:233" ht="14.1" customHeight="1" x14ac:dyDescent="0.2">
      <c r="A41" s="246" t="s">
        <v>950</v>
      </c>
      <c r="B41" s="247" t="s">
        <v>950</v>
      </c>
      <c r="C41" s="247" t="s">
        <v>945</v>
      </c>
      <c r="D41" s="247" t="s">
        <v>944</v>
      </c>
      <c r="E41" s="249" t="s">
        <v>843</v>
      </c>
      <c r="F41" s="248" t="s">
        <v>432</v>
      </c>
      <c r="G41" s="259" t="s">
        <v>843</v>
      </c>
      <c r="H41" s="260"/>
      <c r="I41" s="251"/>
      <c r="J41" s="254" t="s">
        <v>843</v>
      </c>
      <c r="K41" s="252"/>
      <c r="L41" s="252"/>
      <c r="M41" s="252" t="s">
        <v>912</v>
      </c>
      <c r="N41" s="249" t="s">
        <v>971</v>
      </c>
      <c r="O41" s="250" t="s">
        <v>958</v>
      </c>
    </row>
    <row r="42" spans="1:233" ht="14.1" customHeight="1" x14ac:dyDescent="0.2">
      <c r="A42" s="210" t="s">
        <v>310</v>
      </c>
      <c r="B42" s="210" t="s">
        <v>455</v>
      </c>
      <c r="C42" s="210" t="s">
        <v>499</v>
      </c>
      <c r="D42" s="210" t="s">
        <v>168</v>
      </c>
      <c r="E42" s="210" t="s">
        <v>783</v>
      </c>
      <c r="F42" s="210" t="s">
        <v>973</v>
      </c>
      <c r="G42" s="210" t="s">
        <v>5</v>
      </c>
      <c r="H42" s="210">
        <v>5120013965931</v>
      </c>
      <c r="I42" s="210" t="s">
        <v>843</v>
      </c>
      <c r="K42" s="210" t="s">
        <v>843</v>
      </c>
      <c r="L42" s="210" t="s">
        <v>352</v>
      </c>
      <c r="N42" s="210" t="s">
        <v>843</v>
      </c>
      <c r="Q42" s="210" t="s">
        <v>398</v>
      </c>
      <c r="S42" s="210" t="s">
        <v>683</v>
      </c>
    </row>
    <row r="43" spans="1:233" ht="14.1" customHeight="1" x14ac:dyDescent="0.2">
      <c r="A43" s="210" t="s">
        <v>902</v>
      </c>
      <c r="B43" s="210" t="s">
        <v>894</v>
      </c>
      <c r="D43" s="210" t="s">
        <v>168</v>
      </c>
      <c r="F43" s="210" t="s">
        <v>973</v>
      </c>
      <c r="G43" s="210" t="s">
        <v>5</v>
      </c>
      <c r="H43" s="210">
        <v>5120013741926</v>
      </c>
      <c r="I43" s="210" t="s">
        <v>843</v>
      </c>
      <c r="J43" s="210">
        <v>180</v>
      </c>
      <c r="K43" s="210" t="s">
        <v>843</v>
      </c>
      <c r="L43" s="210" t="s">
        <v>352</v>
      </c>
      <c r="N43" s="210" t="s">
        <v>991</v>
      </c>
      <c r="Q43" s="210" t="s">
        <v>860</v>
      </c>
      <c r="S43" s="210" t="s">
        <v>684</v>
      </c>
    </row>
    <row r="44" spans="1:233" ht="14.1" customHeight="1" x14ac:dyDescent="0.2">
      <c r="A44" s="246" t="s">
        <v>639</v>
      </c>
      <c r="B44" s="247"/>
      <c r="C44" s="247" t="s">
        <v>629</v>
      </c>
      <c r="D44" s="247"/>
      <c r="E44" s="247"/>
      <c r="F44" s="247" t="s">
        <v>251</v>
      </c>
      <c r="G44" s="247"/>
      <c r="H44" s="247" t="s">
        <v>984</v>
      </c>
      <c r="I44" s="247" t="s">
        <v>638</v>
      </c>
      <c r="J44" s="252">
        <v>6670014074073</v>
      </c>
      <c r="K44" s="257"/>
      <c r="L44" s="257"/>
      <c r="M44" s="257"/>
      <c r="N44" s="257"/>
      <c r="O44" s="248"/>
      <c r="P44" s="248"/>
      <c r="Q44" s="248"/>
      <c r="R44" s="249" t="s">
        <v>999</v>
      </c>
      <c r="S44" s="248">
        <v>720</v>
      </c>
      <c r="T44" s="259" t="str">
        <f>IF(R44="cnr","CNR",IF(R44="CBU", "CBU",IF(R44="Code Out","Code Out",R44+S44)))</f>
        <v>Code Out</v>
      </c>
      <c r="U44" s="260" t="str">
        <f>IF(X44=1,"",IF(V44&lt;1,"DEL",""))</f>
        <v/>
      </c>
      <c r="V44" s="252" t="str">
        <f>IF(R44="CBU","",IF(R44="CNR","",IF(R44="Code Out","",SUM(T44-#REF!))))</f>
        <v/>
      </c>
      <c r="W44" s="252">
        <f>COUNTIF(U44,"Del")</f>
        <v>0</v>
      </c>
      <c r="X44" s="252">
        <f>COUNTIF(Z44,"*at lab*")</f>
        <v>0</v>
      </c>
      <c r="Y44" s="252">
        <f>SUM(W44:X44)</f>
        <v>0</v>
      </c>
      <c r="Z44" s="249"/>
      <c r="AA44" s="254" t="str">
        <f>T44</f>
        <v>Code Out</v>
      </c>
      <c r="AB44" s="296" t="str">
        <f>IF(AM44,MONTH(AA44),"")</f>
        <v/>
      </c>
      <c r="AC44" s="296" t="str">
        <f>IF(AM44,YEAR(AA44),"")</f>
        <v/>
      </c>
      <c r="AD44" s="255" t="str">
        <f>CONCATENATE(AB44,AC44)</f>
        <v/>
      </c>
      <c r="AE44" s="252"/>
      <c r="AF44" s="252"/>
      <c r="AG44" s="252" t="s">
        <v>398</v>
      </c>
      <c r="AH44" s="249" t="s">
        <v>1011</v>
      </c>
      <c r="AI44" s="247" t="s">
        <v>373</v>
      </c>
    </row>
    <row r="45" spans="1:233" ht="14.1" customHeight="1" x14ac:dyDescent="0.2">
      <c r="A45" s="246"/>
      <c r="B45" s="247">
        <v>817</v>
      </c>
      <c r="C45" s="247" t="s">
        <v>139</v>
      </c>
      <c r="D45" s="248" t="s">
        <v>106</v>
      </c>
      <c r="E45" s="252">
        <v>6625008033399</v>
      </c>
      <c r="F45" s="249" t="s">
        <v>138</v>
      </c>
      <c r="G45" s="247" t="s">
        <v>138</v>
      </c>
      <c r="H45" s="259" t="s">
        <v>138</v>
      </c>
      <c r="I45" s="260" t="s">
        <v>352</v>
      </c>
      <c r="J45" s="251"/>
      <c r="K45" s="254" t="s">
        <v>138</v>
      </c>
      <c r="L45" s="252"/>
      <c r="M45" s="252"/>
      <c r="N45" s="252" t="s">
        <v>398</v>
      </c>
      <c r="O45" s="249" t="s">
        <v>893</v>
      </c>
      <c r="P45" s="247" t="s">
        <v>369</v>
      </c>
    </row>
    <row r="46" spans="1:233" ht="14.1" customHeight="1" x14ac:dyDescent="0.2">
      <c r="A46" s="274" t="s">
        <v>532</v>
      </c>
      <c r="B46" s="274" t="s">
        <v>728</v>
      </c>
      <c r="C46" s="274" t="s">
        <v>429</v>
      </c>
      <c r="D46" s="275" t="s">
        <v>5</v>
      </c>
      <c r="E46" s="279">
        <v>5120014267574</v>
      </c>
      <c r="F46" s="276" t="s">
        <v>843</v>
      </c>
      <c r="G46" s="275" t="s">
        <v>843</v>
      </c>
      <c r="H46" s="280" t="s">
        <v>843</v>
      </c>
      <c r="I46" s="281" t="s">
        <v>352</v>
      </c>
      <c r="J46" s="276"/>
      <c r="K46" s="282" t="s">
        <v>843</v>
      </c>
      <c r="L46" s="279"/>
      <c r="M46" s="279"/>
      <c r="N46" s="279" t="s">
        <v>398</v>
      </c>
      <c r="O46" s="276" t="s">
        <v>1040</v>
      </c>
      <c r="P46" s="274" t="s">
        <v>695</v>
      </c>
      <c r="Q46" s="156"/>
      <c r="R46" s="156"/>
      <c r="S46" s="156"/>
      <c r="T46" s="156"/>
      <c r="U46" s="156"/>
      <c r="V46" s="156"/>
      <c r="W46" s="156"/>
      <c r="X46" s="156"/>
      <c r="Y46" s="156"/>
      <c r="Z46" s="156"/>
      <c r="AA46" s="156"/>
      <c r="AB46" s="156"/>
      <c r="AC46" s="156"/>
      <c r="AD46" s="156"/>
      <c r="AE46" s="156"/>
      <c r="AF46" s="156"/>
      <c r="AG46" s="156"/>
      <c r="AH46" s="156"/>
      <c r="AI46" s="156"/>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c r="EX46" s="156"/>
      <c r="EY46" s="156"/>
      <c r="EZ46" s="156"/>
      <c r="FA46" s="156"/>
      <c r="FB46" s="156"/>
      <c r="FC46" s="156"/>
      <c r="FD46" s="156"/>
      <c r="FE46" s="156"/>
      <c r="FF46" s="156"/>
      <c r="FG46" s="156"/>
      <c r="FH46" s="156"/>
      <c r="FI46" s="156"/>
      <c r="FJ46" s="156"/>
      <c r="FK46" s="156"/>
      <c r="FL46" s="156"/>
      <c r="FM46" s="156"/>
      <c r="FN46" s="156"/>
      <c r="FO46" s="156"/>
      <c r="FP46" s="156"/>
      <c r="FQ46" s="156"/>
      <c r="FR46" s="156"/>
      <c r="FS46" s="156"/>
      <c r="FT46" s="156"/>
      <c r="FU46" s="156"/>
      <c r="FV46" s="156"/>
      <c r="FW46" s="156"/>
      <c r="FX46" s="156"/>
      <c r="FY46" s="156"/>
      <c r="FZ46" s="156"/>
      <c r="GA46" s="156"/>
      <c r="GB46" s="156"/>
      <c r="GC46" s="156"/>
      <c r="GD46" s="156"/>
      <c r="GE46" s="156"/>
      <c r="GF46" s="156"/>
      <c r="GG46" s="156"/>
      <c r="GH46" s="156"/>
      <c r="GI46" s="156"/>
      <c r="GJ46" s="156"/>
      <c r="GK46" s="156"/>
      <c r="GL46" s="156"/>
      <c r="GM46" s="156"/>
      <c r="GN46" s="156"/>
      <c r="GO46" s="156"/>
      <c r="GP46" s="156"/>
      <c r="GQ46" s="156"/>
      <c r="GR46" s="156"/>
      <c r="GS46" s="156"/>
      <c r="GT46" s="156"/>
      <c r="GU46" s="156"/>
      <c r="GV46" s="156"/>
      <c r="GW46" s="156"/>
      <c r="GX46" s="156"/>
      <c r="GY46" s="156"/>
      <c r="GZ46" s="156"/>
      <c r="HA46" s="156"/>
      <c r="HB46" s="156"/>
      <c r="HC46" s="156"/>
      <c r="HD46" s="156"/>
      <c r="HE46" s="156"/>
      <c r="HF46" s="156"/>
      <c r="HG46" s="156"/>
      <c r="HH46" s="156"/>
      <c r="HI46" s="156"/>
      <c r="HJ46" s="156"/>
      <c r="HK46" s="156"/>
      <c r="HL46" s="156"/>
      <c r="HM46" s="156"/>
      <c r="HN46" s="156"/>
      <c r="HO46" s="156"/>
      <c r="HP46" s="156"/>
      <c r="HQ46" s="156"/>
      <c r="HR46" s="156"/>
      <c r="HS46" s="156"/>
      <c r="HT46" s="156"/>
      <c r="HU46" s="156"/>
      <c r="HV46" s="156"/>
      <c r="HW46" s="156"/>
      <c r="HX46" s="156"/>
      <c r="HY46" s="156"/>
    </row>
    <row r="47" spans="1:233" ht="14.1" customHeight="1" x14ac:dyDescent="0.2">
      <c r="A47" s="246"/>
      <c r="B47" s="247">
        <v>547</v>
      </c>
      <c r="C47" s="247" t="s">
        <v>139</v>
      </c>
      <c r="D47" s="248" t="s">
        <v>106</v>
      </c>
      <c r="E47" s="252">
        <v>6625008033399</v>
      </c>
      <c r="F47" s="249" t="s">
        <v>138</v>
      </c>
      <c r="G47" s="247" t="s">
        <v>138</v>
      </c>
      <c r="H47" s="259" t="s">
        <v>138</v>
      </c>
      <c r="I47" s="260" t="s">
        <v>352</v>
      </c>
      <c r="J47" s="251"/>
      <c r="K47" s="254" t="s">
        <v>138</v>
      </c>
      <c r="L47" s="252"/>
      <c r="M47" s="252"/>
      <c r="N47" s="252" t="s">
        <v>398</v>
      </c>
      <c r="O47" s="249" t="s">
        <v>1050</v>
      </c>
      <c r="P47" s="247" t="s">
        <v>369</v>
      </c>
    </row>
    <row r="48" spans="1:233" ht="14.1" customHeight="1" x14ac:dyDescent="0.2">
      <c r="A48" s="246"/>
      <c r="B48" s="247">
        <v>817</v>
      </c>
      <c r="C48" s="247" t="s">
        <v>139</v>
      </c>
      <c r="D48" s="248" t="s">
        <v>106</v>
      </c>
      <c r="E48" s="252">
        <v>6625008033399</v>
      </c>
      <c r="F48" s="249" t="s">
        <v>138</v>
      </c>
      <c r="G48" s="247" t="s">
        <v>138</v>
      </c>
      <c r="H48" s="259" t="s">
        <v>138</v>
      </c>
      <c r="I48" s="260" t="s">
        <v>352</v>
      </c>
      <c r="J48" s="251"/>
      <c r="K48" s="254" t="s">
        <v>138</v>
      </c>
      <c r="L48" s="252"/>
      <c r="M48" s="252"/>
      <c r="N48" s="252" t="s">
        <v>398</v>
      </c>
      <c r="O48" s="249" t="s">
        <v>1042</v>
      </c>
      <c r="P48" s="247" t="s">
        <v>369</v>
      </c>
    </row>
    <row r="49" spans="1:35" ht="14.1" customHeight="1" x14ac:dyDescent="0.2">
      <c r="A49" s="210" t="s">
        <v>903</v>
      </c>
      <c r="C49" s="210" t="s">
        <v>895</v>
      </c>
      <c r="F49" s="210" t="s">
        <v>168</v>
      </c>
      <c r="H49" s="210" t="s">
        <v>973</v>
      </c>
      <c r="I49" s="210" t="s">
        <v>5</v>
      </c>
      <c r="J49" s="210">
        <v>5120013741926</v>
      </c>
      <c r="R49" s="210">
        <v>41597</v>
      </c>
      <c r="S49" s="210">
        <v>180</v>
      </c>
      <c r="T49" s="210">
        <v>41777</v>
      </c>
      <c r="U49" s="210" t="s">
        <v>739</v>
      </c>
      <c r="V49" s="210">
        <v>-17.52816111111315</v>
      </c>
      <c r="W49" s="210">
        <v>1</v>
      </c>
      <c r="X49" s="210">
        <v>0</v>
      </c>
      <c r="Y49" s="210">
        <v>1</v>
      </c>
      <c r="Z49" s="210" t="s">
        <v>851</v>
      </c>
      <c r="AA49" s="210">
        <v>41777</v>
      </c>
      <c r="AB49" s="210">
        <v>5</v>
      </c>
      <c r="AC49" s="210">
        <v>2014</v>
      </c>
      <c r="AD49" s="210" t="s">
        <v>1056</v>
      </c>
      <c r="AG49" s="210" t="s">
        <v>1013</v>
      </c>
      <c r="AH49" s="210" t="s">
        <v>1055</v>
      </c>
      <c r="AI49" s="210" t="s">
        <v>684</v>
      </c>
    </row>
    <row r="50" spans="1:35" ht="14.1" customHeight="1" x14ac:dyDescent="0.2">
      <c r="A50" s="210" t="s">
        <v>1033</v>
      </c>
      <c r="C50" s="210">
        <v>1009037100</v>
      </c>
      <c r="D50" s="275" t="s">
        <v>1059</v>
      </c>
      <c r="F50" s="210" t="s">
        <v>1020</v>
      </c>
      <c r="I50" s="210" t="s">
        <v>5</v>
      </c>
      <c r="R50" s="210" t="s">
        <v>432</v>
      </c>
      <c r="S50" s="210" t="s">
        <v>432</v>
      </c>
      <c r="T50" s="210" t="s">
        <v>432</v>
      </c>
      <c r="U50" s="210" t="s">
        <v>352</v>
      </c>
      <c r="V50" s="210" t="s">
        <v>352</v>
      </c>
      <c r="W50" s="210">
        <v>0</v>
      </c>
      <c r="X50" s="210">
        <v>0</v>
      </c>
      <c r="Y50" s="210">
        <v>0</v>
      </c>
      <c r="AA50" s="210">
        <v>41760</v>
      </c>
      <c r="AB50" s="210">
        <v>5</v>
      </c>
      <c r="AC50" s="210">
        <v>2014</v>
      </c>
      <c r="AD50" s="210" t="s">
        <v>1056</v>
      </c>
      <c r="AH50" s="210" t="s">
        <v>1034</v>
      </c>
      <c r="AI50" s="210" t="s">
        <v>1021</v>
      </c>
    </row>
    <row r="51" spans="1:35" ht="14.1" customHeight="1" x14ac:dyDescent="0.2">
      <c r="A51" s="210" t="s">
        <v>276</v>
      </c>
      <c r="C51" s="210" t="s">
        <v>272</v>
      </c>
      <c r="D51" s="210" t="s">
        <v>226</v>
      </c>
      <c r="E51" s="210" t="s">
        <v>511</v>
      </c>
      <c r="F51" s="210" t="s">
        <v>273</v>
      </c>
      <c r="H51" s="210" t="s">
        <v>973</v>
      </c>
      <c r="I51" s="210" t="s">
        <v>164</v>
      </c>
      <c r="J51" s="210">
        <v>6625011452430</v>
      </c>
      <c r="R51" s="210" t="s">
        <v>843</v>
      </c>
      <c r="S51" s="210" t="s">
        <v>843</v>
      </c>
      <c r="T51" s="210" t="s">
        <v>843</v>
      </c>
      <c r="U51" s="210" t="s">
        <v>352</v>
      </c>
      <c r="V51" s="210" t="s">
        <v>352</v>
      </c>
      <c r="W51" s="210">
        <v>0</v>
      </c>
      <c r="X51" s="210">
        <v>0</v>
      </c>
      <c r="Y51" s="210">
        <v>0</v>
      </c>
      <c r="AA51" s="210" t="s">
        <v>843</v>
      </c>
      <c r="AB51" s="210" t="e">
        <v>#VALUE!</v>
      </c>
      <c r="AC51" s="210" t="e">
        <v>#VALUE!</v>
      </c>
      <c r="AD51" s="210" t="e">
        <v>#VALUE!</v>
      </c>
      <c r="AF51" s="210" t="s">
        <v>860</v>
      </c>
      <c r="AG51" s="210" t="s">
        <v>912</v>
      </c>
      <c r="AH51" s="210" t="s">
        <v>1051</v>
      </c>
      <c r="AI51" s="210" t="s">
        <v>651</v>
      </c>
    </row>
    <row r="52" spans="1:35" ht="14.1" customHeight="1" x14ac:dyDescent="0.2">
      <c r="A52" s="210" t="s">
        <v>291</v>
      </c>
      <c r="C52" s="210" t="s">
        <v>994</v>
      </c>
      <c r="F52" s="210" t="s">
        <v>36</v>
      </c>
      <c r="G52" s="210" t="s">
        <v>780</v>
      </c>
      <c r="H52" s="210" t="s">
        <v>973</v>
      </c>
      <c r="I52" s="210" t="s">
        <v>5</v>
      </c>
      <c r="J52" s="210">
        <v>5120000000000</v>
      </c>
      <c r="R52" s="210">
        <v>41597</v>
      </c>
      <c r="S52" s="210">
        <v>180</v>
      </c>
      <c r="T52" s="210">
        <v>41777</v>
      </c>
      <c r="U52" s="210" t="s">
        <v>739</v>
      </c>
      <c r="V52" s="210">
        <v>-17.531005787037429</v>
      </c>
      <c r="W52" s="210">
        <v>1</v>
      </c>
      <c r="X52" s="210">
        <v>0</v>
      </c>
      <c r="Y52" s="210">
        <v>1</v>
      </c>
      <c r="Z52" s="210" t="s">
        <v>851</v>
      </c>
      <c r="AA52" s="210">
        <v>41777</v>
      </c>
      <c r="AB52" s="210">
        <v>5</v>
      </c>
      <c r="AC52" s="210">
        <v>2014</v>
      </c>
      <c r="AD52" s="210" t="s">
        <v>1056</v>
      </c>
      <c r="AG52" s="210" t="s">
        <v>1013</v>
      </c>
      <c r="AH52" s="210" t="s">
        <v>1052</v>
      </c>
      <c r="AI52" s="210" t="s">
        <v>682</v>
      </c>
    </row>
    <row r="53" spans="1:35" ht="14.1" customHeight="1" x14ac:dyDescent="0.2">
      <c r="A53" s="210" t="s">
        <v>336</v>
      </c>
      <c r="C53" s="210" t="s">
        <v>997</v>
      </c>
      <c r="E53" s="210" t="s">
        <v>499</v>
      </c>
      <c r="F53" s="210" t="s">
        <v>462</v>
      </c>
      <c r="G53" s="210" t="s">
        <v>772</v>
      </c>
      <c r="H53" s="210" t="s">
        <v>855</v>
      </c>
      <c r="I53" s="210" t="s">
        <v>5</v>
      </c>
      <c r="J53" s="210">
        <v>5120013995604</v>
      </c>
      <c r="R53" s="210">
        <v>41597</v>
      </c>
      <c r="S53" s="210">
        <v>180</v>
      </c>
      <c r="T53" s="210">
        <v>41777</v>
      </c>
      <c r="U53" s="210" t="s">
        <v>739</v>
      </c>
      <c r="V53" s="210">
        <v>-17.532042129627371</v>
      </c>
      <c r="W53" s="210">
        <v>1</v>
      </c>
      <c r="X53" s="210">
        <v>0</v>
      </c>
      <c r="Y53" s="210">
        <v>1</v>
      </c>
      <c r="Z53" s="210" t="s">
        <v>851</v>
      </c>
      <c r="AA53" s="210">
        <v>41777</v>
      </c>
      <c r="AB53" s="210">
        <v>5</v>
      </c>
      <c r="AC53" s="210">
        <v>2014</v>
      </c>
      <c r="AD53" s="210" t="s">
        <v>1056</v>
      </c>
      <c r="AG53" s="210" t="s">
        <v>1013</v>
      </c>
      <c r="AH53" s="210" t="s">
        <v>1057</v>
      </c>
      <c r="AI53" s="210" t="s">
        <v>652</v>
      </c>
    </row>
    <row r="54" spans="1:35" ht="14.1" customHeight="1" x14ac:dyDescent="0.2">
      <c r="A54" s="210" t="s">
        <v>482</v>
      </c>
      <c r="B54" s="210" t="s">
        <v>482</v>
      </c>
      <c r="E54" s="210" t="s">
        <v>616</v>
      </c>
      <c r="F54" s="210" t="s">
        <v>433</v>
      </c>
      <c r="G54" s="210">
        <v>5210008265368</v>
      </c>
      <c r="H54" s="210" t="s">
        <v>843</v>
      </c>
      <c r="I54" s="210">
        <v>1080</v>
      </c>
      <c r="J54" s="210" t="s">
        <v>843</v>
      </c>
      <c r="K54" s="210" t="s">
        <v>352</v>
      </c>
      <c r="O54" s="210" t="s">
        <v>398</v>
      </c>
      <c r="Q54" s="210" t="s">
        <v>1061</v>
      </c>
      <c r="R54" s="210" t="s">
        <v>668</v>
      </c>
    </row>
    <row r="55" spans="1:35" ht="14.1" customHeight="1" x14ac:dyDescent="0.2">
      <c r="A55" s="210" t="s">
        <v>705</v>
      </c>
      <c r="B55" s="210" t="s">
        <v>656</v>
      </c>
      <c r="C55" s="210" t="s">
        <v>226</v>
      </c>
      <c r="D55" s="210" t="s">
        <v>757</v>
      </c>
      <c r="E55" s="210" t="s">
        <v>658</v>
      </c>
      <c r="F55" s="210" t="s">
        <v>657</v>
      </c>
      <c r="G55" s="210">
        <v>6625011020052</v>
      </c>
      <c r="H55" s="210">
        <v>41626</v>
      </c>
      <c r="I55" s="210">
        <v>630</v>
      </c>
      <c r="J55" s="210">
        <v>42256</v>
      </c>
      <c r="K55" s="210" t="s">
        <v>352</v>
      </c>
      <c r="M55" s="210">
        <v>42256</v>
      </c>
      <c r="P55" s="210" t="s">
        <v>398</v>
      </c>
      <c r="Q55" s="210" t="s">
        <v>1457</v>
      </c>
      <c r="R55" s="210" t="s">
        <v>367</v>
      </c>
    </row>
    <row r="56" spans="1:35" ht="14.1" customHeight="1" x14ac:dyDescent="0.2">
      <c r="A56" s="210" t="s">
        <v>119</v>
      </c>
      <c r="C56" s="210" t="s">
        <v>119</v>
      </c>
      <c r="E56" s="210" t="s">
        <v>499</v>
      </c>
      <c r="F56" s="210" t="s">
        <v>503</v>
      </c>
      <c r="H56" s="210" t="s">
        <v>855</v>
      </c>
      <c r="I56" s="210" t="s">
        <v>415</v>
      </c>
      <c r="J56" s="210">
        <v>5120009430941</v>
      </c>
      <c r="R56" s="210" t="s">
        <v>843</v>
      </c>
      <c r="S56" s="210">
        <v>180</v>
      </c>
      <c r="T56" s="210" t="s">
        <v>843</v>
      </c>
      <c r="U56" s="210" t="s">
        <v>352</v>
      </c>
      <c r="V56" s="210" t="s">
        <v>352</v>
      </c>
      <c r="W56" s="210">
        <v>0</v>
      </c>
      <c r="X56" s="210">
        <v>0</v>
      </c>
      <c r="Y56" s="210">
        <v>0</v>
      </c>
      <c r="AA56" s="210" t="s">
        <v>843</v>
      </c>
      <c r="AB56" s="210" t="e">
        <v>#VALUE!</v>
      </c>
      <c r="AC56" s="210" t="e">
        <v>#VALUE!</v>
      </c>
      <c r="AD56" s="210" t="e">
        <v>#VALUE!</v>
      </c>
      <c r="AG56" s="210" t="s">
        <v>912</v>
      </c>
      <c r="AH56" s="210" t="s">
        <v>1101</v>
      </c>
      <c r="AI56" s="210" t="s">
        <v>369</v>
      </c>
    </row>
    <row r="57" spans="1:35" ht="14.1" customHeight="1" x14ac:dyDescent="0.2">
      <c r="A57" s="210" t="s">
        <v>810</v>
      </c>
      <c r="B57" s="210" t="s">
        <v>802</v>
      </c>
      <c r="E57" s="210" t="s">
        <v>801</v>
      </c>
      <c r="G57" s="210" t="s">
        <v>855</v>
      </c>
      <c r="H57" s="210" t="s">
        <v>828</v>
      </c>
      <c r="I57" s="210">
        <v>6685012426490</v>
      </c>
      <c r="J57" s="210" t="s">
        <v>843</v>
      </c>
      <c r="K57" s="210">
        <v>840</v>
      </c>
      <c r="L57" s="210" t="s">
        <v>843</v>
      </c>
      <c r="M57" s="210" t="s">
        <v>843</v>
      </c>
      <c r="N57" s="210" t="s">
        <v>352</v>
      </c>
      <c r="R57" s="210" t="s">
        <v>912</v>
      </c>
      <c r="S57" s="210" t="s">
        <v>1458</v>
      </c>
      <c r="T57" s="210" t="s">
        <v>809</v>
      </c>
    </row>
    <row r="58" spans="1:35" ht="14.1" customHeight="1" x14ac:dyDescent="0.2">
      <c r="N58" s="210" t="s">
        <v>352</v>
      </c>
      <c r="R58" s="210" t="s">
        <v>912</v>
      </c>
      <c r="S58" s="210" t="s">
        <v>1163</v>
      </c>
      <c r="T58" s="210" t="s">
        <v>1032</v>
      </c>
      <c r="W58" s="210" t="e">
        <v>#VALUE!</v>
      </c>
      <c r="X58" s="210" t="e">
        <v>#VALUE!</v>
      </c>
      <c r="Y58" s="210" t="e">
        <v>#VALUE!</v>
      </c>
      <c r="Z58" s="210" t="e">
        <v>#VALUE!</v>
      </c>
      <c r="AA58" s="210" t="e">
        <v>#VALUE!</v>
      </c>
      <c r="AB58" s="210" t="e">
        <v>#VALUE!</v>
      </c>
      <c r="AC58" s="210">
        <v>0</v>
      </c>
      <c r="AD58" s="210" t="b">
        <v>1</v>
      </c>
      <c r="AE58" s="210" t="b">
        <v>1</v>
      </c>
    </row>
    <row r="59" spans="1:35" ht="14.1" customHeight="1" x14ac:dyDescent="0.2">
      <c r="A59" s="210" t="s">
        <v>1014</v>
      </c>
      <c r="B59" s="210" t="s">
        <v>1007</v>
      </c>
      <c r="D59" s="275" t="s">
        <v>5</v>
      </c>
      <c r="E59" s="210" t="s">
        <v>1008</v>
      </c>
      <c r="H59" s="210" t="s">
        <v>118</v>
      </c>
      <c r="I59" s="210">
        <v>5120013966057</v>
      </c>
      <c r="J59" s="210" t="s">
        <v>843</v>
      </c>
      <c r="K59" s="210">
        <v>180</v>
      </c>
      <c r="L59" s="210" t="s">
        <v>843</v>
      </c>
      <c r="M59" s="210" t="s">
        <v>843</v>
      </c>
      <c r="N59" s="210" t="s">
        <v>352</v>
      </c>
      <c r="R59" s="210" t="s">
        <v>912</v>
      </c>
      <c r="S59" s="210" t="s">
        <v>1459</v>
      </c>
      <c r="T59" s="210" t="s">
        <v>1009</v>
      </c>
    </row>
    <row r="60" spans="1:35" ht="14.1" customHeight="1" x14ac:dyDescent="0.2">
      <c r="A60" s="210" t="s">
        <v>635</v>
      </c>
      <c r="B60" s="210" t="s">
        <v>1060</v>
      </c>
      <c r="C60" s="210" t="s">
        <v>1125</v>
      </c>
      <c r="D60" s="210" t="s">
        <v>1048</v>
      </c>
      <c r="H60" s="210">
        <v>0</v>
      </c>
      <c r="I60" s="210">
        <v>0</v>
      </c>
      <c r="J60" s="210" t="s">
        <v>739</v>
      </c>
      <c r="K60" s="210" t="s">
        <v>851</v>
      </c>
      <c r="O60" s="210" t="s">
        <v>1146</v>
      </c>
      <c r="P60" s="210" t="s">
        <v>1126</v>
      </c>
    </row>
    <row r="61" spans="1:35" ht="14.1" customHeight="1" x14ac:dyDescent="0.2">
      <c r="A61" s="210" t="s">
        <v>209</v>
      </c>
      <c r="B61" s="210" t="s">
        <v>165</v>
      </c>
      <c r="D61" s="210">
        <v>1</v>
      </c>
      <c r="E61" s="210" t="s">
        <v>1348</v>
      </c>
      <c r="G61" s="210" t="s">
        <v>855</v>
      </c>
      <c r="H61" s="210" t="s">
        <v>164</v>
      </c>
      <c r="I61" s="210">
        <v>6625014616816</v>
      </c>
      <c r="J61" s="210" t="s">
        <v>843</v>
      </c>
      <c r="K61" s="210">
        <v>720</v>
      </c>
      <c r="L61" s="210" t="s">
        <v>843</v>
      </c>
      <c r="M61" s="210" t="s">
        <v>843</v>
      </c>
      <c r="N61" s="210" t="s">
        <v>352</v>
      </c>
      <c r="O61" s="210" t="s">
        <v>1460</v>
      </c>
      <c r="R61" s="210" t="s">
        <v>1122</v>
      </c>
      <c r="T61" s="210" t="s">
        <v>370</v>
      </c>
    </row>
    <row r="62" spans="1:35" ht="14.1" customHeight="1" x14ac:dyDescent="0.2">
      <c r="A62" s="210" t="s">
        <v>182</v>
      </c>
      <c r="B62" s="210" t="s">
        <v>182</v>
      </c>
      <c r="D62" s="210">
        <v>3</v>
      </c>
      <c r="E62" s="210" t="s">
        <v>183</v>
      </c>
      <c r="G62" s="210" t="s">
        <v>973</v>
      </c>
      <c r="H62" s="210" t="s">
        <v>41</v>
      </c>
      <c r="I62" s="210">
        <v>6685000881548</v>
      </c>
      <c r="J62" s="210" t="s">
        <v>843</v>
      </c>
      <c r="K62" s="210">
        <v>1080</v>
      </c>
      <c r="L62" s="210" t="s">
        <v>843</v>
      </c>
      <c r="M62" s="210" t="s">
        <v>843</v>
      </c>
      <c r="N62" s="210" t="s">
        <v>352</v>
      </c>
      <c r="R62" s="210" t="s">
        <v>1122</v>
      </c>
      <c r="S62" s="210" t="s">
        <v>1343</v>
      </c>
      <c r="T62" s="210" t="s">
        <v>681</v>
      </c>
    </row>
    <row r="63" spans="1:35" ht="14.1" customHeight="1" x14ac:dyDescent="0.2">
      <c r="A63" s="210" t="s">
        <v>1041</v>
      </c>
      <c r="B63" s="210" t="s">
        <v>101</v>
      </c>
      <c r="C63" s="210" t="s">
        <v>511</v>
      </c>
      <c r="D63" s="210">
        <v>2</v>
      </c>
      <c r="E63" s="210" t="s">
        <v>102</v>
      </c>
      <c r="G63" s="210" t="s">
        <v>973</v>
      </c>
      <c r="H63" s="210" t="s">
        <v>98</v>
      </c>
      <c r="I63" s="210">
        <v>6625011452430</v>
      </c>
      <c r="J63" s="210" t="s">
        <v>843</v>
      </c>
      <c r="K63" s="210">
        <v>540</v>
      </c>
      <c r="L63" s="210" t="s">
        <v>843</v>
      </c>
      <c r="M63" s="210" t="s">
        <v>843</v>
      </c>
      <c r="N63" s="210" t="s">
        <v>352</v>
      </c>
      <c r="O63" s="210" t="s">
        <v>1354</v>
      </c>
      <c r="R63" s="210" t="s">
        <v>912</v>
      </c>
      <c r="T63" s="210" t="s">
        <v>367</v>
      </c>
    </row>
    <row r="64" spans="1:35" ht="14.1" customHeight="1" x14ac:dyDescent="0.2">
      <c r="A64" s="210" t="s">
        <v>149</v>
      </c>
      <c r="B64" s="210" t="s">
        <v>149</v>
      </c>
      <c r="D64" s="210">
        <v>9</v>
      </c>
      <c r="E64" s="210" t="s">
        <v>141</v>
      </c>
      <c r="G64" s="210" t="s">
        <v>976</v>
      </c>
      <c r="H64" s="210" t="s">
        <v>142</v>
      </c>
      <c r="I64" s="210">
        <v>6685008514577</v>
      </c>
      <c r="J64" s="210">
        <v>41347</v>
      </c>
      <c r="K64" s="210">
        <v>1080</v>
      </c>
      <c r="L64" s="210">
        <v>42427</v>
      </c>
      <c r="M64" s="210">
        <v>42427</v>
      </c>
      <c r="N64" s="210" t="s">
        <v>352</v>
      </c>
      <c r="O64" s="210" t="s">
        <v>1361</v>
      </c>
      <c r="R64" s="210" t="s">
        <v>1370</v>
      </c>
      <c r="S64" s="210" t="s">
        <v>951</v>
      </c>
      <c r="T64" s="210" t="s">
        <v>373</v>
      </c>
      <c r="W64" s="210">
        <v>2</v>
      </c>
      <c r="X64" s="210">
        <v>2016</v>
      </c>
      <c r="Y64" s="210">
        <v>2</v>
      </c>
      <c r="Z64" s="210">
        <v>2016</v>
      </c>
      <c r="AA64" s="210" t="s">
        <v>1374</v>
      </c>
      <c r="AB64" s="210" t="s">
        <v>1374</v>
      </c>
      <c r="AC64" s="210">
        <v>42427</v>
      </c>
      <c r="AD64" s="210" t="b">
        <v>1</v>
      </c>
      <c r="AE64" s="210" t="b">
        <v>1</v>
      </c>
      <c r="AF64" s="210">
        <v>22.434257523149427</v>
      </c>
      <c r="AG64" s="210">
        <v>0</v>
      </c>
      <c r="AH64" s="210" t="s">
        <v>1375</v>
      </c>
      <c r="AI64" s="210">
        <v>0</v>
      </c>
    </row>
    <row r="65" spans="1:16364" ht="14.1" customHeight="1" x14ac:dyDescent="0.2">
      <c r="A65" s="210" t="s">
        <v>920</v>
      </c>
      <c r="B65" s="210" t="s">
        <v>920</v>
      </c>
      <c r="D65" s="210">
        <v>9</v>
      </c>
      <c r="E65" s="210" t="s">
        <v>141</v>
      </c>
      <c r="G65" s="210" t="s">
        <v>976</v>
      </c>
      <c r="H65" s="210" t="s">
        <v>142</v>
      </c>
      <c r="I65" s="210">
        <v>6685008514577</v>
      </c>
      <c r="J65" s="210">
        <v>41347</v>
      </c>
      <c r="K65" s="210">
        <v>1080</v>
      </c>
      <c r="L65" s="210">
        <v>42427</v>
      </c>
      <c r="M65" s="210">
        <v>42427</v>
      </c>
      <c r="N65" s="210" t="s">
        <v>352</v>
      </c>
      <c r="O65" s="210" t="s">
        <v>1376</v>
      </c>
      <c r="R65" s="210" t="s">
        <v>1370</v>
      </c>
      <c r="T65" s="210" t="s">
        <v>373</v>
      </c>
      <c r="W65" s="210">
        <v>2</v>
      </c>
      <c r="X65" s="210">
        <v>2016</v>
      </c>
      <c r="Y65" s="210">
        <v>2</v>
      </c>
      <c r="Z65" s="210">
        <v>2016</v>
      </c>
      <c r="AA65" s="210" t="s">
        <v>1374</v>
      </c>
      <c r="AB65" s="210" t="s">
        <v>1374</v>
      </c>
      <c r="AC65" s="210">
        <v>42427</v>
      </c>
      <c r="AD65" s="210" t="b">
        <v>1</v>
      </c>
      <c r="AE65" s="210" t="b">
        <v>1</v>
      </c>
      <c r="AF65" s="210">
        <v>22.431916782406915</v>
      </c>
      <c r="AG65" s="210">
        <v>0</v>
      </c>
      <c r="AH65" s="210">
        <v>0</v>
      </c>
      <c r="AI65" s="210">
        <v>0</v>
      </c>
    </row>
    <row r="66" spans="1:16364" ht="14.1" customHeight="1" x14ac:dyDescent="0.2">
      <c r="A66" s="210" t="s">
        <v>1035</v>
      </c>
      <c r="B66" s="210" t="s">
        <v>299</v>
      </c>
      <c r="D66" s="210" t="s">
        <v>975</v>
      </c>
      <c r="E66" s="210" t="s">
        <v>404</v>
      </c>
      <c r="G66" s="210" t="s">
        <v>975</v>
      </c>
      <c r="H66" s="210" t="s">
        <v>113</v>
      </c>
      <c r="I66" s="210">
        <v>6635007900733</v>
      </c>
      <c r="J66" s="210">
        <v>41754</v>
      </c>
      <c r="K66" s="210">
        <v>1080</v>
      </c>
      <c r="L66" s="210">
        <v>42834</v>
      </c>
      <c r="M66" s="210">
        <v>42378</v>
      </c>
      <c r="N66" s="210" t="s">
        <v>352</v>
      </c>
      <c r="O66" s="210" t="s">
        <v>1381</v>
      </c>
      <c r="R66" s="210" t="s">
        <v>1370</v>
      </c>
      <c r="T66" s="210" t="s">
        <v>373</v>
      </c>
    </row>
    <row r="67" spans="1:16364" ht="14.1" customHeight="1" x14ac:dyDescent="0.2">
      <c r="A67" s="210" t="s">
        <v>1014</v>
      </c>
      <c r="B67" s="210" t="s">
        <v>1007</v>
      </c>
      <c r="D67" s="210" t="s">
        <v>855</v>
      </c>
      <c r="E67" s="210" t="s">
        <v>1165</v>
      </c>
      <c r="H67" s="210" t="s">
        <v>118</v>
      </c>
      <c r="J67" s="210">
        <v>42213</v>
      </c>
      <c r="K67" s="210">
        <v>180</v>
      </c>
      <c r="L67" s="210">
        <v>42393</v>
      </c>
      <c r="M67" s="210">
        <v>42393</v>
      </c>
      <c r="N67" s="210" t="s">
        <v>739</v>
      </c>
      <c r="O67" s="210" t="s">
        <v>1382</v>
      </c>
      <c r="R67" s="210" t="s">
        <v>1370</v>
      </c>
      <c r="T67" s="210" t="s">
        <v>1166</v>
      </c>
    </row>
    <row r="68" spans="1:16364" ht="14.1" customHeight="1" x14ac:dyDescent="0.2">
      <c r="A68" s="210" t="s">
        <v>1379</v>
      </c>
      <c r="B68" s="210" t="s">
        <v>438</v>
      </c>
      <c r="E68" s="210" t="s">
        <v>251</v>
      </c>
      <c r="H68" s="210" t="s">
        <v>638</v>
      </c>
      <c r="I68" s="210">
        <v>6670014074073</v>
      </c>
      <c r="J68" s="210" t="s">
        <v>432</v>
      </c>
      <c r="K68" s="210">
        <v>840</v>
      </c>
      <c r="L68" s="210" t="s">
        <v>432</v>
      </c>
      <c r="M68" s="210" t="s">
        <v>432</v>
      </c>
      <c r="N68" s="210" t="s">
        <v>352</v>
      </c>
      <c r="O68" s="210" t="s">
        <v>1386</v>
      </c>
      <c r="T68" s="210" t="s">
        <v>556</v>
      </c>
    </row>
    <row r="69" spans="1:16364" ht="14.1" customHeight="1" x14ac:dyDescent="0.2">
      <c r="A69" s="210" t="s">
        <v>239</v>
      </c>
      <c r="B69" s="210" t="s">
        <v>238</v>
      </c>
      <c r="C69" s="210" t="s">
        <v>748</v>
      </c>
      <c r="D69" s="210" t="s">
        <v>855</v>
      </c>
      <c r="E69" s="210" t="s">
        <v>229</v>
      </c>
      <c r="G69" s="210" t="s">
        <v>855</v>
      </c>
      <c r="H69" s="210" t="s">
        <v>726</v>
      </c>
      <c r="I69" s="210">
        <v>4920015045258</v>
      </c>
      <c r="J69" s="210">
        <v>42311</v>
      </c>
      <c r="K69" s="210">
        <v>120</v>
      </c>
      <c r="L69" s="210">
        <v>42431</v>
      </c>
      <c r="M69" s="210">
        <v>42431</v>
      </c>
      <c r="N69" s="210" t="s">
        <v>739</v>
      </c>
      <c r="O69" s="210" t="s">
        <v>1387</v>
      </c>
      <c r="R69" s="210" t="s">
        <v>1370</v>
      </c>
      <c r="T69" s="210" t="s">
        <v>677</v>
      </c>
    </row>
    <row r="70" spans="1:16364" ht="14.1" customHeight="1" x14ac:dyDescent="0.2">
      <c r="A70" s="210" t="s">
        <v>258</v>
      </c>
      <c r="B70" s="210" t="s">
        <v>258</v>
      </c>
      <c r="C70" s="210" t="s">
        <v>257</v>
      </c>
      <c r="D70" s="210" t="s">
        <v>577</v>
      </c>
      <c r="E70" s="210">
        <v>5210002039354</v>
      </c>
      <c r="F70" s="210" t="s">
        <v>999</v>
      </c>
      <c r="G70" s="210">
        <v>1080</v>
      </c>
      <c r="H70" s="210" t="s">
        <v>843</v>
      </c>
      <c r="I70" s="210" t="s">
        <v>843</v>
      </c>
      <c r="J70" s="210" t="s">
        <v>352</v>
      </c>
      <c r="N70" s="210" t="s">
        <v>1370</v>
      </c>
      <c r="O70" s="210" t="s">
        <v>1359</v>
      </c>
      <c r="P70" s="210" t="s">
        <v>689</v>
      </c>
    </row>
    <row r="71" spans="1:16364" ht="14.1" customHeight="1" x14ac:dyDescent="0.2">
      <c r="A71" s="210" t="s">
        <v>259</v>
      </c>
      <c r="B71" s="210" t="s">
        <v>259</v>
      </c>
      <c r="C71" s="210" t="s">
        <v>257</v>
      </c>
      <c r="D71" s="210" t="s">
        <v>577</v>
      </c>
      <c r="E71" s="210">
        <v>5210002039354</v>
      </c>
      <c r="F71" s="210" t="s">
        <v>999</v>
      </c>
      <c r="G71" s="210">
        <v>1080</v>
      </c>
      <c r="H71" s="210" t="s">
        <v>843</v>
      </c>
      <c r="I71" s="210" t="s">
        <v>843</v>
      </c>
      <c r="J71" s="210" t="s">
        <v>352</v>
      </c>
      <c r="N71" s="210" t="s">
        <v>1370</v>
      </c>
      <c r="O71" s="210" t="s">
        <v>1359</v>
      </c>
      <c r="P71" s="210" t="s">
        <v>689</v>
      </c>
    </row>
    <row r="72" spans="1:16364" ht="14.1" customHeight="1" x14ac:dyDescent="0.2">
      <c r="A72" s="210" t="s">
        <v>1097</v>
      </c>
      <c r="B72" s="210" t="s">
        <v>1082</v>
      </c>
      <c r="D72" s="210" t="s">
        <v>855</v>
      </c>
      <c r="E72" s="210" t="s">
        <v>1083</v>
      </c>
      <c r="H72" s="210" t="s">
        <v>726</v>
      </c>
      <c r="I72" s="210">
        <v>6625015164656</v>
      </c>
      <c r="J72" s="210">
        <v>41991</v>
      </c>
      <c r="K72" s="210">
        <v>450</v>
      </c>
      <c r="L72" s="210">
        <v>42441</v>
      </c>
      <c r="M72" s="210">
        <v>42441</v>
      </c>
      <c r="N72" s="210" t="s">
        <v>739</v>
      </c>
      <c r="O72" s="210" t="s">
        <v>1388</v>
      </c>
      <c r="R72" s="210" t="s">
        <v>398</v>
      </c>
      <c r="T72" s="210" t="s">
        <v>367</v>
      </c>
    </row>
    <row r="73" spans="1:16364" ht="14.1" customHeight="1" x14ac:dyDescent="0.2">
      <c r="A73" s="210" t="s">
        <v>1084</v>
      </c>
      <c r="B73" s="210" t="s">
        <v>933</v>
      </c>
      <c r="D73" s="210" t="s">
        <v>1346</v>
      </c>
      <c r="F73" s="210" t="s">
        <v>818</v>
      </c>
      <c r="H73" s="210" t="s">
        <v>979</v>
      </c>
      <c r="I73" s="210" t="s">
        <v>819</v>
      </c>
      <c r="J73" s="210" t="s">
        <v>927</v>
      </c>
      <c r="K73" s="210" t="s">
        <v>432</v>
      </c>
      <c r="L73" s="210">
        <v>720</v>
      </c>
      <c r="M73" s="210" t="s">
        <v>432</v>
      </c>
      <c r="N73" s="210" t="s">
        <v>432</v>
      </c>
      <c r="O73" s="210" t="s">
        <v>1402</v>
      </c>
      <c r="S73" s="210" t="s">
        <v>1370</v>
      </c>
      <c r="U73" s="210" t="s">
        <v>373</v>
      </c>
    </row>
    <row r="74" spans="1:16364" ht="14.1" customHeight="1" x14ac:dyDescent="0.2">
      <c r="A74" s="210" t="s">
        <v>844</v>
      </c>
      <c r="B74" s="210" t="s">
        <v>805</v>
      </c>
      <c r="D74" s="210" t="s">
        <v>803</v>
      </c>
      <c r="E74" s="210" t="s">
        <v>804</v>
      </c>
      <c r="F74" s="210">
        <v>5120015025964</v>
      </c>
      <c r="G74" s="210" t="s">
        <v>432</v>
      </c>
      <c r="H74" s="210">
        <v>360</v>
      </c>
      <c r="I74" s="210" t="s">
        <v>432</v>
      </c>
      <c r="J74" s="210" t="s">
        <v>432</v>
      </c>
      <c r="K74" s="210" t="s">
        <v>352</v>
      </c>
      <c r="O74" s="210" t="s">
        <v>1425</v>
      </c>
      <c r="Q74" s="210" t="s">
        <v>809</v>
      </c>
    </row>
    <row r="75" spans="1:16364" ht="14.1" customHeight="1" x14ac:dyDescent="0.2">
      <c r="A75" s="210" t="s">
        <v>1039</v>
      </c>
      <c r="B75" s="210" t="s">
        <v>1039</v>
      </c>
      <c r="D75" s="210" t="s">
        <v>973</v>
      </c>
      <c r="F75" s="210" t="s">
        <v>1022</v>
      </c>
      <c r="I75" s="210" t="s">
        <v>1105</v>
      </c>
      <c r="K75" s="210">
        <v>42416</v>
      </c>
      <c r="L75" s="210">
        <v>1080</v>
      </c>
      <c r="M75" s="210">
        <v>43496</v>
      </c>
      <c r="N75" s="210">
        <v>43496</v>
      </c>
      <c r="O75" s="210" t="s">
        <v>1429</v>
      </c>
      <c r="S75" s="210" t="s">
        <v>1370</v>
      </c>
      <c r="U75" s="210" t="s">
        <v>1106</v>
      </c>
    </row>
    <row r="76" spans="1:16364" ht="14.1" customHeight="1" x14ac:dyDescent="0.2">
      <c r="A76" s="211" t="s">
        <v>729</v>
      </c>
      <c r="B76" s="283" t="s">
        <v>721</v>
      </c>
      <c r="C76" s="283" t="s">
        <v>724</v>
      </c>
      <c r="D76" s="283" t="s">
        <v>722</v>
      </c>
      <c r="E76" s="284">
        <v>6625012554248</v>
      </c>
      <c r="F76" s="285" t="s">
        <v>138</v>
      </c>
      <c r="G76" s="286" t="s">
        <v>138</v>
      </c>
      <c r="H76" s="287" t="s">
        <v>138</v>
      </c>
      <c r="I76" s="288" t="s">
        <v>138</v>
      </c>
      <c r="J76" s="289" t="s">
        <v>352</v>
      </c>
      <c r="K76" s="290"/>
      <c r="L76" s="284"/>
      <c r="M76" s="284"/>
      <c r="N76" s="284" t="s">
        <v>398</v>
      </c>
      <c r="O76" s="285" t="s">
        <v>1448</v>
      </c>
      <c r="P76" s="291" t="s">
        <v>367</v>
      </c>
      <c r="Q76" s="156"/>
      <c r="R76" s="156"/>
      <c r="S76" s="156"/>
      <c r="T76" s="156"/>
      <c r="U76" s="156"/>
      <c r="V76" s="156"/>
      <c r="W76" s="156"/>
      <c r="X76" s="156"/>
      <c r="Y76" s="156"/>
      <c r="Z76" s="156"/>
      <c r="AA76" s="156"/>
      <c r="AB76" s="156"/>
      <c r="AC76" s="156"/>
      <c r="AD76" s="156"/>
      <c r="AE76" s="156"/>
      <c r="AF76" s="156"/>
      <c r="AG76" s="156"/>
      <c r="AH76" s="156"/>
      <c r="AI76" s="156"/>
      <c r="AJ76" s="156"/>
      <c r="AK76" s="156"/>
      <c r="AL76" s="156"/>
      <c r="AM76" s="156"/>
      <c r="AN76" s="156"/>
      <c r="AO76" s="156"/>
      <c r="AP76" s="156"/>
      <c r="AQ76" s="156"/>
      <c r="AR76" s="156"/>
      <c r="AS76" s="156"/>
      <c r="AT76" s="156"/>
      <c r="AU76" s="156"/>
      <c r="AV76" s="156"/>
      <c r="AW76" s="156"/>
      <c r="AX76" s="156"/>
      <c r="AY76" s="156"/>
      <c r="AZ76" s="156"/>
      <c r="BA76" s="156"/>
      <c r="BB76" s="156"/>
      <c r="BC76" s="156"/>
      <c r="BD76" s="156"/>
      <c r="BE76" s="156"/>
      <c r="BF76" s="156"/>
      <c r="BG76" s="156"/>
      <c r="BH76" s="156"/>
      <c r="BI76" s="156"/>
      <c r="BJ76" s="156"/>
      <c r="BK76" s="156"/>
      <c r="BL76" s="156"/>
      <c r="BM76" s="156"/>
      <c r="BN76" s="156"/>
      <c r="BO76" s="156"/>
      <c r="BP76" s="156"/>
      <c r="BQ76" s="156"/>
      <c r="BR76" s="156"/>
      <c r="BS76" s="156"/>
      <c r="BT76" s="156"/>
      <c r="BU76" s="156"/>
      <c r="BV76" s="156"/>
      <c r="BW76" s="156"/>
      <c r="BX76" s="156"/>
      <c r="BY76" s="156"/>
      <c r="BZ76" s="156"/>
      <c r="CA76" s="156"/>
      <c r="CB76" s="156"/>
      <c r="CC76" s="156"/>
      <c r="CD76" s="156"/>
      <c r="CE76" s="156"/>
      <c r="CF76" s="156"/>
      <c r="CG76" s="156"/>
      <c r="CH76" s="156"/>
      <c r="CI76" s="156"/>
      <c r="CJ76" s="156"/>
      <c r="CK76" s="156"/>
      <c r="CL76" s="156"/>
      <c r="CM76" s="156"/>
      <c r="CN76" s="156"/>
      <c r="CO76" s="156"/>
      <c r="CP76" s="156"/>
      <c r="CQ76" s="156"/>
      <c r="CR76" s="156"/>
      <c r="CS76" s="156"/>
      <c r="CT76" s="156"/>
      <c r="CU76" s="156"/>
      <c r="CV76" s="156"/>
      <c r="CW76" s="156"/>
      <c r="CX76" s="156"/>
      <c r="CY76" s="156"/>
      <c r="CZ76" s="156"/>
      <c r="DA76" s="156"/>
      <c r="DB76" s="156"/>
      <c r="DC76" s="156"/>
      <c r="DD76" s="156"/>
      <c r="DE76" s="156"/>
      <c r="DF76" s="156"/>
      <c r="DG76" s="156"/>
      <c r="DH76" s="156"/>
      <c r="DI76" s="156"/>
      <c r="DJ76" s="156"/>
      <c r="DK76" s="156"/>
      <c r="DL76" s="156"/>
      <c r="DM76" s="156"/>
      <c r="DN76" s="156"/>
      <c r="DO76" s="156"/>
      <c r="DP76" s="156"/>
      <c r="DQ76" s="156"/>
      <c r="DR76" s="156"/>
      <c r="DS76" s="156"/>
      <c r="DT76" s="156"/>
      <c r="DU76" s="156"/>
      <c r="DV76" s="156"/>
      <c r="DW76" s="156"/>
      <c r="DX76" s="156"/>
      <c r="DY76" s="156"/>
      <c r="DZ76" s="156"/>
      <c r="EA76" s="156"/>
      <c r="EB76" s="156"/>
      <c r="EC76" s="156"/>
      <c r="ED76" s="156"/>
      <c r="EE76" s="156"/>
      <c r="EF76" s="156"/>
      <c r="EG76" s="156"/>
      <c r="EH76" s="156"/>
      <c r="EI76" s="156"/>
      <c r="EJ76" s="156"/>
      <c r="EK76" s="156"/>
      <c r="EL76" s="156"/>
      <c r="EM76" s="156"/>
      <c r="EN76" s="156"/>
      <c r="EO76" s="156"/>
      <c r="EP76" s="156"/>
      <c r="EQ76" s="156"/>
      <c r="ER76" s="156"/>
      <c r="ES76" s="156"/>
      <c r="ET76" s="156"/>
      <c r="EU76" s="156"/>
      <c r="EV76" s="156"/>
      <c r="EW76" s="156"/>
      <c r="EX76" s="156"/>
      <c r="EY76" s="156"/>
      <c r="EZ76" s="156"/>
      <c r="FA76" s="156"/>
      <c r="FB76" s="156"/>
      <c r="FC76" s="156"/>
      <c r="FD76" s="156"/>
      <c r="FE76" s="156"/>
      <c r="FF76" s="156"/>
      <c r="FG76" s="156"/>
      <c r="FH76" s="156"/>
      <c r="FI76" s="156"/>
      <c r="FJ76" s="156"/>
      <c r="FK76" s="156"/>
      <c r="FL76" s="156"/>
      <c r="FM76" s="156"/>
      <c r="FN76" s="156"/>
      <c r="FO76" s="156"/>
      <c r="FP76" s="156"/>
      <c r="FQ76" s="156"/>
      <c r="FR76" s="156"/>
      <c r="FS76" s="156"/>
      <c r="FT76" s="156"/>
      <c r="FU76" s="156"/>
      <c r="FV76" s="156"/>
      <c r="FW76" s="156"/>
      <c r="FX76" s="156"/>
      <c r="FY76" s="156"/>
      <c r="FZ76" s="156"/>
      <c r="GA76" s="156"/>
      <c r="GB76" s="156"/>
      <c r="GC76" s="156"/>
      <c r="GD76" s="156"/>
      <c r="GE76" s="156"/>
      <c r="GF76" s="156"/>
      <c r="GG76" s="156"/>
      <c r="GH76" s="156"/>
      <c r="GI76" s="156"/>
      <c r="GJ76" s="156"/>
      <c r="GK76" s="156"/>
      <c r="GL76" s="156"/>
      <c r="GM76" s="156"/>
      <c r="GN76" s="156"/>
      <c r="GO76" s="156"/>
      <c r="GP76" s="156"/>
      <c r="GQ76" s="156"/>
      <c r="GR76" s="156"/>
      <c r="GS76" s="156"/>
      <c r="GT76" s="156"/>
      <c r="GU76" s="156"/>
      <c r="GV76" s="156"/>
      <c r="GW76" s="156"/>
      <c r="GX76" s="156"/>
      <c r="GY76" s="156"/>
      <c r="GZ76" s="156"/>
      <c r="HA76" s="156"/>
      <c r="HB76" s="156"/>
      <c r="HC76" s="156"/>
      <c r="HD76" s="156"/>
      <c r="HE76" s="156"/>
      <c r="HF76" s="156"/>
      <c r="HG76" s="156"/>
      <c r="HH76" s="156"/>
      <c r="HI76" s="156"/>
      <c r="HJ76" s="156"/>
      <c r="HK76" s="156"/>
      <c r="HL76" s="156"/>
      <c r="HM76" s="156"/>
      <c r="HN76" s="156"/>
      <c r="HO76" s="156"/>
      <c r="HP76" s="156"/>
      <c r="HQ76" s="156"/>
      <c r="HR76" s="156"/>
      <c r="HS76" s="156"/>
      <c r="HT76" s="156"/>
      <c r="HU76" s="156"/>
      <c r="HV76" s="156"/>
      <c r="HW76" s="156"/>
      <c r="HX76" s="156"/>
      <c r="HY76" s="156"/>
      <c r="HZ76" s="156"/>
      <c r="IA76" s="156"/>
      <c r="IB76" s="156"/>
      <c r="IC76" s="156"/>
      <c r="ID76" s="156"/>
      <c r="IE76" s="156"/>
      <c r="IF76" s="156"/>
      <c r="IG76" s="156"/>
      <c r="IH76" s="156"/>
      <c r="II76" s="156"/>
      <c r="IJ76" s="156"/>
      <c r="IK76" s="156"/>
      <c r="IL76" s="156"/>
      <c r="IM76" s="156"/>
      <c r="IN76" s="156"/>
      <c r="IO76" s="156"/>
      <c r="IP76" s="156"/>
      <c r="IQ76" s="156"/>
      <c r="IR76" s="156"/>
      <c r="IS76" s="156"/>
      <c r="IT76" s="156"/>
      <c r="IU76" s="156"/>
      <c r="IV76" s="156"/>
      <c r="IW76" s="156"/>
      <c r="IX76" s="156"/>
      <c r="IY76" s="156"/>
      <c r="IZ76" s="156"/>
      <c r="JA76" s="156"/>
      <c r="JB76" s="156"/>
      <c r="JC76" s="156"/>
      <c r="JD76" s="156"/>
      <c r="JE76" s="156"/>
      <c r="JF76" s="156"/>
      <c r="JG76" s="156"/>
      <c r="JH76" s="156"/>
      <c r="JI76" s="156"/>
      <c r="JJ76" s="156"/>
      <c r="JK76" s="156"/>
      <c r="JL76" s="156"/>
      <c r="JM76" s="156"/>
      <c r="JN76" s="156"/>
      <c r="JO76" s="156"/>
      <c r="JP76" s="156"/>
      <c r="JQ76" s="156"/>
      <c r="JR76" s="156"/>
      <c r="JS76" s="156"/>
      <c r="JT76" s="156"/>
      <c r="JU76" s="156"/>
      <c r="JV76" s="156"/>
      <c r="JW76" s="156"/>
      <c r="JX76" s="156"/>
      <c r="JY76" s="156"/>
      <c r="JZ76" s="156"/>
      <c r="KA76" s="156"/>
      <c r="KB76" s="156"/>
      <c r="KC76" s="156"/>
      <c r="KD76" s="156"/>
      <c r="KE76" s="156"/>
      <c r="KF76" s="156"/>
      <c r="KG76" s="156"/>
      <c r="KH76" s="156"/>
      <c r="KI76" s="156"/>
      <c r="KJ76" s="156"/>
      <c r="KK76" s="156"/>
      <c r="KL76" s="156"/>
      <c r="KM76" s="156"/>
      <c r="KN76" s="156"/>
      <c r="KO76" s="156"/>
      <c r="KP76" s="156"/>
      <c r="KQ76" s="156"/>
      <c r="KR76" s="156"/>
      <c r="KS76" s="156"/>
      <c r="KT76" s="156"/>
      <c r="KU76" s="156"/>
      <c r="KV76" s="156"/>
      <c r="KW76" s="156"/>
      <c r="KX76" s="156"/>
      <c r="KY76" s="156"/>
      <c r="KZ76" s="156"/>
      <c r="LA76" s="156"/>
      <c r="LB76" s="156"/>
      <c r="LC76" s="156"/>
      <c r="LD76" s="156"/>
      <c r="LE76" s="156"/>
      <c r="LF76" s="156"/>
      <c r="LG76" s="156"/>
      <c r="LH76" s="156"/>
      <c r="LI76" s="156"/>
      <c r="LJ76" s="156"/>
      <c r="LK76" s="156"/>
      <c r="LL76" s="156"/>
      <c r="LM76" s="156"/>
      <c r="LN76" s="156"/>
      <c r="LO76" s="156"/>
      <c r="LP76" s="156"/>
      <c r="LQ76" s="156"/>
      <c r="LR76" s="156"/>
      <c r="LS76" s="156"/>
      <c r="LT76" s="156"/>
      <c r="LU76" s="156"/>
      <c r="LV76" s="156"/>
      <c r="LW76" s="156"/>
      <c r="LX76" s="156"/>
      <c r="LY76" s="156"/>
      <c r="LZ76" s="156"/>
      <c r="MA76" s="156"/>
      <c r="MB76" s="156"/>
      <c r="MC76" s="156"/>
      <c r="MD76" s="156"/>
      <c r="ME76" s="156"/>
      <c r="MF76" s="156"/>
      <c r="MG76" s="156"/>
      <c r="MH76" s="156"/>
      <c r="MI76" s="156"/>
      <c r="MJ76" s="156"/>
      <c r="MK76" s="156"/>
      <c r="ML76" s="156"/>
      <c r="MM76" s="156"/>
      <c r="MN76" s="156"/>
      <c r="MO76" s="156"/>
      <c r="MP76" s="156"/>
      <c r="MQ76" s="156"/>
      <c r="MR76" s="156"/>
      <c r="MS76" s="156"/>
      <c r="MT76" s="156"/>
      <c r="MU76" s="156"/>
      <c r="MV76" s="156"/>
      <c r="MW76" s="156"/>
      <c r="MX76" s="156"/>
      <c r="MY76" s="156"/>
      <c r="MZ76" s="156"/>
      <c r="NA76" s="156"/>
      <c r="NB76" s="156"/>
      <c r="NC76" s="156"/>
      <c r="ND76" s="156"/>
      <c r="NE76" s="156"/>
      <c r="NF76" s="156"/>
      <c r="NG76" s="156"/>
      <c r="NH76" s="156"/>
      <c r="NI76" s="156"/>
      <c r="NJ76" s="156"/>
      <c r="NK76" s="156"/>
      <c r="NL76" s="156"/>
      <c r="NM76" s="156"/>
      <c r="NN76" s="156"/>
      <c r="NO76" s="156"/>
      <c r="NP76" s="156"/>
      <c r="NQ76" s="156"/>
      <c r="NR76" s="156"/>
      <c r="NS76" s="156"/>
      <c r="NT76" s="156"/>
      <c r="NU76" s="156"/>
      <c r="NV76" s="156"/>
      <c r="NW76" s="156"/>
      <c r="NX76" s="156"/>
      <c r="NY76" s="156"/>
      <c r="NZ76" s="156"/>
      <c r="OA76" s="156"/>
      <c r="OB76" s="156"/>
      <c r="OC76" s="156"/>
      <c r="OD76" s="156"/>
      <c r="OE76" s="156"/>
      <c r="OF76" s="156"/>
      <c r="OG76" s="156"/>
      <c r="OH76" s="156"/>
      <c r="OI76" s="156"/>
      <c r="OJ76" s="156"/>
      <c r="OK76" s="156"/>
      <c r="OL76" s="156"/>
      <c r="OM76" s="156"/>
      <c r="ON76" s="156"/>
      <c r="OO76" s="156"/>
      <c r="OP76" s="156"/>
      <c r="OQ76" s="156"/>
      <c r="OR76" s="156"/>
      <c r="OS76" s="156"/>
      <c r="OT76" s="156"/>
      <c r="OU76" s="156"/>
      <c r="OV76" s="156"/>
      <c r="OW76" s="156"/>
      <c r="OX76" s="156"/>
      <c r="OY76" s="156"/>
      <c r="OZ76" s="156"/>
      <c r="PA76" s="156"/>
      <c r="PB76" s="156"/>
      <c r="PC76" s="156"/>
      <c r="PD76" s="156"/>
      <c r="PE76" s="156"/>
      <c r="PF76" s="156"/>
      <c r="PG76" s="156"/>
      <c r="PH76" s="156"/>
      <c r="PI76" s="156"/>
      <c r="PJ76" s="156"/>
      <c r="PK76" s="156"/>
      <c r="PL76" s="156"/>
      <c r="PM76" s="156"/>
      <c r="PN76" s="156"/>
      <c r="PO76" s="156"/>
      <c r="PP76" s="156"/>
      <c r="PQ76" s="156"/>
      <c r="PR76" s="156"/>
      <c r="PS76" s="156"/>
      <c r="PT76" s="156"/>
      <c r="PU76" s="156"/>
      <c r="PV76" s="156"/>
      <c r="PW76" s="156"/>
      <c r="PX76" s="156"/>
      <c r="PY76" s="156"/>
      <c r="PZ76" s="156"/>
      <c r="QA76" s="156"/>
      <c r="QB76" s="156"/>
      <c r="QC76" s="156"/>
      <c r="QD76" s="156"/>
      <c r="QE76" s="156"/>
      <c r="QF76" s="156"/>
      <c r="QG76" s="156"/>
      <c r="QH76" s="156"/>
      <c r="QI76" s="156"/>
      <c r="QJ76" s="156"/>
      <c r="QK76" s="156"/>
      <c r="QL76" s="156"/>
      <c r="QM76" s="156"/>
      <c r="QN76" s="156"/>
      <c r="QO76" s="156"/>
      <c r="QP76" s="156"/>
      <c r="QQ76" s="156"/>
      <c r="QR76" s="156"/>
      <c r="QS76" s="156"/>
      <c r="QT76" s="156"/>
      <c r="QU76" s="156"/>
      <c r="QV76" s="156"/>
      <c r="QW76" s="156"/>
      <c r="QX76" s="156"/>
      <c r="QY76" s="156"/>
      <c r="QZ76" s="156"/>
      <c r="RA76" s="156"/>
      <c r="RB76" s="156"/>
      <c r="RC76" s="156"/>
      <c r="RD76" s="156"/>
      <c r="RE76" s="156"/>
      <c r="RF76" s="156"/>
      <c r="RG76" s="156"/>
      <c r="RH76" s="156"/>
      <c r="RI76" s="156"/>
      <c r="RJ76" s="156"/>
      <c r="RK76" s="156"/>
      <c r="RL76" s="156"/>
      <c r="RM76" s="156"/>
      <c r="RN76" s="156"/>
      <c r="RO76" s="156"/>
      <c r="RP76" s="156"/>
      <c r="RQ76" s="156"/>
      <c r="RR76" s="156"/>
      <c r="RS76" s="156"/>
      <c r="RT76" s="156"/>
      <c r="RU76" s="156"/>
      <c r="RV76" s="156"/>
      <c r="RW76" s="156"/>
      <c r="RX76" s="156"/>
      <c r="RY76" s="156"/>
      <c r="RZ76" s="156"/>
      <c r="SA76" s="156"/>
      <c r="SB76" s="156"/>
      <c r="SC76" s="156"/>
      <c r="SD76" s="156"/>
      <c r="SE76" s="156"/>
      <c r="SF76" s="156"/>
      <c r="SG76" s="156"/>
      <c r="SH76" s="156"/>
      <c r="SI76" s="156"/>
      <c r="SJ76" s="156"/>
      <c r="SK76" s="156"/>
      <c r="SL76" s="156"/>
      <c r="SM76" s="156"/>
      <c r="SN76" s="156"/>
      <c r="SO76" s="156"/>
      <c r="SP76" s="156"/>
      <c r="SQ76" s="156"/>
      <c r="SR76" s="156"/>
      <c r="SS76" s="156"/>
      <c r="ST76" s="156"/>
      <c r="SU76" s="156"/>
      <c r="SV76" s="156"/>
      <c r="SW76" s="156"/>
      <c r="SX76" s="156"/>
      <c r="SY76" s="156"/>
      <c r="SZ76" s="156"/>
      <c r="TA76" s="156"/>
      <c r="TB76" s="156"/>
      <c r="TC76" s="156"/>
      <c r="TD76" s="156"/>
      <c r="TE76" s="156"/>
      <c r="TF76" s="156"/>
      <c r="TG76" s="156"/>
      <c r="TH76" s="156"/>
      <c r="TI76" s="156"/>
      <c r="TJ76" s="156"/>
      <c r="TK76" s="156"/>
      <c r="TL76" s="156"/>
      <c r="TM76" s="156"/>
      <c r="TN76" s="156"/>
      <c r="TO76" s="156"/>
      <c r="TP76" s="156"/>
      <c r="TQ76" s="156"/>
      <c r="TR76" s="156"/>
      <c r="TS76" s="156"/>
      <c r="TT76" s="156"/>
      <c r="TU76" s="156"/>
      <c r="TV76" s="156"/>
      <c r="TW76" s="156"/>
      <c r="TX76" s="156"/>
      <c r="TY76" s="156"/>
      <c r="TZ76" s="156"/>
      <c r="UA76" s="156"/>
      <c r="UB76" s="156"/>
      <c r="UC76" s="156"/>
      <c r="UD76" s="156"/>
      <c r="UE76" s="156"/>
      <c r="UF76" s="156"/>
      <c r="UG76" s="156"/>
      <c r="UH76" s="156"/>
      <c r="UI76" s="156"/>
      <c r="UJ76" s="156"/>
      <c r="UK76" s="156"/>
      <c r="UL76" s="156"/>
      <c r="UM76" s="156"/>
      <c r="UN76" s="156"/>
      <c r="UO76" s="156"/>
      <c r="UP76" s="156"/>
      <c r="UQ76" s="156"/>
      <c r="UR76" s="156"/>
      <c r="US76" s="156"/>
      <c r="UT76" s="156"/>
      <c r="UU76" s="156"/>
      <c r="UV76" s="156"/>
      <c r="UW76" s="156"/>
      <c r="UX76" s="156"/>
      <c r="UY76" s="156"/>
      <c r="UZ76" s="156"/>
      <c r="VA76" s="156"/>
      <c r="VB76" s="156"/>
      <c r="VC76" s="156"/>
      <c r="VD76" s="156"/>
      <c r="VE76" s="156"/>
      <c r="VF76" s="156"/>
      <c r="VG76" s="156"/>
      <c r="VH76" s="156"/>
      <c r="VI76" s="156"/>
      <c r="VJ76" s="156"/>
      <c r="VK76" s="156"/>
      <c r="VL76" s="156"/>
      <c r="VM76" s="156"/>
      <c r="VN76" s="156"/>
      <c r="VO76" s="156"/>
      <c r="VP76" s="156"/>
      <c r="VQ76" s="156"/>
      <c r="VR76" s="156"/>
      <c r="VS76" s="156"/>
      <c r="VT76" s="156"/>
      <c r="VU76" s="156"/>
      <c r="VV76" s="156"/>
      <c r="VW76" s="156"/>
      <c r="VX76" s="156"/>
      <c r="VY76" s="156"/>
      <c r="VZ76" s="156"/>
      <c r="WA76" s="156"/>
      <c r="WB76" s="156"/>
      <c r="WC76" s="156"/>
      <c r="WD76" s="156"/>
      <c r="WE76" s="156"/>
      <c r="WF76" s="156"/>
      <c r="WG76" s="156"/>
      <c r="WH76" s="156"/>
      <c r="WI76" s="156"/>
      <c r="WJ76" s="156"/>
      <c r="WK76" s="156"/>
      <c r="WL76" s="156"/>
      <c r="WM76" s="156"/>
      <c r="WN76" s="156"/>
      <c r="WO76" s="156"/>
      <c r="WP76" s="156"/>
      <c r="WQ76" s="156"/>
      <c r="WR76" s="156"/>
      <c r="WS76" s="156"/>
      <c r="WT76" s="156"/>
      <c r="WU76" s="156"/>
      <c r="WV76" s="156"/>
      <c r="WW76" s="156"/>
      <c r="WX76" s="156"/>
      <c r="WY76" s="156"/>
      <c r="WZ76" s="156"/>
      <c r="XA76" s="156"/>
      <c r="XB76" s="156"/>
      <c r="XC76" s="156"/>
      <c r="XD76" s="156"/>
      <c r="XE76" s="156"/>
      <c r="XF76" s="156"/>
      <c r="XG76" s="156"/>
      <c r="XH76" s="156"/>
      <c r="XI76" s="156"/>
      <c r="XJ76" s="156"/>
      <c r="XK76" s="156"/>
      <c r="XL76" s="156"/>
      <c r="XM76" s="156"/>
      <c r="XN76" s="156"/>
      <c r="XO76" s="156"/>
      <c r="XP76" s="156"/>
      <c r="XQ76" s="156"/>
      <c r="XR76" s="156"/>
      <c r="XS76" s="156"/>
      <c r="XT76" s="156"/>
      <c r="XU76" s="156"/>
      <c r="XV76" s="156"/>
      <c r="XW76" s="156"/>
      <c r="XX76" s="156"/>
      <c r="XY76" s="156"/>
      <c r="XZ76" s="156"/>
      <c r="YA76" s="156"/>
      <c r="YB76" s="156"/>
      <c r="YC76" s="156"/>
      <c r="YD76" s="156"/>
      <c r="YE76" s="156"/>
      <c r="YF76" s="156"/>
      <c r="YG76" s="156"/>
      <c r="YH76" s="156"/>
      <c r="YI76" s="156"/>
      <c r="YJ76" s="156"/>
      <c r="YK76" s="156"/>
      <c r="YL76" s="156"/>
      <c r="YM76" s="156"/>
      <c r="YN76" s="156"/>
      <c r="YO76" s="156"/>
      <c r="YP76" s="156"/>
      <c r="YQ76" s="156"/>
      <c r="YR76" s="156"/>
      <c r="YS76" s="156"/>
      <c r="YT76" s="156"/>
      <c r="YU76" s="156"/>
      <c r="YV76" s="156"/>
      <c r="YW76" s="156"/>
      <c r="YX76" s="156"/>
      <c r="YY76" s="156"/>
      <c r="YZ76" s="156"/>
      <c r="ZA76" s="156"/>
      <c r="ZB76" s="156"/>
      <c r="ZC76" s="156"/>
      <c r="ZD76" s="156"/>
      <c r="ZE76" s="156"/>
      <c r="ZF76" s="156"/>
      <c r="ZG76" s="156"/>
      <c r="ZH76" s="156"/>
      <c r="ZI76" s="156"/>
      <c r="ZJ76" s="156"/>
      <c r="ZK76" s="156"/>
      <c r="ZL76" s="156"/>
      <c r="ZM76" s="156"/>
      <c r="ZN76" s="156"/>
      <c r="ZO76" s="156"/>
      <c r="ZP76" s="156"/>
      <c r="ZQ76" s="156"/>
      <c r="ZR76" s="156"/>
      <c r="ZS76" s="156"/>
      <c r="ZT76" s="156"/>
      <c r="ZU76" s="156"/>
      <c r="ZV76" s="156"/>
      <c r="ZW76" s="156"/>
      <c r="ZX76" s="156"/>
      <c r="ZY76" s="156"/>
      <c r="ZZ76" s="156"/>
      <c r="AAA76" s="156"/>
      <c r="AAB76" s="156"/>
      <c r="AAC76" s="156"/>
      <c r="AAD76" s="156"/>
      <c r="AAE76" s="156"/>
      <c r="AAF76" s="156"/>
      <c r="AAG76" s="156"/>
      <c r="AAH76" s="156"/>
      <c r="AAI76" s="156"/>
      <c r="AAJ76" s="156"/>
      <c r="AAK76" s="156"/>
      <c r="AAL76" s="156"/>
      <c r="AAM76" s="156"/>
      <c r="AAN76" s="156"/>
      <c r="AAO76" s="156"/>
      <c r="AAP76" s="156"/>
      <c r="AAQ76" s="156"/>
      <c r="AAR76" s="156"/>
      <c r="AAS76" s="156"/>
      <c r="AAT76" s="156"/>
      <c r="AAU76" s="156"/>
      <c r="AAV76" s="156"/>
      <c r="AAW76" s="156"/>
      <c r="AAX76" s="156"/>
      <c r="AAY76" s="156"/>
      <c r="AAZ76" s="156"/>
      <c r="ABA76" s="156"/>
      <c r="ABB76" s="156"/>
      <c r="ABC76" s="156"/>
      <c r="ABD76" s="156"/>
      <c r="ABE76" s="156"/>
      <c r="ABF76" s="156"/>
      <c r="ABG76" s="156"/>
      <c r="ABH76" s="156"/>
      <c r="ABI76" s="156"/>
      <c r="ABJ76" s="156"/>
      <c r="ABK76" s="156"/>
      <c r="ABL76" s="156"/>
      <c r="ABM76" s="156"/>
      <c r="ABN76" s="156"/>
      <c r="ABO76" s="156"/>
      <c r="ABP76" s="156"/>
      <c r="ABQ76" s="156"/>
      <c r="ABR76" s="156"/>
      <c r="ABS76" s="156"/>
      <c r="ABT76" s="156"/>
      <c r="ABU76" s="156"/>
      <c r="ABV76" s="156"/>
      <c r="ABW76" s="156"/>
      <c r="ABX76" s="156"/>
      <c r="ABY76" s="156"/>
      <c r="ABZ76" s="156"/>
      <c r="ACA76" s="156"/>
      <c r="ACB76" s="156"/>
      <c r="ACC76" s="156"/>
      <c r="ACD76" s="156"/>
      <c r="ACE76" s="156"/>
      <c r="ACF76" s="156"/>
      <c r="ACG76" s="156"/>
      <c r="ACH76" s="156"/>
      <c r="ACI76" s="156"/>
      <c r="ACJ76" s="156"/>
      <c r="ACK76" s="156"/>
      <c r="ACL76" s="156"/>
      <c r="ACM76" s="156"/>
      <c r="ACN76" s="156"/>
      <c r="ACO76" s="156"/>
      <c r="ACP76" s="156"/>
      <c r="ACQ76" s="156"/>
      <c r="ACR76" s="156"/>
      <c r="ACS76" s="156"/>
      <c r="ACT76" s="156"/>
      <c r="ACU76" s="156"/>
      <c r="ACV76" s="156"/>
      <c r="ACW76" s="156"/>
      <c r="ACX76" s="156"/>
      <c r="ACY76" s="156"/>
      <c r="ACZ76" s="156"/>
      <c r="ADA76" s="156"/>
      <c r="ADB76" s="156"/>
      <c r="ADC76" s="156"/>
      <c r="ADD76" s="156"/>
      <c r="ADE76" s="156"/>
      <c r="ADF76" s="156"/>
      <c r="ADG76" s="156"/>
      <c r="ADH76" s="156"/>
      <c r="ADI76" s="156"/>
      <c r="ADJ76" s="156"/>
      <c r="ADK76" s="156"/>
      <c r="ADL76" s="156"/>
      <c r="ADM76" s="156"/>
      <c r="ADN76" s="156"/>
      <c r="ADO76" s="156"/>
      <c r="ADP76" s="156"/>
      <c r="ADQ76" s="156"/>
      <c r="ADR76" s="156"/>
      <c r="ADS76" s="156"/>
      <c r="ADT76" s="156"/>
      <c r="ADU76" s="156"/>
      <c r="ADV76" s="156"/>
      <c r="ADW76" s="156"/>
      <c r="ADX76" s="156"/>
      <c r="ADY76" s="156"/>
      <c r="ADZ76" s="156"/>
      <c r="AEA76" s="156"/>
      <c r="AEB76" s="156"/>
      <c r="AEC76" s="156"/>
      <c r="AED76" s="156"/>
      <c r="AEE76" s="156"/>
      <c r="AEF76" s="156"/>
      <c r="AEG76" s="156"/>
      <c r="AEH76" s="156"/>
      <c r="AEI76" s="156"/>
      <c r="AEJ76" s="156"/>
      <c r="AEK76" s="156"/>
      <c r="AEL76" s="156"/>
      <c r="AEM76" s="156"/>
      <c r="AEN76" s="156"/>
      <c r="AEO76" s="156"/>
      <c r="AEP76" s="156"/>
      <c r="AEQ76" s="156"/>
      <c r="AER76" s="156"/>
      <c r="AES76" s="156"/>
      <c r="AET76" s="156"/>
      <c r="AEU76" s="156"/>
      <c r="AEV76" s="156"/>
      <c r="AEW76" s="156"/>
      <c r="AEX76" s="156"/>
      <c r="AEY76" s="156"/>
      <c r="AEZ76" s="156"/>
      <c r="AFA76" s="156"/>
      <c r="AFB76" s="156"/>
      <c r="AFC76" s="156"/>
      <c r="AFD76" s="156"/>
      <c r="AFE76" s="156"/>
      <c r="AFF76" s="156"/>
      <c r="AFG76" s="156"/>
      <c r="AFH76" s="156"/>
      <c r="AFI76" s="156"/>
      <c r="AFJ76" s="156"/>
      <c r="AFK76" s="156"/>
      <c r="AFL76" s="156"/>
      <c r="AFM76" s="156"/>
      <c r="AFN76" s="156"/>
      <c r="AFO76" s="156"/>
      <c r="AFP76" s="156"/>
      <c r="AFQ76" s="156"/>
      <c r="AFR76" s="156"/>
      <c r="AFS76" s="156"/>
      <c r="AFT76" s="156"/>
      <c r="AFU76" s="156"/>
      <c r="AFV76" s="156"/>
      <c r="AFW76" s="156"/>
      <c r="AFX76" s="156"/>
      <c r="AFY76" s="156"/>
      <c r="AFZ76" s="156"/>
      <c r="AGA76" s="156"/>
      <c r="AGB76" s="156"/>
      <c r="AGC76" s="156"/>
      <c r="AGD76" s="156"/>
      <c r="AGE76" s="156"/>
      <c r="AGF76" s="156"/>
      <c r="AGG76" s="156"/>
      <c r="AGH76" s="156"/>
      <c r="AGI76" s="156"/>
      <c r="AGJ76" s="156"/>
      <c r="AGK76" s="156"/>
      <c r="AGL76" s="156"/>
      <c r="AGM76" s="156"/>
      <c r="AGN76" s="156"/>
      <c r="AGO76" s="156"/>
      <c r="AGP76" s="156"/>
      <c r="AGQ76" s="156"/>
      <c r="AGR76" s="156"/>
      <c r="AGS76" s="156"/>
      <c r="AGT76" s="156"/>
      <c r="AGU76" s="156"/>
      <c r="AGV76" s="156"/>
      <c r="AGW76" s="156"/>
      <c r="AGX76" s="156"/>
      <c r="AGY76" s="156"/>
      <c r="AGZ76" s="156"/>
      <c r="AHA76" s="156"/>
      <c r="AHB76" s="156"/>
      <c r="AHC76" s="156"/>
      <c r="AHD76" s="156"/>
      <c r="AHE76" s="156"/>
      <c r="AHF76" s="156"/>
      <c r="AHG76" s="156"/>
      <c r="AHH76" s="156"/>
      <c r="AHI76" s="156"/>
      <c r="AHJ76" s="156"/>
      <c r="AHK76" s="156"/>
      <c r="AHL76" s="156"/>
      <c r="AHM76" s="156"/>
      <c r="AHN76" s="156"/>
      <c r="AHO76" s="156"/>
      <c r="AHP76" s="156"/>
      <c r="AHQ76" s="156"/>
      <c r="AHR76" s="156"/>
      <c r="AHS76" s="156"/>
      <c r="AHT76" s="156"/>
      <c r="AHU76" s="156"/>
      <c r="AHV76" s="156"/>
      <c r="AHW76" s="156"/>
      <c r="AHX76" s="156"/>
      <c r="AHY76" s="156"/>
      <c r="AHZ76" s="156"/>
      <c r="AIA76" s="156"/>
      <c r="AIB76" s="156"/>
      <c r="AIC76" s="156"/>
      <c r="AID76" s="156"/>
      <c r="AIE76" s="156"/>
      <c r="AIF76" s="156"/>
      <c r="AIG76" s="156"/>
      <c r="AIH76" s="156"/>
      <c r="AII76" s="156"/>
      <c r="AIJ76" s="156"/>
      <c r="AIK76" s="156"/>
      <c r="AIL76" s="156"/>
      <c r="AIM76" s="156"/>
      <c r="AIN76" s="156"/>
      <c r="AIO76" s="156"/>
      <c r="AIP76" s="156"/>
      <c r="AIQ76" s="156"/>
      <c r="AIR76" s="156"/>
      <c r="AIS76" s="156"/>
      <c r="AIT76" s="156"/>
      <c r="AIU76" s="156"/>
      <c r="AIV76" s="156"/>
      <c r="AIW76" s="156"/>
      <c r="AIX76" s="156"/>
      <c r="AIY76" s="156"/>
      <c r="AIZ76" s="156"/>
      <c r="AJA76" s="156"/>
      <c r="AJB76" s="156"/>
      <c r="AJC76" s="156"/>
      <c r="AJD76" s="156"/>
      <c r="AJE76" s="156"/>
      <c r="AJF76" s="156"/>
      <c r="AJG76" s="156"/>
      <c r="AJH76" s="156"/>
      <c r="AJI76" s="156"/>
      <c r="AJJ76" s="156"/>
      <c r="AJK76" s="156"/>
      <c r="AJL76" s="156"/>
      <c r="AJM76" s="156"/>
      <c r="AJN76" s="156"/>
      <c r="AJO76" s="156"/>
      <c r="AJP76" s="156"/>
      <c r="AJQ76" s="156"/>
      <c r="AJR76" s="156"/>
      <c r="AJS76" s="156"/>
      <c r="AJT76" s="156"/>
      <c r="AJU76" s="156"/>
      <c r="AJV76" s="156"/>
      <c r="AJW76" s="156"/>
      <c r="AJX76" s="156"/>
      <c r="AJY76" s="156"/>
      <c r="AJZ76" s="156"/>
      <c r="AKA76" s="156"/>
      <c r="AKB76" s="156"/>
      <c r="AKC76" s="156"/>
      <c r="AKD76" s="156"/>
      <c r="AKE76" s="156"/>
      <c r="AKF76" s="156"/>
      <c r="AKG76" s="156"/>
      <c r="AKH76" s="156"/>
      <c r="AKI76" s="156"/>
      <c r="AKJ76" s="156"/>
      <c r="AKK76" s="156"/>
      <c r="AKL76" s="156"/>
      <c r="AKM76" s="156"/>
      <c r="AKN76" s="156"/>
      <c r="AKO76" s="156"/>
      <c r="AKP76" s="156"/>
      <c r="AKQ76" s="156"/>
      <c r="AKR76" s="156"/>
      <c r="AKS76" s="156"/>
      <c r="AKT76" s="156"/>
      <c r="AKU76" s="156"/>
      <c r="AKV76" s="156"/>
      <c r="AKW76" s="156"/>
      <c r="AKX76" s="156"/>
      <c r="AKY76" s="156"/>
      <c r="AKZ76" s="156"/>
      <c r="ALA76" s="156"/>
      <c r="ALB76" s="156"/>
      <c r="ALC76" s="156"/>
      <c r="ALD76" s="156"/>
      <c r="ALE76" s="156"/>
      <c r="ALF76" s="156"/>
      <c r="ALG76" s="156"/>
      <c r="ALH76" s="156"/>
      <c r="ALI76" s="156"/>
      <c r="ALJ76" s="156"/>
      <c r="ALK76" s="156"/>
      <c r="ALL76" s="156"/>
      <c r="ALM76" s="156"/>
      <c r="ALN76" s="156"/>
      <c r="ALO76" s="156"/>
      <c r="ALP76" s="156"/>
      <c r="ALQ76" s="156"/>
      <c r="ALR76" s="156"/>
      <c r="ALS76" s="156"/>
      <c r="ALT76" s="156"/>
      <c r="ALU76" s="156"/>
      <c r="ALV76" s="156"/>
      <c r="ALW76" s="156"/>
      <c r="ALX76" s="156"/>
      <c r="ALY76" s="156"/>
      <c r="ALZ76" s="156"/>
      <c r="AMA76" s="156"/>
      <c r="AMB76" s="156"/>
      <c r="AMC76" s="156"/>
      <c r="AMD76" s="156"/>
      <c r="AME76" s="156"/>
      <c r="AMF76" s="156"/>
      <c r="AMG76" s="156"/>
      <c r="AMH76" s="156"/>
      <c r="AMI76" s="156"/>
      <c r="AMJ76" s="156"/>
      <c r="AMK76" s="156"/>
      <c r="AML76" s="156"/>
      <c r="AMM76" s="156"/>
      <c r="AMN76" s="156"/>
      <c r="AMO76" s="156"/>
      <c r="AMP76" s="156"/>
      <c r="AMQ76" s="156"/>
      <c r="AMR76" s="156"/>
      <c r="AMS76" s="156"/>
      <c r="AMT76" s="156"/>
      <c r="AMU76" s="156"/>
      <c r="AMV76" s="156"/>
      <c r="AMW76" s="156"/>
      <c r="AMX76" s="156"/>
      <c r="AMY76" s="156"/>
      <c r="AMZ76" s="156"/>
      <c r="ANA76" s="156"/>
      <c r="ANB76" s="156"/>
      <c r="ANC76" s="156"/>
      <c r="AND76" s="156"/>
      <c r="ANE76" s="156"/>
      <c r="ANF76" s="156"/>
      <c r="ANG76" s="156"/>
      <c r="ANH76" s="156"/>
      <c r="ANI76" s="156"/>
      <c r="ANJ76" s="156"/>
      <c r="ANK76" s="156"/>
      <c r="ANL76" s="156"/>
      <c r="ANM76" s="156"/>
      <c r="ANN76" s="156"/>
      <c r="ANO76" s="156"/>
      <c r="ANP76" s="156"/>
      <c r="ANQ76" s="156"/>
      <c r="ANR76" s="156"/>
      <c r="ANS76" s="156"/>
      <c r="ANT76" s="156"/>
      <c r="ANU76" s="156"/>
      <c r="ANV76" s="156"/>
      <c r="ANW76" s="156"/>
      <c r="ANX76" s="156"/>
      <c r="ANY76" s="156"/>
      <c r="ANZ76" s="156"/>
      <c r="AOA76" s="156"/>
      <c r="AOB76" s="156"/>
      <c r="AOC76" s="156"/>
      <c r="AOD76" s="156"/>
      <c r="AOE76" s="156"/>
      <c r="AOF76" s="156"/>
      <c r="AOG76" s="156"/>
      <c r="AOH76" s="156"/>
      <c r="AOI76" s="156"/>
      <c r="AOJ76" s="156"/>
      <c r="AOK76" s="156"/>
      <c r="AOL76" s="156"/>
      <c r="AOM76" s="156"/>
      <c r="AON76" s="156"/>
      <c r="AOO76" s="156"/>
      <c r="AOP76" s="156"/>
      <c r="AOQ76" s="156"/>
      <c r="AOR76" s="156"/>
      <c r="AOS76" s="156"/>
      <c r="AOT76" s="156"/>
      <c r="AOU76" s="156"/>
      <c r="AOV76" s="156"/>
      <c r="AOW76" s="156"/>
      <c r="AOX76" s="156"/>
      <c r="AOY76" s="156"/>
      <c r="AOZ76" s="156"/>
      <c r="APA76" s="156"/>
      <c r="APB76" s="156"/>
      <c r="APC76" s="156"/>
      <c r="APD76" s="156"/>
      <c r="APE76" s="156"/>
      <c r="APF76" s="156"/>
      <c r="APG76" s="156"/>
      <c r="APH76" s="156"/>
      <c r="API76" s="156"/>
      <c r="APJ76" s="156"/>
      <c r="APK76" s="156"/>
      <c r="APL76" s="156"/>
      <c r="APM76" s="156"/>
      <c r="APN76" s="156"/>
      <c r="APO76" s="156"/>
      <c r="APP76" s="156"/>
      <c r="APQ76" s="156"/>
      <c r="APR76" s="156"/>
      <c r="APS76" s="156"/>
      <c r="APT76" s="156"/>
      <c r="APU76" s="156"/>
      <c r="APV76" s="156"/>
      <c r="APW76" s="156"/>
      <c r="APX76" s="156"/>
      <c r="APY76" s="156"/>
      <c r="APZ76" s="156"/>
      <c r="AQA76" s="156"/>
      <c r="AQB76" s="156"/>
      <c r="AQC76" s="156"/>
      <c r="AQD76" s="156"/>
      <c r="AQE76" s="156"/>
      <c r="AQF76" s="156"/>
      <c r="AQG76" s="156"/>
      <c r="AQH76" s="156"/>
      <c r="AQI76" s="156"/>
      <c r="AQJ76" s="156"/>
      <c r="AQK76" s="156"/>
      <c r="AQL76" s="156"/>
      <c r="AQM76" s="156"/>
      <c r="AQN76" s="156"/>
      <c r="AQO76" s="156"/>
      <c r="AQP76" s="156"/>
      <c r="AQQ76" s="156"/>
      <c r="AQR76" s="156"/>
      <c r="AQS76" s="156"/>
      <c r="AQT76" s="156"/>
      <c r="AQU76" s="156"/>
      <c r="AQV76" s="156"/>
      <c r="AQW76" s="156"/>
      <c r="AQX76" s="156"/>
      <c r="AQY76" s="156"/>
      <c r="AQZ76" s="156"/>
      <c r="ARA76" s="156"/>
      <c r="ARB76" s="156"/>
      <c r="ARC76" s="156"/>
      <c r="ARD76" s="156"/>
      <c r="ARE76" s="156"/>
      <c r="ARF76" s="156"/>
      <c r="ARG76" s="156"/>
      <c r="ARH76" s="156"/>
      <c r="ARI76" s="156"/>
      <c r="ARJ76" s="156"/>
      <c r="ARK76" s="156"/>
      <c r="ARL76" s="156"/>
      <c r="ARM76" s="156"/>
      <c r="ARN76" s="156"/>
      <c r="ARO76" s="156"/>
      <c r="ARP76" s="156"/>
      <c r="ARQ76" s="156"/>
      <c r="ARR76" s="156"/>
      <c r="ARS76" s="156"/>
      <c r="ART76" s="156"/>
      <c r="ARU76" s="156"/>
      <c r="ARV76" s="156"/>
      <c r="ARW76" s="156"/>
      <c r="ARX76" s="156"/>
      <c r="ARY76" s="156"/>
      <c r="ARZ76" s="156"/>
      <c r="ASA76" s="156"/>
      <c r="ASB76" s="156"/>
      <c r="ASC76" s="156"/>
      <c r="ASD76" s="156"/>
      <c r="ASE76" s="156"/>
      <c r="ASF76" s="156"/>
      <c r="ASG76" s="156"/>
      <c r="ASH76" s="156"/>
      <c r="ASI76" s="156"/>
      <c r="ASJ76" s="156"/>
      <c r="ASK76" s="156"/>
      <c r="ASL76" s="156"/>
      <c r="ASM76" s="156"/>
      <c r="ASN76" s="156"/>
      <c r="ASO76" s="156"/>
      <c r="ASP76" s="156"/>
      <c r="ASQ76" s="156"/>
      <c r="ASR76" s="156"/>
      <c r="ASS76" s="156"/>
      <c r="AST76" s="156"/>
      <c r="ASU76" s="156"/>
      <c r="ASV76" s="156"/>
      <c r="ASW76" s="156"/>
      <c r="ASX76" s="156"/>
      <c r="ASY76" s="156"/>
      <c r="ASZ76" s="156"/>
      <c r="ATA76" s="156"/>
      <c r="ATB76" s="156"/>
      <c r="ATC76" s="156"/>
      <c r="ATD76" s="156"/>
      <c r="ATE76" s="156"/>
      <c r="ATF76" s="156"/>
      <c r="ATG76" s="156"/>
      <c r="ATH76" s="156"/>
      <c r="ATI76" s="156"/>
      <c r="ATJ76" s="156"/>
      <c r="ATK76" s="156"/>
      <c r="ATL76" s="156"/>
      <c r="ATM76" s="156"/>
      <c r="ATN76" s="156"/>
      <c r="ATO76" s="156"/>
      <c r="ATP76" s="156"/>
      <c r="ATQ76" s="156"/>
      <c r="ATR76" s="156"/>
      <c r="ATS76" s="156"/>
      <c r="ATT76" s="156"/>
      <c r="ATU76" s="156"/>
      <c r="ATV76" s="156"/>
      <c r="ATW76" s="156"/>
      <c r="ATX76" s="156"/>
      <c r="ATY76" s="156"/>
      <c r="ATZ76" s="156"/>
      <c r="AUA76" s="156"/>
      <c r="AUB76" s="156"/>
      <c r="AUC76" s="156"/>
      <c r="AUD76" s="156"/>
      <c r="AUE76" s="156"/>
      <c r="AUF76" s="156"/>
      <c r="AUG76" s="156"/>
      <c r="AUH76" s="156"/>
      <c r="AUI76" s="156"/>
      <c r="AUJ76" s="156"/>
      <c r="AUK76" s="156"/>
      <c r="AUL76" s="156"/>
      <c r="AUM76" s="156"/>
      <c r="AUN76" s="156"/>
      <c r="AUO76" s="156"/>
      <c r="AUP76" s="156"/>
      <c r="AUQ76" s="156"/>
      <c r="AUR76" s="156"/>
      <c r="AUS76" s="156"/>
      <c r="AUT76" s="156"/>
      <c r="AUU76" s="156"/>
      <c r="AUV76" s="156"/>
      <c r="AUW76" s="156"/>
      <c r="AUX76" s="156"/>
      <c r="AUY76" s="156"/>
      <c r="AUZ76" s="156"/>
      <c r="AVA76" s="156"/>
      <c r="AVB76" s="156"/>
      <c r="AVC76" s="156"/>
      <c r="AVD76" s="156"/>
      <c r="AVE76" s="156"/>
      <c r="AVF76" s="156"/>
      <c r="AVG76" s="156"/>
      <c r="AVH76" s="156"/>
      <c r="AVI76" s="156"/>
      <c r="AVJ76" s="156"/>
      <c r="AVK76" s="156"/>
      <c r="AVL76" s="156"/>
      <c r="AVM76" s="156"/>
      <c r="AVN76" s="156"/>
      <c r="AVO76" s="156"/>
      <c r="AVP76" s="156"/>
      <c r="AVQ76" s="156"/>
      <c r="AVR76" s="156"/>
      <c r="AVS76" s="156"/>
      <c r="AVT76" s="156"/>
      <c r="AVU76" s="156"/>
      <c r="AVV76" s="156"/>
      <c r="AVW76" s="156"/>
      <c r="AVX76" s="156"/>
      <c r="AVY76" s="156"/>
      <c r="AVZ76" s="156"/>
      <c r="AWA76" s="156"/>
      <c r="AWB76" s="156"/>
      <c r="AWC76" s="156"/>
      <c r="AWD76" s="156"/>
      <c r="AWE76" s="156"/>
      <c r="AWF76" s="156"/>
      <c r="AWG76" s="156"/>
      <c r="AWH76" s="156"/>
      <c r="AWI76" s="156"/>
      <c r="AWJ76" s="156"/>
      <c r="AWK76" s="156"/>
      <c r="AWL76" s="156"/>
      <c r="AWM76" s="156"/>
      <c r="AWN76" s="156"/>
      <c r="AWO76" s="156"/>
      <c r="AWP76" s="156"/>
      <c r="AWQ76" s="156"/>
      <c r="AWR76" s="156"/>
      <c r="AWS76" s="156"/>
      <c r="AWT76" s="156"/>
      <c r="AWU76" s="156"/>
      <c r="AWV76" s="156"/>
      <c r="AWW76" s="156"/>
      <c r="AWX76" s="156"/>
      <c r="AWY76" s="156"/>
      <c r="AWZ76" s="156"/>
      <c r="AXA76" s="156"/>
      <c r="AXB76" s="156"/>
      <c r="AXC76" s="156"/>
      <c r="AXD76" s="156"/>
      <c r="AXE76" s="156"/>
      <c r="AXF76" s="156"/>
      <c r="AXG76" s="156"/>
      <c r="AXH76" s="156"/>
      <c r="AXI76" s="156"/>
      <c r="AXJ76" s="156"/>
      <c r="AXK76" s="156"/>
      <c r="AXL76" s="156"/>
      <c r="AXM76" s="156"/>
      <c r="AXN76" s="156"/>
      <c r="AXO76" s="156"/>
      <c r="AXP76" s="156"/>
      <c r="AXQ76" s="156"/>
      <c r="AXR76" s="156"/>
      <c r="AXS76" s="156"/>
      <c r="AXT76" s="156"/>
      <c r="AXU76" s="156"/>
      <c r="AXV76" s="156"/>
      <c r="AXW76" s="156"/>
      <c r="AXX76" s="156"/>
      <c r="AXY76" s="156"/>
      <c r="AXZ76" s="156"/>
      <c r="AYA76" s="156"/>
      <c r="AYB76" s="156"/>
      <c r="AYC76" s="156"/>
      <c r="AYD76" s="156"/>
      <c r="AYE76" s="156"/>
      <c r="AYF76" s="156"/>
      <c r="AYG76" s="156"/>
      <c r="AYH76" s="156"/>
      <c r="AYI76" s="156"/>
      <c r="AYJ76" s="156"/>
      <c r="AYK76" s="156"/>
      <c r="AYL76" s="156"/>
      <c r="AYM76" s="156"/>
      <c r="AYN76" s="156"/>
      <c r="AYO76" s="156"/>
      <c r="AYP76" s="156"/>
      <c r="AYQ76" s="156"/>
      <c r="AYR76" s="156"/>
      <c r="AYS76" s="156"/>
      <c r="AYT76" s="156"/>
      <c r="AYU76" s="156"/>
      <c r="AYV76" s="156"/>
      <c r="AYW76" s="156"/>
      <c r="AYX76" s="156"/>
      <c r="AYY76" s="156"/>
      <c r="AYZ76" s="156"/>
      <c r="AZA76" s="156"/>
      <c r="AZB76" s="156"/>
      <c r="AZC76" s="156"/>
      <c r="AZD76" s="156"/>
      <c r="AZE76" s="156"/>
      <c r="AZF76" s="156"/>
      <c r="AZG76" s="156"/>
      <c r="AZH76" s="156"/>
      <c r="AZI76" s="156"/>
      <c r="AZJ76" s="156"/>
      <c r="AZK76" s="156"/>
      <c r="AZL76" s="156"/>
      <c r="AZM76" s="156"/>
      <c r="AZN76" s="156"/>
      <c r="AZO76" s="156"/>
      <c r="AZP76" s="156"/>
      <c r="AZQ76" s="156"/>
      <c r="AZR76" s="156"/>
      <c r="AZS76" s="156"/>
      <c r="AZT76" s="156"/>
      <c r="AZU76" s="156"/>
      <c r="AZV76" s="156"/>
      <c r="AZW76" s="156"/>
      <c r="AZX76" s="156"/>
      <c r="AZY76" s="156"/>
      <c r="AZZ76" s="156"/>
      <c r="BAA76" s="156"/>
      <c r="BAB76" s="156"/>
      <c r="BAC76" s="156"/>
      <c r="BAD76" s="156"/>
      <c r="BAE76" s="156"/>
      <c r="BAF76" s="156"/>
      <c r="BAG76" s="156"/>
      <c r="BAH76" s="156"/>
      <c r="BAI76" s="156"/>
      <c r="BAJ76" s="156"/>
      <c r="BAK76" s="156"/>
      <c r="BAL76" s="156"/>
      <c r="BAM76" s="156"/>
      <c r="BAN76" s="156"/>
      <c r="BAO76" s="156"/>
      <c r="BAP76" s="156"/>
      <c r="BAQ76" s="156"/>
      <c r="BAR76" s="156"/>
      <c r="BAS76" s="156"/>
      <c r="BAT76" s="156"/>
      <c r="BAU76" s="156"/>
      <c r="BAV76" s="156"/>
      <c r="BAW76" s="156"/>
      <c r="BAX76" s="156"/>
      <c r="BAY76" s="156"/>
      <c r="BAZ76" s="156"/>
      <c r="BBA76" s="156"/>
      <c r="BBB76" s="156"/>
      <c r="BBC76" s="156"/>
      <c r="BBD76" s="156"/>
      <c r="BBE76" s="156"/>
      <c r="BBF76" s="156"/>
      <c r="BBG76" s="156"/>
      <c r="BBH76" s="156"/>
      <c r="BBI76" s="156"/>
      <c r="BBJ76" s="156"/>
      <c r="BBK76" s="156"/>
      <c r="BBL76" s="156"/>
      <c r="BBM76" s="156"/>
      <c r="BBN76" s="156"/>
      <c r="BBO76" s="156"/>
      <c r="BBP76" s="156"/>
      <c r="BBQ76" s="156"/>
      <c r="BBR76" s="156"/>
      <c r="BBS76" s="156"/>
      <c r="BBT76" s="156"/>
      <c r="BBU76" s="156"/>
      <c r="BBV76" s="156"/>
      <c r="BBW76" s="156"/>
      <c r="BBX76" s="156"/>
      <c r="BBY76" s="156"/>
      <c r="BBZ76" s="156"/>
      <c r="BCA76" s="156"/>
      <c r="BCB76" s="156"/>
      <c r="BCC76" s="156"/>
      <c r="BCD76" s="156"/>
      <c r="BCE76" s="156"/>
      <c r="BCF76" s="156"/>
      <c r="BCG76" s="156"/>
      <c r="BCH76" s="156"/>
      <c r="BCI76" s="156"/>
      <c r="BCJ76" s="156"/>
      <c r="BCK76" s="156"/>
      <c r="BCL76" s="156"/>
      <c r="BCM76" s="156"/>
      <c r="BCN76" s="156"/>
      <c r="BCO76" s="156"/>
      <c r="BCP76" s="156"/>
      <c r="BCQ76" s="156"/>
      <c r="BCR76" s="156"/>
      <c r="BCS76" s="156"/>
      <c r="BCT76" s="156"/>
      <c r="BCU76" s="156"/>
      <c r="BCV76" s="156"/>
      <c r="BCW76" s="156"/>
      <c r="BCX76" s="156"/>
      <c r="BCY76" s="156"/>
      <c r="BCZ76" s="156"/>
      <c r="BDA76" s="156"/>
      <c r="BDB76" s="156"/>
      <c r="BDC76" s="156"/>
      <c r="BDD76" s="156"/>
      <c r="BDE76" s="156"/>
      <c r="BDF76" s="156"/>
      <c r="BDG76" s="156"/>
      <c r="BDH76" s="156"/>
      <c r="BDI76" s="156"/>
      <c r="BDJ76" s="156"/>
      <c r="BDK76" s="156"/>
      <c r="BDL76" s="156"/>
      <c r="BDM76" s="156"/>
      <c r="BDN76" s="156"/>
      <c r="BDO76" s="156"/>
      <c r="BDP76" s="156"/>
      <c r="BDQ76" s="156"/>
      <c r="BDR76" s="156"/>
      <c r="BDS76" s="156"/>
      <c r="BDT76" s="156"/>
      <c r="BDU76" s="156"/>
      <c r="BDV76" s="156"/>
      <c r="BDW76" s="156"/>
      <c r="BDX76" s="156"/>
      <c r="BDY76" s="156"/>
      <c r="BDZ76" s="156"/>
      <c r="BEA76" s="156"/>
      <c r="BEB76" s="156"/>
      <c r="BEC76" s="156"/>
      <c r="BED76" s="156"/>
      <c r="BEE76" s="156"/>
      <c r="BEF76" s="156"/>
      <c r="BEG76" s="156"/>
      <c r="BEH76" s="156"/>
      <c r="BEI76" s="156"/>
      <c r="BEJ76" s="156"/>
      <c r="BEK76" s="156"/>
      <c r="BEL76" s="156"/>
      <c r="BEM76" s="156"/>
      <c r="BEN76" s="156"/>
      <c r="BEO76" s="156"/>
      <c r="BEP76" s="156"/>
      <c r="BEQ76" s="156"/>
      <c r="BER76" s="156"/>
      <c r="BES76" s="156"/>
      <c r="BET76" s="156"/>
      <c r="BEU76" s="156"/>
      <c r="BEV76" s="156"/>
      <c r="BEW76" s="156"/>
      <c r="BEX76" s="156"/>
      <c r="BEY76" s="156"/>
      <c r="BEZ76" s="156"/>
      <c r="BFA76" s="156"/>
      <c r="BFB76" s="156"/>
      <c r="BFC76" s="156"/>
      <c r="BFD76" s="156"/>
      <c r="BFE76" s="156"/>
      <c r="BFF76" s="156"/>
      <c r="BFG76" s="156"/>
      <c r="BFH76" s="156"/>
      <c r="BFI76" s="156"/>
      <c r="BFJ76" s="156"/>
      <c r="BFK76" s="156"/>
      <c r="BFL76" s="156"/>
      <c r="BFM76" s="156"/>
      <c r="BFN76" s="156"/>
      <c r="BFO76" s="156"/>
      <c r="BFP76" s="156"/>
      <c r="BFQ76" s="156"/>
      <c r="BFR76" s="156"/>
      <c r="BFS76" s="156"/>
      <c r="BFT76" s="156"/>
      <c r="BFU76" s="156"/>
      <c r="BFV76" s="156"/>
      <c r="BFW76" s="156"/>
      <c r="BFX76" s="156"/>
      <c r="BFY76" s="156"/>
      <c r="BFZ76" s="156"/>
      <c r="BGA76" s="156"/>
      <c r="BGB76" s="156"/>
      <c r="BGC76" s="156"/>
      <c r="BGD76" s="156"/>
      <c r="BGE76" s="156"/>
      <c r="BGF76" s="156"/>
      <c r="BGG76" s="156"/>
      <c r="BGH76" s="156"/>
      <c r="BGI76" s="156"/>
      <c r="BGJ76" s="156"/>
      <c r="BGK76" s="156"/>
      <c r="BGL76" s="156"/>
      <c r="BGM76" s="156"/>
      <c r="BGN76" s="156"/>
      <c r="BGO76" s="156"/>
      <c r="BGP76" s="156"/>
      <c r="BGQ76" s="156"/>
      <c r="BGR76" s="156"/>
      <c r="BGS76" s="156"/>
      <c r="BGT76" s="156"/>
      <c r="BGU76" s="156"/>
      <c r="BGV76" s="156"/>
      <c r="BGW76" s="156"/>
      <c r="BGX76" s="156"/>
      <c r="BGY76" s="156"/>
      <c r="BGZ76" s="156"/>
      <c r="BHA76" s="156"/>
      <c r="BHB76" s="156"/>
      <c r="BHC76" s="156"/>
      <c r="BHD76" s="156"/>
      <c r="BHE76" s="156"/>
      <c r="BHF76" s="156"/>
      <c r="BHG76" s="156"/>
      <c r="BHH76" s="156"/>
      <c r="BHI76" s="156"/>
      <c r="BHJ76" s="156"/>
      <c r="BHK76" s="156"/>
      <c r="BHL76" s="156"/>
      <c r="BHM76" s="156"/>
      <c r="BHN76" s="156"/>
      <c r="BHO76" s="156"/>
      <c r="BHP76" s="156"/>
      <c r="BHQ76" s="156"/>
      <c r="BHR76" s="156"/>
      <c r="BHS76" s="156"/>
      <c r="BHT76" s="156"/>
      <c r="BHU76" s="156"/>
      <c r="BHV76" s="156"/>
      <c r="BHW76" s="156"/>
      <c r="BHX76" s="156"/>
      <c r="BHY76" s="156"/>
      <c r="BHZ76" s="156"/>
      <c r="BIA76" s="156"/>
      <c r="BIB76" s="156"/>
      <c r="BIC76" s="156"/>
      <c r="BID76" s="156"/>
      <c r="BIE76" s="156"/>
      <c r="BIF76" s="156"/>
      <c r="BIG76" s="156"/>
      <c r="BIH76" s="156"/>
      <c r="BII76" s="156"/>
      <c r="BIJ76" s="156"/>
      <c r="BIK76" s="156"/>
      <c r="BIL76" s="156"/>
      <c r="BIM76" s="156"/>
      <c r="BIN76" s="156"/>
      <c r="BIO76" s="156"/>
      <c r="BIP76" s="156"/>
      <c r="BIQ76" s="156"/>
      <c r="BIR76" s="156"/>
      <c r="BIS76" s="156"/>
      <c r="BIT76" s="156"/>
      <c r="BIU76" s="156"/>
      <c r="BIV76" s="156"/>
      <c r="BIW76" s="156"/>
      <c r="BIX76" s="156"/>
      <c r="BIY76" s="156"/>
      <c r="BIZ76" s="156"/>
      <c r="BJA76" s="156"/>
      <c r="BJB76" s="156"/>
      <c r="BJC76" s="156"/>
      <c r="BJD76" s="156"/>
      <c r="BJE76" s="156"/>
      <c r="BJF76" s="156"/>
      <c r="BJG76" s="156"/>
      <c r="BJH76" s="156"/>
      <c r="BJI76" s="156"/>
      <c r="BJJ76" s="156"/>
      <c r="BJK76" s="156"/>
      <c r="BJL76" s="156"/>
      <c r="BJM76" s="156"/>
      <c r="BJN76" s="156"/>
      <c r="BJO76" s="156"/>
      <c r="BJP76" s="156"/>
      <c r="BJQ76" s="156"/>
      <c r="BJR76" s="156"/>
      <c r="BJS76" s="156"/>
      <c r="BJT76" s="156"/>
      <c r="BJU76" s="156"/>
      <c r="BJV76" s="156"/>
      <c r="BJW76" s="156"/>
      <c r="BJX76" s="156"/>
      <c r="BJY76" s="156"/>
      <c r="BJZ76" s="156"/>
      <c r="BKA76" s="156"/>
      <c r="BKB76" s="156"/>
      <c r="BKC76" s="156"/>
      <c r="BKD76" s="156"/>
      <c r="BKE76" s="156"/>
      <c r="BKF76" s="156"/>
      <c r="BKG76" s="156"/>
      <c r="BKH76" s="156"/>
      <c r="BKI76" s="156"/>
      <c r="BKJ76" s="156"/>
      <c r="BKK76" s="156"/>
      <c r="BKL76" s="156"/>
      <c r="BKM76" s="156"/>
      <c r="BKN76" s="156"/>
      <c r="BKO76" s="156"/>
      <c r="BKP76" s="156"/>
      <c r="BKQ76" s="156"/>
      <c r="BKR76" s="156"/>
      <c r="BKS76" s="156"/>
      <c r="BKT76" s="156"/>
      <c r="BKU76" s="156"/>
      <c r="BKV76" s="156"/>
      <c r="BKW76" s="156"/>
      <c r="BKX76" s="156"/>
      <c r="BKY76" s="156"/>
      <c r="BKZ76" s="156"/>
      <c r="BLA76" s="156"/>
      <c r="BLB76" s="156"/>
      <c r="BLC76" s="156"/>
      <c r="BLD76" s="156"/>
      <c r="BLE76" s="156"/>
      <c r="BLF76" s="156"/>
      <c r="BLG76" s="156"/>
      <c r="BLH76" s="156"/>
      <c r="BLI76" s="156"/>
      <c r="BLJ76" s="156"/>
      <c r="BLK76" s="156"/>
      <c r="BLL76" s="156"/>
      <c r="BLM76" s="156"/>
      <c r="BLN76" s="156"/>
      <c r="BLO76" s="156"/>
      <c r="BLP76" s="156"/>
      <c r="BLQ76" s="156"/>
      <c r="BLR76" s="156"/>
      <c r="BLS76" s="156"/>
      <c r="BLT76" s="156"/>
      <c r="BLU76" s="156"/>
      <c r="BLV76" s="156"/>
      <c r="BLW76" s="156"/>
      <c r="BLX76" s="156"/>
      <c r="BLY76" s="156"/>
      <c r="BLZ76" s="156"/>
      <c r="BMA76" s="156"/>
      <c r="BMB76" s="156"/>
      <c r="BMC76" s="156"/>
      <c r="BMD76" s="156"/>
      <c r="BME76" s="156"/>
      <c r="BMF76" s="156"/>
      <c r="BMG76" s="156"/>
      <c r="BMH76" s="156"/>
      <c r="BMI76" s="156"/>
      <c r="BMJ76" s="156"/>
      <c r="BMK76" s="156"/>
      <c r="BML76" s="156"/>
      <c r="BMM76" s="156"/>
      <c r="BMN76" s="156"/>
      <c r="BMO76" s="156"/>
      <c r="BMP76" s="156"/>
      <c r="BMQ76" s="156"/>
      <c r="BMR76" s="156"/>
      <c r="BMS76" s="156"/>
      <c r="BMT76" s="156"/>
      <c r="BMU76" s="156"/>
      <c r="BMV76" s="156"/>
      <c r="BMW76" s="156"/>
      <c r="BMX76" s="156"/>
      <c r="BMY76" s="156"/>
      <c r="BMZ76" s="156"/>
      <c r="BNA76" s="156"/>
      <c r="BNB76" s="156"/>
      <c r="BNC76" s="156"/>
      <c r="BND76" s="156"/>
      <c r="BNE76" s="156"/>
      <c r="BNF76" s="156"/>
      <c r="BNG76" s="156"/>
      <c r="BNH76" s="156"/>
      <c r="BNI76" s="156"/>
      <c r="BNJ76" s="156"/>
      <c r="BNK76" s="156"/>
      <c r="BNL76" s="156"/>
      <c r="BNM76" s="156"/>
      <c r="BNN76" s="156"/>
      <c r="BNO76" s="156"/>
      <c r="BNP76" s="156"/>
      <c r="BNQ76" s="156"/>
      <c r="BNR76" s="156"/>
      <c r="BNS76" s="156"/>
      <c r="BNT76" s="156"/>
      <c r="BNU76" s="156"/>
      <c r="BNV76" s="156"/>
      <c r="BNW76" s="156"/>
      <c r="BNX76" s="156"/>
      <c r="BNY76" s="156"/>
      <c r="BNZ76" s="156"/>
      <c r="BOA76" s="156"/>
      <c r="BOB76" s="156"/>
      <c r="BOC76" s="156"/>
      <c r="BOD76" s="156"/>
      <c r="BOE76" s="156"/>
      <c r="BOF76" s="156"/>
      <c r="BOG76" s="156"/>
      <c r="BOH76" s="156"/>
      <c r="BOI76" s="156"/>
      <c r="BOJ76" s="156"/>
      <c r="BOK76" s="156"/>
      <c r="BOL76" s="156"/>
      <c r="BOM76" s="156"/>
      <c r="BON76" s="156"/>
      <c r="BOO76" s="156"/>
      <c r="BOP76" s="156"/>
      <c r="BOQ76" s="156"/>
      <c r="BOR76" s="156"/>
      <c r="BOS76" s="156"/>
      <c r="BOT76" s="156"/>
      <c r="BOU76" s="156"/>
      <c r="BOV76" s="156"/>
      <c r="BOW76" s="156"/>
      <c r="BOX76" s="156"/>
      <c r="BOY76" s="156"/>
      <c r="BOZ76" s="156"/>
      <c r="BPA76" s="156"/>
      <c r="BPB76" s="156"/>
      <c r="BPC76" s="156"/>
      <c r="BPD76" s="156"/>
      <c r="BPE76" s="156"/>
      <c r="BPF76" s="156"/>
      <c r="BPG76" s="156"/>
      <c r="BPH76" s="156"/>
      <c r="BPI76" s="156"/>
      <c r="BPJ76" s="156"/>
      <c r="BPK76" s="156"/>
      <c r="BPL76" s="156"/>
      <c r="BPM76" s="156"/>
      <c r="BPN76" s="156"/>
      <c r="BPO76" s="156"/>
      <c r="BPP76" s="156"/>
      <c r="BPQ76" s="156"/>
      <c r="BPR76" s="156"/>
      <c r="BPS76" s="156"/>
      <c r="BPT76" s="156"/>
      <c r="BPU76" s="156"/>
      <c r="BPV76" s="156"/>
      <c r="BPW76" s="156"/>
      <c r="BPX76" s="156"/>
      <c r="BPY76" s="156"/>
      <c r="BPZ76" s="156"/>
      <c r="BQA76" s="156"/>
      <c r="BQB76" s="156"/>
      <c r="BQC76" s="156"/>
      <c r="BQD76" s="156"/>
      <c r="BQE76" s="156"/>
      <c r="BQF76" s="156"/>
      <c r="BQG76" s="156"/>
      <c r="BQH76" s="156"/>
      <c r="BQI76" s="156"/>
      <c r="BQJ76" s="156"/>
      <c r="BQK76" s="156"/>
      <c r="BQL76" s="156"/>
      <c r="BQM76" s="156"/>
      <c r="BQN76" s="156"/>
      <c r="BQO76" s="156"/>
      <c r="BQP76" s="156"/>
      <c r="BQQ76" s="156"/>
      <c r="BQR76" s="156"/>
      <c r="BQS76" s="156"/>
      <c r="BQT76" s="156"/>
      <c r="BQU76" s="156"/>
      <c r="BQV76" s="156"/>
      <c r="BQW76" s="156"/>
      <c r="BQX76" s="156"/>
      <c r="BQY76" s="156"/>
      <c r="BQZ76" s="156"/>
      <c r="BRA76" s="156"/>
      <c r="BRB76" s="156"/>
      <c r="BRC76" s="156"/>
      <c r="BRD76" s="156"/>
      <c r="BRE76" s="156"/>
      <c r="BRF76" s="156"/>
      <c r="BRG76" s="156"/>
      <c r="BRH76" s="156"/>
      <c r="BRI76" s="156"/>
      <c r="BRJ76" s="156"/>
      <c r="BRK76" s="156"/>
      <c r="BRL76" s="156"/>
      <c r="BRM76" s="156"/>
      <c r="BRN76" s="156"/>
      <c r="BRO76" s="156"/>
      <c r="BRP76" s="156"/>
      <c r="BRQ76" s="156"/>
      <c r="BRR76" s="156"/>
      <c r="BRS76" s="156"/>
      <c r="BRT76" s="156"/>
      <c r="BRU76" s="156"/>
      <c r="BRV76" s="156"/>
      <c r="BRW76" s="156"/>
      <c r="BRX76" s="156"/>
      <c r="BRY76" s="156"/>
      <c r="BRZ76" s="156"/>
      <c r="BSA76" s="156"/>
      <c r="BSB76" s="156"/>
      <c r="BSC76" s="156"/>
      <c r="BSD76" s="156"/>
      <c r="BSE76" s="156"/>
      <c r="BSF76" s="156"/>
      <c r="BSG76" s="156"/>
      <c r="BSH76" s="156"/>
      <c r="BSI76" s="156"/>
      <c r="BSJ76" s="156"/>
      <c r="BSK76" s="156"/>
      <c r="BSL76" s="156"/>
      <c r="BSM76" s="156"/>
      <c r="BSN76" s="156"/>
      <c r="BSO76" s="156"/>
      <c r="BSP76" s="156"/>
      <c r="BSQ76" s="156"/>
      <c r="BSR76" s="156"/>
      <c r="BSS76" s="156"/>
      <c r="BST76" s="156"/>
      <c r="BSU76" s="156"/>
      <c r="BSV76" s="156"/>
      <c r="BSW76" s="156"/>
      <c r="BSX76" s="156"/>
      <c r="BSY76" s="156"/>
      <c r="BSZ76" s="156"/>
      <c r="BTA76" s="156"/>
      <c r="BTB76" s="156"/>
      <c r="BTC76" s="156"/>
      <c r="BTD76" s="156"/>
      <c r="BTE76" s="156"/>
      <c r="BTF76" s="156"/>
      <c r="BTG76" s="156"/>
      <c r="BTH76" s="156"/>
      <c r="BTI76" s="156"/>
      <c r="BTJ76" s="156"/>
      <c r="BTK76" s="156"/>
      <c r="BTL76" s="156"/>
      <c r="BTM76" s="156"/>
      <c r="BTN76" s="156"/>
      <c r="BTO76" s="156"/>
      <c r="BTP76" s="156"/>
      <c r="BTQ76" s="156"/>
      <c r="BTR76" s="156"/>
      <c r="BTS76" s="156"/>
      <c r="BTT76" s="156"/>
      <c r="BTU76" s="156"/>
      <c r="BTV76" s="156"/>
      <c r="BTW76" s="156"/>
      <c r="BTX76" s="156"/>
      <c r="BTY76" s="156"/>
      <c r="BTZ76" s="156"/>
      <c r="BUA76" s="156"/>
      <c r="BUB76" s="156"/>
      <c r="BUC76" s="156"/>
      <c r="BUD76" s="156"/>
      <c r="BUE76" s="156"/>
      <c r="BUF76" s="156"/>
      <c r="BUG76" s="156"/>
      <c r="BUH76" s="156"/>
      <c r="BUI76" s="156"/>
      <c r="BUJ76" s="156"/>
      <c r="BUK76" s="156"/>
      <c r="BUL76" s="156"/>
      <c r="BUM76" s="156"/>
      <c r="BUN76" s="156"/>
      <c r="BUO76" s="156"/>
      <c r="BUP76" s="156"/>
      <c r="BUQ76" s="156"/>
      <c r="BUR76" s="156"/>
      <c r="BUS76" s="156"/>
      <c r="BUT76" s="156"/>
      <c r="BUU76" s="156"/>
      <c r="BUV76" s="156"/>
      <c r="BUW76" s="156"/>
      <c r="BUX76" s="156"/>
      <c r="BUY76" s="156"/>
      <c r="BUZ76" s="156"/>
      <c r="BVA76" s="156"/>
      <c r="BVB76" s="156"/>
      <c r="BVC76" s="156"/>
      <c r="BVD76" s="156"/>
      <c r="BVE76" s="156"/>
      <c r="BVF76" s="156"/>
      <c r="BVG76" s="156"/>
      <c r="BVH76" s="156"/>
      <c r="BVI76" s="156"/>
      <c r="BVJ76" s="156"/>
      <c r="BVK76" s="156"/>
      <c r="BVL76" s="156"/>
      <c r="BVM76" s="156"/>
      <c r="BVN76" s="156"/>
      <c r="BVO76" s="156"/>
      <c r="BVP76" s="156"/>
      <c r="BVQ76" s="156"/>
      <c r="BVR76" s="156"/>
      <c r="BVS76" s="156"/>
      <c r="BVT76" s="156"/>
      <c r="BVU76" s="156"/>
      <c r="BVV76" s="156"/>
      <c r="BVW76" s="156"/>
      <c r="BVX76" s="156"/>
      <c r="BVY76" s="156"/>
      <c r="BVZ76" s="156"/>
      <c r="BWA76" s="156"/>
      <c r="BWB76" s="156"/>
      <c r="BWC76" s="156"/>
      <c r="BWD76" s="156"/>
      <c r="BWE76" s="156"/>
      <c r="BWF76" s="156"/>
      <c r="BWG76" s="156"/>
      <c r="BWH76" s="156"/>
      <c r="BWI76" s="156"/>
      <c r="BWJ76" s="156"/>
      <c r="BWK76" s="156"/>
      <c r="BWL76" s="156"/>
      <c r="BWM76" s="156"/>
      <c r="BWN76" s="156"/>
      <c r="BWO76" s="156"/>
      <c r="BWP76" s="156"/>
      <c r="BWQ76" s="156"/>
      <c r="BWR76" s="156"/>
      <c r="BWS76" s="156"/>
      <c r="BWT76" s="156"/>
      <c r="BWU76" s="156"/>
      <c r="BWV76" s="156"/>
      <c r="BWW76" s="156"/>
      <c r="BWX76" s="156"/>
      <c r="BWY76" s="156"/>
      <c r="BWZ76" s="156"/>
      <c r="BXA76" s="156"/>
      <c r="BXB76" s="156"/>
      <c r="BXC76" s="156"/>
      <c r="BXD76" s="156"/>
      <c r="BXE76" s="156"/>
      <c r="BXF76" s="156"/>
      <c r="BXG76" s="156"/>
      <c r="BXH76" s="156"/>
      <c r="BXI76" s="156"/>
      <c r="BXJ76" s="156"/>
      <c r="BXK76" s="156"/>
      <c r="BXL76" s="156"/>
      <c r="BXM76" s="156"/>
      <c r="BXN76" s="156"/>
      <c r="BXO76" s="156"/>
      <c r="BXP76" s="156"/>
      <c r="BXQ76" s="156"/>
      <c r="BXR76" s="156"/>
      <c r="BXS76" s="156"/>
      <c r="BXT76" s="156"/>
      <c r="BXU76" s="156"/>
      <c r="BXV76" s="156"/>
      <c r="BXW76" s="156"/>
      <c r="BXX76" s="156"/>
      <c r="BXY76" s="156"/>
      <c r="BXZ76" s="156"/>
      <c r="BYA76" s="156"/>
      <c r="BYB76" s="156"/>
      <c r="BYC76" s="156"/>
      <c r="BYD76" s="156"/>
      <c r="BYE76" s="156"/>
      <c r="BYF76" s="156"/>
      <c r="BYG76" s="156"/>
      <c r="BYH76" s="156"/>
      <c r="BYI76" s="156"/>
      <c r="BYJ76" s="156"/>
      <c r="BYK76" s="156"/>
      <c r="BYL76" s="156"/>
      <c r="BYM76" s="156"/>
      <c r="BYN76" s="156"/>
      <c r="BYO76" s="156"/>
      <c r="BYP76" s="156"/>
      <c r="BYQ76" s="156"/>
      <c r="BYR76" s="156"/>
      <c r="BYS76" s="156"/>
      <c r="BYT76" s="156"/>
      <c r="BYU76" s="156"/>
      <c r="BYV76" s="156"/>
      <c r="BYW76" s="156"/>
      <c r="BYX76" s="156"/>
      <c r="BYY76" s="156"/>
      <c r="BYZ76" s="156"/>
      <c r="BZA76" s="156"/>
      <c r="BZB76" s="156"/>
      <c r="BZC76" s="156"/>
      <c r="BZD76" s="156"/>
      <c r="BZE76" s="156"/>
      <c r="BZF76" s="156"/>
      <c r="BZG76" s="156"/>
      <c r="BZH76" s="156"/>
      <c r="BZI76" s="156"/>
      <c r="BZJ76" s="156"/>
      <c r="BZK76" s="156"/>
      <c r="BZL76" s="156"/>
      <c r="BZM76" s="156"/>
      <c r="BZN76" s="156"/>
      <c r="BZO76" s="156"/>
      <c r="BZP76" s="156"/>
      <c r="BZQ76" s="156"/>
      <c r="BZR76" s="156"/>
      <c r="BZS76" s="156"/>
      <c r="BZT76" s="156"/>
      <c r="BZU76" s="156"/>
      <c r="BZV76" s="156"/>
      <c r="BZW76" s="156"/>
      <c r="BZX76" s="156"/>
      <c r="BZY76" s="156"/>
      <c r="BZZ76" s="156"/>
      <c r="CAA76" s="156"/>
      <c r="CAB76" s="156"/>
      <c r="CAC76" s="156"/>
      <c r="CAD76" s="156"/>
      <c r="CAE76" s="156"/>
      <c r="CAF76" s="156"/>
      <c r="CAG76" s="156"/>
      <c r="CAH76" s="156"/>
      <c r="CAI76" s="156"/>
      <c r="CAJ76" s="156"/>
      <c r="CAK76" s="156"/>
      <c r="CAL76" s="156"/>
      <c r="CAM76" s="156"/>
      <c r="CAN76" s="156"/>
      <c r="CAO76" s="156"/>
      <c r="CAP76" s="156"/>
      <c r="CAQ76" s="156"/>
      <c r="CAR76" s="156"/>
      <c r="CAS76" s="156"/>
      <c r="CAT76" s="156"/>
      <c r="CAU76" s="156"/>
      <c r="CAV76" s="156"/>
      <c r="CAW76" s="156"/>
      <c r="CAX76" s="156"/>
      <c r="CAY76" s="156"/>
      <c r="CAZ76" s="156"/>
      <c r="CBA76" s="156"/>
      <c r="CBB76" s="156"/>
      <c r="CBC76" s="156"/>
      <c r="CBD76" s="156"/>
      <c r="CBE76" s="156"/>
      <c r="CBF76" s="156"/>
      <c r="CBG76" s="156"/>
      <c r="CBH76" s="156"/>
      <c r="CBI76" s="156"/>
      <c r="CBJ76" s="156"/>
      <c r="CBK76" s="156"/>
      <c r="CBL76" s="156"/>
      <c r="CBM76" s="156"/>
      <c r="CBN76" s="156"/>
      <c r="CBO76" s="156"/>
      <c r="CBP76" s="156"/>
      <c r="CBQ76" s="156"/>
      <c r="CBR76" s="156"/>
      <c r="CBS76" s="156"/>
      <c r="CBT76" s="156"/>
      <c r="CBU76" s="156"/>
      <c r="CBV76" s="156"/>
      <c r="CBW76" s="156"/>
      <c r="CBX76" s="156"/>
      <c r="CBY76" s="156"/>
      <c r="CBZ76" s="156"/>
      <c r="CCA76" s="156"/>
      <c r="CCB76" s="156"/>
      <c r="CCC76" s="156"/>
      <c r="CCD76" s="156"/>
      <c r="CCE76" s="156"/>
      <c r="CCF76" s="156"/>
      <c r="CCG76" s="156"/>
      <c r="CCH76" s="156"/>
      <c r="CCI76" s="156"/>
      <c r="CCJ76" s="156"/>
      <c r="CCK76" s="156"/>
      <c r="CCL76" s="156"/>
      <c r="CCM76" s="156"/>
      <c r="CCN76" s="156"/>
      <c r="CCO76" s="156"/>
      <c r="CCP76" s="156"/>
      <c r="CCQ76" s="156"/>
      <c r="CCR76" s="156"/>
      <c r="CCS76" s="156"/>
      <c r="CCT76" s="156"/>
      <c r="CCU76" s="156"/>
      <c r="CCV76" s="156"/>
      <c r="CCW76" s="156"/>
      <c r="CCX76" s="156"/>
      <c r="CCY76" s="156"/>
      <c r="CCZ76" s="156"/>
      <c r="CDA76" s="156"/>
      <c r="CDB76" s="156"/>
      <c r="CDC76" s="156"/>
      <c r="CDD76" s="156"/>
      <c r="CDE76" s="156"/>
      <c r="CDF76" s="156"/>
      <c r="CDG76" s="156"/>
      <c r="CDH76" s="156"/>
      <c r="CDI76" s="156"/>
      <c r="CDJ76" s="156"/>
      <c r="CDK76" s="156"/>
      <c r="CDL76" s="156"/>
      <c r="CDM76" s="156"/>
      <c r="CDN76" s="156"/>
      <c r="CDO76" s="156"/>
      <c r="CDP76" s="156"/>
      <c r="CDQ76" s="156"/>
      <c r="CDR76" s="156"/>
      <c r="CDS76" s="156"/>
      <c r="CDT76" s="156"/>
      <c r="CDU76" s="156"/>
      <c r="CDV76" s="156"/>
      <c r="CDW76" s="156"/>
      <c r="CDX76" s="156"/>
      <c r="CDY76" s="156"/>
      <c r="CDZ76" s="156"/>
      <c r="CEA76" s="156"/>
      <c r="CEB76" s="156"/>
      <c r="CEC76" s="156"/>
      <c r="CED76" s="156"/>
      <c r="CEE76" s="156"/>
      <c r="CEF76" s="156"/>
      <c r="CEG76" s="156"/>
      <c r="CEH76" s="156"/>
      <c r="CEI76" s="156"/>
      <c r="CEJ76" s="156"/>
      <c r="CEK76" s="156"/>
      <c r="CEL76" s="156"/>
      <c r="CEM76" s="156"/>
      <c r="CEN76" s="156"/>
      <c r="CEO76" s="156"/>
      <c r="CEP76" s="156"/>
      <c r="CEQ76" s="156"/>
      <c r="CER76" s="156"/>
      <c r="CES76" s="156"/>
      <c r="CET76" s="156"/>
      <c r="CEU76" s="156"/>
      <c r="CEV76" s="156"/>
      <c r="CEW76" s="156"/>
      <c r="CEX76" s="156"/>
      <c r="CEY76" s="156"/>
      <c r="CEZ76" s="156"/>
      <c r="CFA76" s="156"/>
      <c r="CFB76" s="156"/>
      <c r="CFC76" s="156"/>
      <c r="CFD76" s="156"/>
      <c r="CFE76" s="156"/>
      <c r="CFF76" s="156"/>
      <c r="CFG76" s="156"/>
      <c r="CFH76" s="156"/>
      <c r="CFI76" s="156"/>
      <c r="CFJ76" s="156"/>
      <c r="CFK76" s="156"/>
      <c r="CFL76" s="156"/>
      <c r="CFM76" s="156"/>
      <c r="CFN76" s="156"/>
      <c r="CFO76" s="156"/>
      <c r="CFP76" s="156"/>
      <c r="CFQ76" s="156"/>
      <c r="CFR76" s="156"/>
      <c r="CFS76" s="156"/>
      <c r="CFT76" s="156"/>
      <c r="CFU76" s="156"/>
      <c r="CFV76" s="156"/>
      <c r="CFW76" s="156"/>
      <c r="CFX76" s="156"/>
      <c r="CFY76" s="156"/>
      <c r="CFZ76" s="156"/>
      <c r="CGA76" s="156"/>
      <c r="CGB76" s="156"/>
      <c r="CGC76" s="156"/>
      <c r="CGD76" s="156"/>
      <c r="CGE76" s="156"/>
      <c r="CGF76" s="156"/>
      <c r="CGG76" s="156"/>
      <c r="CGH76" s="156"/>
      <c r="CGI76" s="156"/>
      <c r="CGJ76" s="156"/>
      <c r="CGK76" s="156"/>
      <c r="CGL76" s="156"/>
      <c r="CGM76" s="156"/>
      <c r="CGN76" s="156"/>
      <c r="CGO76" s="156"/>
      <c r="CGP76" s="156"/>
      <c r="CGQ76" s="156"/>
      <c r="CGR76" s="156"/>
      <c r="CGS76" s="156"/>
      <c r="CGT76" s="156"/>
      <c r="CGU76" s="156"/>
      <c r="CGV76" s="156"/>
      <c r="CGW76" s="156"/>
      <c r="CGX76" s="156"/>
      <c r="CGY76" s="156"/>
      <c r="CGZ76" s="156"/>
      <c r="CHA76" s="156"/>
      <c r="CHB76" s="156"/>
      <c r="CHC76" s="156"/>
      <c r="CHD76" s="156"/>
      <c r="CHE76" s="156"/>
      <c r="CHF76" s="156"/>
      <c r="CHG76" s="156"/>
      <c r="CHH76" s="156"/>
      <c r="CHI76" s="156"/>
      <c r="CHJ76" s="156"/>
      <c r="CHK76" s="156"/>
      <c r="CHL76" s="156"/>
      <c r="CHM76" s="156"/>
      <c r="CHN76" s="156"/>
      <c r="CHO76" s="156"/>
      <c r="CHP76" s="156"/>
      <c r="CHQ76" s="156"/>
      <c r="CHR76" s="156"/>
      <c r="CHS76" s="156"/>
      <c r="CHT76" s="156"/>
      <c r="CHU76" s="156"/>
      <c r="CHV76" s="156"/>
      <c r="CHW76" s="156"/>
      <c r="CHX76" s="156"/>
      <c r="CHY76" s="156"/>
      <c r="CHZ76" s="156"/>
      <c r="CIA76" s="156"/>
      <c r="CIB76" s="156"/>
      <c r="CIC76" s="156"/>
      <c r="CID76" s="156"/>
      <c r="CIE76" s="156"/>
      <c r="CIF76" s="156"/>
      <c r="CIG76" s="156"/>
      <c r="CIH76" s="156"/>
      <c r="CII76" s="156"/>
      <c r="CIJ76" s="156"/>
      <c r="CIK76" s="156"/>
      <c r="CIL76" s="156"/>
      <c r="CIM76" s="156"/>
      <c r="CIN76" s="156"/>
      <c r="CIO76" s="156"/>
      <c r="CIP76" s="156"/>
      <c r="CIQ76" s="156"/>
      <c r="CIR76" s="156"/>
      <c r="CIS76" s="156"/>
      <c r="CIT76" s="156"/>
      <c r="CIU76" s="156"/>
      <c r="CIV76" s="156"/>
      <c r="CIW76" s="156"/>
      <c r="CIX76" s="156"/>
      <c r="CIY76" s="156"/>
      <c r="CIZ76" s="156"/>
      <c r="CJA76" s="156"/>
      <c r="CJB76" s="156"/>
      <c r="CJC76" s="156"/>
      <c r="CJD76" s="156"/>
      <c r="CJE76" s="156"/>
      <c r="CJF76" s="156"/>
      <c r="CJG76" s="156"/>
      <c r="CJH76" s="156"/>
      <c r="CJI76" s="156"/>
      <c r="CJJ76" s="156"/>
      <c r="CJK76" s="156"/>
      <c r="CJL76" s="156"/>
      <c r="CJM76" s="156"/>
      <c r="CJN76" s="156"/>
      <c r="CJO76" s="156"/>
      <c r="CJP76" s="156"/>
      <c r="CJQ76" s="156"/>
      <c r="CJR76" s="156"/>
      <c r="CJS76" s="156"/>
      <c r="CJT76" s="156"/>
      <c r="CJU76" s="156"/>
      <c r="CJV76" s="156"/>
      <c r="CJW76" s="156"/>
      <c r="CJX76" s="156"/>
      <c r="CJY76" s="156"/>
      <c r="CJZ76" s="156"/>
      <c r="CKA76" s="156"/>
      <c r="CKB76" s="156"/>
      <c r="CKC76" s="156"/>
      <c r="CKD76" s="156"/>
      <c r="CKE76" s="156"/>
      <c r="CKF76" s="156"/>
      <c r="CKG76" s="156"/>
      <c r="CKH76" s="156"/>
      <c r="CKI76" s="156"/>
      <c r="CKJ76" s="156"/>
      <c r="CKK76" s="156"/>
      <c r="CKL76" s="156"/>
      <c r="CKM76" s="156"/>
      <c r="CKN76" s="156"/>
      <c r="CKO76" s="156"/>
      <c r="CKP76" s="156"/>
      <c r="CKQ76" s="156"/>
      <c r="CKR76" s="156"/>
      <c r="CKS76" s="156"/>
      <c r="CKT76" s="156"/>
      <c r="CKU76" s="156"/>
      <c r="CKV76" s="156"/>
      <c r="CKW76" s="156"/>
      <c r="CKX76" s="156"/>
      <c r="CKY76" s="156"/>
      <c r="CKZ76" s="156"/>
      <c r="CLA76" s="156"/>
      <c r="CLB76" s="156"/>
      <c r="CLC76" s="156"/>
      <c r="CLD76" s="156"/>
      <c r="CLE76" s="156"/>
      <c r="CLF76" s="156"/>
      <c r="CLG76" s="156"/>
      <c r="CLH76" s="156"/>
      <c r="CLI76" s="156"/>
      <c r="CLJ76" s="156"/>
      <c r="CLK76" s="156"/>
      <c r="CLL76" s="156"/>
      <c r="CLM76" s="156"/>
      <c r="CLN76" s="156"/>
      <c r="CLO76" s="156"/>
      <c r="CLP76" s="156"/>
      <c r="CLQ76" s="156"/>
      <c r="CLR76" s="156"/>
      <c r="CLS76" s="156"/>
      <c r="CLT76" s="156"/>
      <c r="CLU76" s="156"/>
      <c r="CLV76" s="156"/>
      <c r="CLW76" s="156"/>
      <c r="CLX76" s="156"/>
      <c r="CLY76" s="156"/>
      <c r="CLZ76" s="156"/>
      <c r="CMA76" s="156"/>
      <c r="CMB76" s="156"/>
      <c r="CMC76" s="156"/>
      <c r="CMD76" s="156"/>
      <c r="CME76" s="156"/>
      <c r="CMF76" s="156"/>
      <c r="CMG76" s="156"/>
      <c r="CMH76" s="156"/>
      <c r="CMI76" s="156"/>
      <c r="CMJ76" s="156"/>
      <c r="CMK76" s="156"/>
      <c r="CML76" s="156"/>
      <c r="CMM76" s="156"/>
      <c r="CMN76" s="156"/>
      <c r="CMO76" s="156"/>
      <c r="CMP76" s="156"/>
      <c r="CMQ76" s="156"/>
      <c r="CMR76" s="156"/>
      <c r="CMS76" s="156"/>
      <c r="CMT76" s="156"/>
      <c r="CMU76" s="156"/>
      <c r="CMV76" s="156"/>
      <c r="CMW76" s="156"/>
      <c r="CMX76" s="156"/>
      <c r="CMY76" s="156"/>
      <c r="CMZ76" s="156"/>
      <c r="CNA76" s="156"/>
      <c r="CNB76" s="156"/>
      <c r="CNC76" s="156"/>
      <c r="CND76" s="156"/>
      <c r="CNE76" s="156"/>
      <c r="CNF76" s="156"/>
      <c r="CNG76" s="156"/>
      <c r="CNH76" s="156"/>
      <c r="CNI76" s="156"/>
      <c r="CNJ76" s="156"/>
      <c r="CNK76" s="156"/>
      <c r="CNL76" s="156"/>
      <c r="CNM76" s="156"/>
      <c r="CNN76" s="156"/>
      <c r="CNO76" s="156"/>
      <c r="CNP76" s="156"/>
      <c r="CNQ76" s="156"/>
      <c r="CNR76" s="156"/>
      <c r="CNS76" s="156"/>
      <c r="CNT76" s="156"/>
      <c r="CNU76" s="156"/>
      <c r="CNV76" s="156"/>
      <c r="CNW76" s="156"/>
      <c r="CNX76" s="156"/>
      <c r="CNY76" s="156"/>
      <c r="CNZ76" s="156"/>
      <c r="COA76" s="156"/>
      <c r="COB76" s="156"/>
      <c r="COC76" s="156"/>
      <c r="COD76" s="156"/>
      <c r="COE76" s="156"/>
      <c r="COF76" s="156"/>
      <c r="COG76" s="156"/>
      <c r="COH76" s="156"/>
      <c r="COI76" s="156"/>
      <c r="COJ76" s="156"/>
      <c r="COK76" s="156"/>
      <c r="COL76" s="156"/>
      <c r="COM76" s="156"/>
      <c r="CON76" s="156"/>
      <c r="COO76" s="156"/>
      <c r="COP76" s="156"/>
      <c r="COQ76" s="156"/>
      <c r="COR76" s="156"/>
      <c r="COS76" s="156"/>
      <c r="COT76" s="156"/>
      <c r="COU76" s="156"/>
      <c r="COV76" s="156"/>
      <c r="COW76" s="156"/>
      <c r="COX76" s="156"/>
      <c r="COY76" s="156"/>
      <c r="COZ76" s="156"/>
      <c r="CPA76" s="156"/>
      <c r="CPB76" s="156"/>
      <c r="CPC76" s="156"/>
      <c r="CPD76" s="156"/>
      <c r="CPE76" s="156"/>
      <c r="CPF76" s="156"/>
      <c r="CPG76" s="156"/>
      <c r="CPH76" s="156"/>
      <c r="CPI76" s="156"/>
      <c r="CPJ76" s="156"/>
      <c r="CPK76" s="156"/>
      <c r="CPL76" s="156"/>
      <c r="CPM76" s="156"/>
      <c r="CPN76" s="156"/>
      <c r="CPO76" s="156"/>
      <c r="CPP76" s="156"/>
      <c r="CPQ76" s="156"/>
      <c r="CPR76" s="156"/>
      <c r="CPS76" s="156"/>
      <c r="CPT76" s="156"/>
      <c r="CPU76" s="156"/>
      <c r="CPV76" s="156"/>
      <c r="CPW76" s="156"/>
      <c r="CPX76" s="156"/>
      <c r="CPY76" s="156"/>
      <c r="CPZ76" s="156"/>
      <c r="CQA76" s="156"/>
      <c r="CQB76" s="156"/>
      <c r="CQC76" s="156"/>
      <c r="CQD76" s="156"/>
      <c r="CQE76" s="156"/>
      <c r="CQF76" s="156"/>
      <c r="CQG76" s="156"/>
      <c r="CQH76" s="156"/>
      <c r="CQI76" s="156"/>
      <c r="CQJ76" s="156"/>
      <c r="CQK76" s="156"/>
      <c r="CQL76" s="156"/>
      <c r="CQM76" s="156"/>
      <c r="CQN76" s="156"/>
      <c r="CQO76" s="156"/>
      <c r="CQP76" s="156"/>
      <c r="CQQ76" s="156"/>
      <c r="CQR76" s="156"/>
      <c r="CQS76" s="156"/>
      <c r="CQT76" s="156"/>
      <c r="CQU76" s="156"/>
      <c r="CQV76" s="156"/>
      <c r="CQW76" s="156"/>
      <c r="CQX76" s="156"/>
      <c r="CQY76" s="156"/>
      <c r="CQZ76" s="156"/>
      <c r="CRA76" s="156"/>
      <c r="CRB76" s="156"/>
      <c r="CRC76" s="156"/>
      <c r="CRD76" s="156"/>
      <c r="CRE76" s="156"/>
      <c r="CRF76" s="156"/>
      <c r="CRG76" s="156"/>
      <c r="CRH76" s="156"/>
      <c r="CRI76" s="156"/>
      <c r="CRJ76" s="156"/>
      <c r="CRK76" s="156"/>
      <c r="CRL76" s="156"/>
      <c r="CRM76" s="156"/>
      <c r="CRN76" s="156"/>
      <c r="CRO76" s="156"/>
      <c r="CRP76" s="156"/>
      <c r="CRQ76" s="156"/>
      <c r="CRR76" s="156"/>
      <c r="CRS76" s="156"/>
      <c r="CRT76" s="156"/>
      <c r="CRU76" s="156"/>
      <c r="CRV76" s="156"/>
      <c r="CRW76" s="156"/>
      <c r="CRX76" s="156"/>
      <c r="CRY76" s="156"/>
      <c r="CRZ76" s="156"/>
      <c r="CSA76" s="156"/>
      <c r="CSB76" s="156"/>
      <c r="CSC76" s="156"/>
      <c r="CSD76" s="156"/>
      <c r="CSE76" s="156"/>
      <c r="CSF76" s="156"/>
      <c r="CSG76" s="156"/>
      <c r="CSH76" s="156"/>
      <c r="CSI76" s="156"/>
      <c r="CSJ76" s="156"/>
      <c r="CSK76" s="156"/>
      <c r="CSL76" s="156"/>
      <c r="CSM76" s="156"/>
      <c r="CSN76" s="156"/>
      <c r="CSO76" s="156"/>
      <c r="CSP76" s="156"/>
      <c r="CSQ76" s="156"/>
      <c r="CSR76" s="156"/>
      <c r="CSS76" s="156"/>
      <c r="CST76" s="156"/>
      <c r="CSU76" s="156"/>
      <c r="CSV76" s="156"/>
      <c r="CSW76" s="156"/>
      <c r="CSX76" s="156"/>
      <c r="CSY76" s="156"/>
      <c r="CSZ76" s="156"/>
      <c r="CTA76" s="156"/>
      <c r="CTB76" s="156"/>
      <c r="CTC76" s="156"/>
      <c r="CTD76" s="156"/>
      <c r="CTE76" s="156"/>
      <c r="CTF76" s="156"/>
      <c r="CTG76" s="156"/>
      <c r="CTH76" s="156"/>
      <c r="CTI76" s="156"/>
      <c r="CTJ76" s="156"/>
      <c r="CTK76" s="156"/>
      <c r="CTL76" s="156"/>
      <c r="CTM76" s="156"/>
      <c r="CTN76" s="156"/>
      <c r="CTO76" s="156"/>
      <c r="CTP76" s="156"/>
      <c r="CTQ76" s="156"/>
      <c r="CTR76" s="156"/>
      <c r="CTS76" s="156"/>
      <c r="CTT76" s="156"/>
      <c r="CTU76" s="156"/>
      <c r="CTV76" s="156"/>
      <c r="CTW76" s="156"/>
      <c r="CTX76" s="156"/>
      <c r="CTY76" s="156"/>
      <c r="CTZ76" s="156"/>
      <c r="CUA76" s="156"/>
      <c r="CUB76" s="156"/>
      <c r="CUC76" s="156"/>
      <c r="CUD76" s="156"/>
      <c r="CUE76" s="156"/>
      <c r="CUF76" s="156"/>
      <c r="CUG76" s="156"/>
      <c r="CUH76" s="156"/>
      <c r="CUI76" s="156"/>
      <c r="CUJ76" s="156"/>
      <c r="CUK76" s="156"/>
      <c r="CUL76" s="156"/>
      <c r="CUM76" s="156"/>
      <c r="CUN76" s="156"/>
      <c r="CUO76" s="156"/>
      <c r="CUP76" s="156"/>
      <c r="CUQ76" s="156"/>
      <c r="CUR76" s="156"/>
      <c r="CUS76" s="156"/>
      <c r="CUT76" s="156"/>
      <c r="CUU76" s="156"/>
      <c r="CUV76" s="156"/>
      <c r="CUW76" s="156"/>
      <c r="CUX76" s="156"/>
      <c r="CUY76" s="156"/>
      <c r="CUZ76" s="156"/>
      <c r="CVA76" s="156"/>
      <c r="CVB76" s="156"/>
      <c r="CVC76" s="156"/>
      <c r="CVD76" s="156"/>
      <c r="CVE76" s="156"/>
      <c r="CVF76" s="156"/>
      <c r="CVG76" s="156"/>
      <c r="CVH76" s="156"/>
      <c r="CVI76" s="156"/>
      <c r="CVJ76" s="156"/>
      <c r="CVK76" s="156"/>
      <c r="CVL76" s="156"/>
      <c r="CVM76" s="156"/>
      <c r="CVN76" s="156"/>
      <c r="CVO76" s="156"/>
      <c r="CVP76" s="156"/>
      <c r="CVQ76" s="156"/>
      <c r="CVR76" s="156"/>
      <c r="CVS76" s="156"/>
      <c r="CVT76" s="156"/>
      <c r="CVU76" s="156"/>
      <c r="CVV76" s="156"/>
      <c r="CVW76" s="156"/>
      <c r="CVX76" s="156"/>
      <c r="CVY76" s="156"/>
      <c r="CVZ76" s="156"/>
      <c r="CWA76" s="156"/>
      <c r="CWB76" s="156"/>
      <c r="CWC76" s="156"/>
      <c r="CWD76" s="156"/>
      <c r="CWE76" s="156"/>
      <c r="CWF76" s="156"/>
      <c r="CWG76" s="156"/>
      <c r="CWH76" s="156"/>
      <c r="CWI76" s="156"/>
      <c r="CWJ76" s="156"/>
      <c r="CWK76" s="156"/>
      <c r="CWL76" s="156"/>
      <c r="CWM76" s="156"/>
      <c r="CWN76" s="156"/>
      <c r="CWO76" s="156"/>
      <c r="CWP76" s="156"/>
      <c r="CWQ76" s="156"/>
      <c r="CWR76" s="156"/>
      <c r="CWS76" s="156"/>
      <c r="CWT76" s="156"/>
      <c r="CWU76" s="156"/>
      <c r="CWV76" s="156"/>
      <c r="CWW76" s="156"/>
      <c r="CWX76" s="156"/>
      <c r="CWY76" s="156"/>
      <c r="CWZ76" s="156"/>
      <c r="CXA76" s="156"/>
      <c r="CXB76" s="156"/>
      <c r="CXC76" s="156"/>
      <c r="CXD76" s="156"/>
      <c r="CXE76" s="156"/>
      <c r="CXF76" s="156"/>
      <c r="CXG76" s="156"/>
      <c r="CXH76" s="156"/>
      <c r="CXI76" s="156"/>
      <c r="CXJ76" s="156"/>
      <c r="CXK76" s="156"/>
      <c r="CXL76" s="156"/>
      <c r="CXM76" s="156"/>
      <c r="CXN76" s="156"/>
      <c r="CXO76" s="156"/>
      <c r="CXP76" s="156"/>
      <c r="CXQ76" s="156"/>
      <c r="CXR76" s="156"/>
      <c r="CXS76" s="156"/>
      <c r="CXT76" s="156"/>
      <c r="CXU76" s="156"/>
      <c r="CXV76" s="156"/>
      <c r="CXW76" s="156"/>
      <c r="CXX76" s="156"/>
      <c r="CXY76" s="156"/>
      <c r="CXZ76" s="156"/>
      <c r="CYA76" s="156"/>
      <c r="CYB76" s="156"/>
      <c r="CYC76" s="156"/>
      <c r="CYD76" s="156"/>
      <c r="CYE76" s="156"/>
      <c r="CYF76" s="156"/>
      <c r="CYG76" s="156"/>
      <c r="CYH76" s="156"/>
      <c r="CYI76" s="156"/>
      <c r="CYJ76" s="156"/>
      <c r="CYK76" s="156"/>
      <c r="CYL76" s="156"/>
      <c r="CYM76" s="156"/>
      <c r="CYN76" s="156"/>
      <c r="CYO76" s="156"/>
      <c r="CYP76" s="156"/>
      <c r="CYQ76" s="156"/>
      <c r="CYR76" s="156"/>
      <c r="CYS76" s="156"/>
      <c r="CYT76" s="156"/>
      <c r="CYU76" s="156"/>
      <c r="CYV76" s="156"/>
      <c r="CYW76" s="156"/>
      <c r="CYX76" s="156"/>
      <c r="CYY76" s="156"/>
      <c r="CYZ76" s="156"/>
      <c r="CZA76" s="156"/>
      <c r="CZB76" s="156"/>
      <c r="CZC76" s="156"/>
      <c r="CZD76" s="156"/>
      <c r="CZE76" s="156"/>
      <c r="CZF76" s="156"/>
      <c r="CZG76" s="156"/>
      <c r="CZH76" s="156"/>
      <c r="CZI76" s="156"/>
      <c r="CZJ76" s="156"/>
      <c r="CZK76" s="156"/>
      <c r="CZL76" s="156"/>
      <c r="CZM76" s="156"/>
      <c r="CZN76" s="156"/>
      <c r="CZO76" s="156"/>
      <c r="CZP76" s="156"/>
      <c r="CZQ76" s="156"/>
      <c r="CZR76" s="156"/>
      <c r="CZS76" s="156"/>
      <c r="CZT76" s="156"/>
      <c r="CZU76" s="156"/>
      <c r="CZV76" s="156"/>
      <c r="CZW76" s="156"/>
      <c r="CZX76" s="156"/>
      <c r="CZY76" s="156"/>
      <c r="CZZ76" s="156"/>
      <c r="DAA76" s="156"/>
      <c r="DAB76" s="156"/>
      <c r="DAC76" s="156"/>
      <c r="DAD76" s="156"/>
      <c r="DAE76" s="156"/>
      <c r="DAF76" s="156"/>
      <c r="DAG76" s="156"/>
      <c r="DAH76" s="156"/>
      <c r="DAI76" s="156"/>
      <c r="DAJ76" s="156"/>
      <c r="DAK76" s="156"/>
      <c r="DAL76" s="156"/>
      <c r="DAM76" s="156"/>
      <c r="DAN76" s="156"/>
      <c r="DAO76" s="156"/>
      <c r="DAP76" s="156"/>
      <c r="DAQ76" s="156"/>
      <c r="DAR76" s="156"/>
      <c r="DAS76" s="156"/>
      <c r="DAT76" s="156"/>
      <c r="DAU76" s="156"/>
      <c r="DAV76" s="156"/>
      <c r="DAW76" s="156"/>
      <c r="DAX76" s="156"/>
      <c r="DAY76" s="156"/>
      <c r="DAZ76" s="156"/>
      <c r="DBA76" s="156"/>
      <c r="DBB76" s="156"/>
      <c r="DBC76" s="156"/>
      <c r="DBD76" s="156"/>
      <c r="DBE76" s="156"/>
      <c r="DBF76" s="156"/>
      <c r="DBG76" s="156"/>
      <c r="DBH76" s="156"/>
      <c r="DBI76" s="156"/>
      <c r="DBJ76" s="156"/>
      <c r="DBK76" s="156"/>
      <c r="DBL76" s="156"/>
      <c r="DBM76" s="156"/>
      <c r="DBN76" s="156"/>
      <c r="DBO76" s="156"/>
      <c r="DBP76" s="156"/>
      <c r="DBQ76" s="156"/>
      <c r="DBR76" s="156"/>
      <c r="DBS76" s="156"/>
      <c r="DBT76" s="156"/>
      <c r="DBU76" s="156"/>
      <c r="DBV76" s="156"/>
      <c r="DBW76" s="156"/>
      <c r="DBX76" s="156"/>
      <c r="DBY76" s="156"/>
      <c r="DBZ76" s="156"/>
      <c r="DCA76" s="156"/>
      <c r="DCB76" s="156"/>
      <c r="DCC76" s="156"/>
      <c r="DCD76" s="156"/>
      <c r="DCE76" s="156"/>
      <c r="DCF76" s="156"/>
      <c r="DCG76" s="156"/>
      <c r="DCH76" s="156"/>
      <c r="DCI76" s="156"/>
      <c r="DCJ76" s="156"/>
      <c r="DCK76" s="156"/>
      <c r="DCL76" s="156"/>
      <c r="DCM76" s="156"/>
      <c r="DCN76" s="156"/>
      <c r="DCO76" s="156"/>
      <c r="DCP76" s="156"/>
      <c r="DCQ76" s="156"/>
      <c r="DCR76" s="156"/>
      <c r="DCS76" s="156"/>
      <c r="DCT76" s="156"/>
      <c r="DCU76" s="156"/>
      <c r="DCV76" s="156"/>
      <c r="DCW76" s="156"/>
      <c r="DCX76" s="156"/>
      <c r="DCY76" s="156"/>
      <c r="DCZ76" s="156"/>
      <c r="DDA76" s="156"/>
      <c r="DDB76" s="156"/>
      <c r="DDC76" s="156"/>
      <c r="DDD76" s="156"/>
      <c r="DDE76" s="156"/>
      <c r="DDF76" s="156"/>
      <c r="DDG76" s="156"/>
      <c r="DDH76" s="156"/>
      <c r="DDI76" s="156"/>
      <c r="DDJ76" s="156"/>
      <c r="DDK76" s="156"/>
      <c r="DDL76" s="156"/>
      <c r="DDM76" s="156"/>
      <c r="DDN76" s="156"/>
      <c r="DDO76" s="156"/>
      <c r="DDP76" s="156"/>
      <c r="DDQ76" s="156"/>
      <c r="DDR76" s="156"/>
      <c r="DDS76" s="156"/>
      <c r="DDT76" s="156"/>
      <c r="DDU76" s="156"/>
      <c r="DDV76" s="156"/>
      <c r="DDW76" s="156"/>
      <c r="DDX76" s="156"/>
      <c r="DDY76" s="156"/>
      <c r="DDZ76" s="156"/>
      <c r="DEA76" s="156"/>
      <c r="DEB76" s="156"/>
      <c r="DEC76" s="156"/>
      <c r="DED76" s="156"/>
      <c r="DEE76" s="156"/>
      <c r="DEF76" s="156"/>
      <c r="DEG76" s="156"/>
      <c r="DEH76" s="156"/>
      <c r="DEI76" s="156"/>
      <c r="DEJ76" s="156"/>
      <c r="DEK76" s="156"/>
      <c r="DEL76" s="156"/>
      <c r="DEM76" s="156"/>
      <c r="DEN76" s="156"/>
      <c r="DEO76" s="156"/>
      <c r="DEP76" s="156"/>
      <c r="DEQ76" s="156"/>
      <c r="DER76" s="156"/>
      <c r="DES76" s="156"/>
      <c r="DET76" s="156"/>
      <c r="DEU76" s="156"/>
      <c r="DEV76" s="156"/>
      <c r="DEW76" s="156"/>
      <c r="DEX76" s="156"/>
      <c r="DEY76" s="156"/>
      <c r="DEZ76" s="156"/>
      <c r="DFA76" s="156"/>
      <c r="DFB76" s="156"/>
      <c r="DFC76" s="156"/>
      <c r="DFD76" s="156"/>
      <c r="DFE76" s="156"/>
      <c r="DFF76" s="156"/>
      <c r="DFG76" s="156"/>
      <c r="DFH76" s="156"/>
      <c r="DFI76" s="156"/>
      <c r="DFJ76" s="156"/>
      <c r="DFK76" s="156"/>
      <c r="DFL76" s="156"/>
      <c r="DFM76" s="156"/>
      <c r="DFN76" s="156"/>
      <c r="DFO76" s="156"/>
      <c r="DFP76" s="156"/>
      <c r="DFQ76" s="156"/>
      <c r="DFR76" s="156"/>
      <c r="DFS76" s="156"/>
      <c r="DFT76" s="156"/>
      <c r="DFU76" s="156"/>
      <c r="DFV76" s="156"/>
      <c r="DFW76" s="156"/>
      <c r="DFX76" s="156"/>
      <c r="DFY76" s="156"/>
      <c r="DFZ76" s="156"/>
      <c r="DGA76" s="156"/>
      <c r="DGB76" s="156"/>
      <c r="DGC76" s="156"/>
      <c r="DGD76" s="156"/>
      <c r="DGE76" s="156"/>
      <c r="DGF76" s="156"/>
      <c r="DGG76" s="156"/>
      <c r="DGH76" s="156"/>
      <c r="DGI76" s="156"/>
      <c r="DGJ76" s="156"/>
      <c r="DGK76" s="156"/>
      <c r="DGL76" s="156"/>
      <c r="DGM76" s="156"/>
      <c r="DGN76" s="156"/>
      <c r="DGO76" s="156"/>
      <c r="DGP76" s="156"/>
      <c r="DGQ76" s="156"/>
      <c r="DGR76" s="156"/>
      <c r="DGS76" s="156"/>
      <c r="DGT76" s="156"/>
      <c r="DGU76" s="156"/>
      <c r="DGV76" s="156"/>
      <c r="DGW76" s="156"/>
      <c r="DGX76" s="156"/>
      <c r="DGY76" s="156"/>
      <c r="DGZ76" s="156"/>
      <c r="DHA76" s="156"/>
      <c r="DHB76" s="156"/>
      <c r="DHC76" s="156"/>
      <c r="DHD76" s="156"/>
      <c r="DHE76" s="156"/>
      <c r="DHF76" s="156"/>
      <c r="DHG76" s="156"/>
      <c r="DHH76" s="156"/>
      <c r="DHI76" s="156"/>
      <c r="DHJ76" s="156"/>
      <c r="DHK76" s="156"/>
      <c r="DHL76" s="156"/>
      <c r="DHM76" s="156"/>
      <c r="DHN76" s="156"/>
      <c r="DHO76" s="156"/>
      <c r="DHP76" s="156"/>
      <c r="DHQ76" s="156"/>
      <c r="DHR76" s="156"/>
      <c r="DHS76" s="156"/>
      <c r="DHT76" s="156"/>
      <c r="DHU76" s="156"/>
      <c r="DHV76" s="156"/>
      <c r="DHW76" s="156"/>
      <c r="DHX76" s="156"/>
      <c r="DHY76" s="156"/>
      <c r="DHZ76" s="156"/>
      <c r="DIA76" s="156"/>
      <c r="DIB76" s="156"/>
      <c r="DIC76" s="156"/>
      <c r="DID76" s="156"/>
      <c r="DIE76" s="156"/>
      <c r="DIF76" s="156"/>
      <c r="DIG76" s="156"/>
      <c r="DIH76" s="156"/>
      <c r="DII76" s="156"/>
      <c r="DIJ76" s="156"/>
      <c r="DIK76" s="156"/>
      <c r="DIL76" s="156"/>
      <c r="DIM76" s="156"/>
      <c r="DIN76" s="156"/>
      <c r="DIO76" s="156"/>
      <c r="DIP76" s="156"/>
      <c r="DIQ76" s="156"/>
      <c r="DIR76" s="156"/>
      <c r="DIS76" s="156"/>
      <c r="DIT76" s="156"/>
      <c r="DIU76" s="156"/>
      <c r="DIV76" s="156"/>
      <c r="DIW76" s="156"/>
      <c r="DIX76" s="156"/>
      <c r="DIY76" s="156"/>
      <c r="DIZ76" s="156"/>
      <c r="DJA76" s="156"/>
      <c r="DJB76" s="156"/>
      <c r="DJC76" s="156"/>
      <c r="DJD76" s="156"/>
      <c r="DJE76" s="156"/>
      <c r="DJF76" s="156"/>
      <c r="DJG76" s="156"/>
      <c r="DJH76" s="156"/>
      <c r="DJI76" s="156"/>
      <c r="DJJ76" s="156"/>
      <c r="DJK76" s="156"/>
      <c r="DJL76" s="156"/>
      <c r="DJM76" s="156"/>
      <c r="DJN76" s="156"/>
      <c r="DJO76" s="156"/>
      <c r="DJP76" s="156"/>
      <c r="DJQ76" s="156"/>
      <c r="DJR76" s="156"/>
      <c r="DJS76" s="156"/>
      <c r="DJT76" s="156"/>
      <c r="DJU76" s="156"/>
      <c r="DJV76" s="156"/>
      <c r="DJW76" s="156"/>
      <c r="DJX76" s="156"/>
      <c r="DJY76" s="156"/>
      <c r="DJZ76" s="156"/>
      <c r="DKA76" s="156"/>
      <c r="DKB76" s="156"/>
      <c r="DKC76" s="156"/>
      <c r="DKD76" s="156"/>
      <c r="DKE76" s="156"/>
      <c r="DKF76" s="156"/>
      <c r="DKG76" s="156"/>
      <c r="DKH76" s="156"/>
      <c r="DKI76" s="156"/>
      <c r="DKJ76" s="156"/>
      <c r="DKK76" s="156"/>
      <c r="DKL76" s="156"/>
      <c r="DKM76" s="156"/>
      <c r="DKN76" s="156"/>
      <c r="DKO76" s="156"/>
      <c r="DKP76" s="156"/>
      <c r="DKQ76" s="156"/>
      <c r="DKR76" s="156"/>
      <c r="DKS76" s="156"/>
      <c r="DKT76" s="156"/>
      <c r="DKU76" s="156"/>
      <c r="DKV76" s="156"/>
      <c r="DKW76" s="156"/>
      <c r="DKX76" s="156"/>
      <c r="DKY76" s="156"/>
      <c r="DKZ76" s="156"/>
      <c r="DLA76" s="156"/>
      <c r="DLB76" s="156"/>
      <c r="DLC76" s="156"/>
      <c r="DLD76" s="156"/>
      <c r="DLE76" s="156"/>
      <c r="DLF76" s="156"/>
      <c r="DLG76" s="156"/>
      <c r="DLH76" s="156"/>
      <c r="DLI76" s="156"/>
      <c r="DLJ76" s="156"/>
      <c r="DLK76" s="156"/>
      <c r="DLL76" s="156"/>
      <c r="DLM76" s="156"/>
      <c r="DLN76" s="156"/>
      <c r="DLO76" s="156"/>
      <c r="DLP76" s="156"/>
      <c r="DLQ76" s="156"/>
      <c r="DLR76" s="156"/>
      <c r="DLS76" s="156"/>
      <c r="DLT76" s="156"/>
      <c r="DLU76" s="156"/>
      <c r="DLV76" s="156"/>
      <c r="DLW76" s="156"/>
      <c r="DLX76" s="156"/>
      <c r="DLY76" s="156"/>
      <c r="DLZ76" s="156"/>
      <c r="DMA76" s="156"/>
      <c r="DMB76" s="156"/>
      <c r="DMC76" s="156"/>
      <c r="DMD76" s="156"/>
      <c r="DME76" s="156"/>
      <c r="DMF76" s="156"/>
      <c r="DMG76" s="156"/>
      <c r="DMH76" s="156"/>
      <c r="DMI76" s="156"/>
      <c r="DMJ76" s="156"/>
      <c r="DMK76" s="156"/>
      <c r="DML76" s="156"/>
      <c r="DMM76" s="156"/>
      <c r="DMN76" s="156"/>
      <c r="DMO76" s="156"/>
      <c r="DMP76" s="156"/>
      <c r="DMQ76" s="156"/>
      <c r="DMR76" s="156"/>
      <c r="DMS76" s="156"/>
      <c r="DMT76" s="156"/>
      <c r="DMU76" s="156"/>
      <c r="DMV76" s="156"/>
      <c r="DMW76" s="156"/>
      <c r="DMX76" s="156"/>
      <c r="DMY76" s="156"/>
      <c r="DMZ76" s="156"/>
      <c r="DNA76" s="156"/>
      <c r="DNB76" s="156"/>
      <c r="DNC76" s="156"/>
      <c r="DND76" s="156"/>
      <c r="DNE76" s="156"/>
      <c r="DNF76" s="156"/>
      <c r="DNG76" s="156"/>
      <c r="DNH76" s="156"/>
      <c r="DNI76" s="156"/>
      <c r="DNJ76" s="156"/>
      <c r="DNK76" s="156"/>
      <c r="DNL76" s="156"/>
      <c r="DNM76" s="156"/>
      <c r="DNN76" s="156"/>
      <c r="DNO76" s="156"/>
      <c r="DNP76" s="156"/>
      <c r="DNQ76" s="156"/>
      <c r="DNR76" s="156"/>
      <c r="DNS76" s="156"/>
      <c r="DNT76" s="156"/>
      <c r="DNU76" s="156"/>
      <c r="DNV76" s="156"/>
      <c r="DNW76" s="156"/>
      <c r="DNX76" s="156"/>
      <c r="DNY76" s="156"/>
      <c r="DNZ76" s="156"/>
      <c r="DOA76" s="156"/>
      <c r="DOB76" s="156"/>
      <c r="DOC76" s="156"/>
      <c r="DOD76" s="156"/>
      <c r="DOE76" s="156"/>
      <c r="DOF76" s="156"/>
      <c r="DOG76" s="156"/>
      <c r="DOH76" s="156"/>
      <c r="DOI76" s="156"/>
      <c r="DOJ76" s="156"/>
      <c r="DOK76" s="156"/>
      <c r="DOL76" s="156"/>
      <c r="DOM76" s="156"/>
      <c r="DON76" s="156"/>
      <c r="DOO76" s="156"/>
      <c r="DOP76" s="156"/>
      <c r="DOQ76" s="156"/>
      <c r="DOR76" s="156"/>
      <c r="DOS76" s="156"/>
      <c r="DOT76" s="156"/>
      <c r="DOU76" s="156"/>
      <c r="DOV76" s="156"/>
      <c r="DOW76" s="156"/>
      <c r="DOX76" s="156"/>
      <c r="DOY76" s="156"/>
      <c r="DOZ76" s="156"/>
      <c r="DPA76" s="156"/>
      <c r="DPB76" s="156"/>
      <c r="DPC76" s="156"/>
      <c r="DPD76" s="156"/>
      <c r="DPE76" s="156"/>
      <c r="DPF76" s="156"/>
      <c r="DPG76" s="156"/>
      <c r="DPH76" s="156"/>
      <c r="DPI76" s="156"/>
      <c r="DPJ76" s="156"/>
      <c r="DPK76" s="156"/>
      <c r="DPL76" s="156"/>
      <c r="DPM76" s="156"/>
      <c r="DPN76" s="156"/>
      <c r="DPO76" s="156"/>
      <c r="DPP76" s="156"/>
      <c r="DPQ76" s="156"/>
      <c r="DPR76" s="156"/>
      <c r="DPS76" s="156"/>
      <c r="DPT76" s="156"/>
      <c r="DPU76" s="156"/>
      <c r="DPV76" s="156"/>
      <c r="DPW76" s="156"/>
      <c r="DPX76" s="156"/>
      <c r="DPY76" s="156"/>
      <c r="DPZ76" s="156"/>
      <c r="DQA76" s="156"/>
      <c r="DQB76" s="156"/>
      <c r="DQC76" s="156"/>
      <c r="DQD76" s="156"/>
      <c r="DQE76" s="156"/>
      <c r="DQF76" s="156"/>
      <c r="DQG76" s="156"/>
      <c r="DQH76" s="156"/>
      <c r="DQI76" s="156"/>
      <c r="DQJ76" s="156"/>
      <c r="DQK76" s="156"/>
      <c r="DQL76" s="156"/>
      <c r="DQM76" s="156"/>
      <c r="DQN76" s="156"/>
      <c r="DQO76" s="156"/>
      <c r="DQP76" s="156"/>
      <c r="DQQ76" s="156"/>
      <c r="DQR76" s="156"/>
      <c r="DQS76" s="156"/>
      <c r="DQT76" s="156"/>
      <c r="DQU76" s="156"/>
      <c r="DQV76" s="156"/>
      <c r="DQW76" s="156"/>
      <c r="DQX76" s="156"/>
      <c r="DQY76" s="156"/>
      <c r="DQZ76" s="156"/>
      <c r="DRA76" s="156"/>
      <c r="DRB76" s="156"/>
      <c r="DRC76" s="156"/>
      <c r="DRD76" s="156"/>
      <c r="DRE76" s="156"/>
      <c r="DRF76" s="156"/>
      <c r="DRG76" s="156"/>
      <c r="DRH76" s="156"/>
      <c r="DRI76" s="156"/>
      <c r="DRJ76" s="156"/>
      <c r="DRK76" s="156"/>
      <c r="DRL76" s="156"/>
      <c r="DRM76" s="156"/>
      <c r="DRN76" s="156"/>
      <c r="DRO76" s="156"/>
      <c r="DRP76" s="156"/>
      <c r="DRQ76" s="156"/>
      <c r="DRR76" s="156"/>
      <c r="DRS76" s="156"/>
      <c r="DRT76" s="156"/>
      <c r="DRU76" s="156"/>
      <c r="DRV76" s="156"/>
      <c r="DRW76" s="156"/>
      <c r="DRX76" s="156"/>
      <c r="DRY76" s="156"/>
      <c r="DRZ76" s="156"/>
      <c r="DSA76" s="156"/>
      <c r="DSB76" s="156"/>
      <c r="DSC76" s="156"/>
      <c r="DSD76" s="156"/>
      <c r="DSE76" s="156"/>
      <c r="DSF76" s="156"/>
      <c r="DSG76" s="156"/>
      <c r="DSH76" s="156"/>
      <c r="DSI76" s="156"/>
      <c r="DSJ76" s="156"/>
      <c r="DSK76" s="156"/>
      <c r="DSL76" s="156"/>
      <c r="DSM76" s="156"/>
      <c r="DSN76" s="156"/>
      <c r="DSO76" s="156"/>
      <c r="DSP76" s="156"/>
      <c r="DSQ76" s="156"/>
      <c r="DSR76" s="156"/>
      <c r="DSS76" s="156"/>
      <c r="DST76" s="156"/>
      <c r="DSU76" s="156"/>
      <c r="DSV76" s="156"/>
      <c r="DSW76" s="156"/>
      <c r="DSX76" s="156"/>
      <c r="DSY76" s="156"/>
      <c r="DSZ76" s="156"/>
      <c r="DTA76" s="156"/>
      <c r="DTB76" s="156"/>
      <c r="DTC76" s="156"/>
      <c r="DTD76" s="156"/>
      <c r="DTE76" s="156"/>
      <c r="DTF76" s="156"/>
      <c r="DTG76" s="156"/>
      <c r="DTH76" s="156"/>
      <c r="DTI76" s="156"/>
      <c r="DTJ76" s="156"/>
      <c r="DTK76" s="156"/>
      <c r="DTL76" s="156"/>
      <c r="DTM76" s="156"/>
      <c r="DTN76" s="156"/>
      <c r="DTO76" s="156"/>
      <c r="DTP76" s="156"/>
      <c r="DTQ76" s="156"/>
      <c r="DTR76" s="156"/>
      <c r="DTS76" s="156"/>
      <c r="DTT76" s="156"/>
      <c r="DTU76" s="156"/>
      <c r="DTV76" s="156"/>
      <c r="DTW76" s="156"/>
      <c r="DTX76" s="156"/>
      <c r="DTY76" s="156"/>
      <c r="DTZ76" s="156"/>
      <c r="DUA76" s="156"/>
      <c r="DUB76" s="156"/>
      <c r="DUC76" s="156"/>
      <c r="DUD76" s="156"/>
      <c r="DUE76" s="156"/>
      <c r="DUF76" s="156"/>
      <c r="DUG76" s="156"/>
      <c r="DUH76" s="156"/>
      <c r="DUI76" s="156"/>
      <c r="DUJ76" s="156"/>
      <c r="DUK76" s="156"/>
      <c r="DUL76" s="156"/>
      <c r="DUM76" s="156"/>
      <c r="DUN76" s="156"/>
      <c r="DUO76" s="156"/>
      <c r="DUP76" s="156"/>
      <c r="DUQ76" s="156"/>
      <c r="DUR76" s="156"/>
      <c r="DUS76" s="156"/>
      <c r="DUT76" s="156"/>
      <c r="DUU76" s="156"/>
      <c r="DUV76" s="156"/>
      <c r="DUW76" s="156"/>
      <c r="DUX76" s="156"/>
      <c r="DUY76" s="156"/>
      <c r="DUZ76" s="156"/>
      <c r="DVA76" s="156"/>
      <c r="DVB76" s="156"/>
      <c r="DVC76" s="156"/>
      <c r="DVD76" s="156"/>
      <c r="DVE76" s="156"/>
      <c r="DVF76" s="156"/>
      <c r="DVG76" s="156"/>
      <c r="DVH76" s="156"/>
      <c r="DVI76" s="156"/>
      <c r="DVJ76" s="156"/>
      <c r="DVK76" s="156"/>
      <c r="DVL76" s="156"/>
      <c r="DVM76" s="156"/>
      <c r="DVN76" s="156"/>
      <c r="DVO76" s="156"/>
      <c r="DVP76" s="156"/>
      <c r="DVQ76" s="156"/>
      <c r="DVR76" s="156"/>
      <c r="DVS76" s="156"/>
      <c r="DVT76" s="156"/>
      <c r="DVU76" s="156"/>
      <c r="DVV76" s="156"/>
      <c r="DVW76" s="156"/>
      <c r="DVX76" s="156"/>
      <c r="DVY76" s="156"/>
      <c r="DVZ76" s="156"/>
      <c r="DWA76" s="156"/>
      <c r="DWB76" s="156"/>
      <c r="DWC76" s="156"/>
      <c r="DWD76" s="156"/>
      <c r="DWE76" s="156"/>
      <c r="DWF76" s="156"/>
      <c r="DWG76" s="156"/>
      <c r="DWH76" s="156"/>
      <c r="DWI76" s="156"/>
      <c r="DWJ76" s="156"/>
      <c r="DWK76" s="156"/>
      <c r="DWL76" s="156"/>
      <c r="DWM76" s="156"/>
      <c r="DWN76" s="156"/>
      <c r="DWO76" s="156"/>
      <c r="DWP76" s="156"/>
      <c r="DWQ76" s="156"/>
      <c r="DWR76" s="156"/>
      <c r="DWS76" s="156"/>
      <c r="DWT76" s="156"/>
      <c r="DWU76" s="156"/>
      <c r="DWV76" s="156"/>
      <c r="DWW76" s="156"/>
      <c r="DWX76" s="156"/>
      <c r="DWY76" s="156"/>
      <c r="DWZ76" s="156"/>
      <c r="DXA76" s="156"/>
      <c r="DXB76" s="156"/>
      <c r="DXC76" s="156"/>
      <c r="DXD76" s="156"/>
      <c r="DXE76" s="156"/>
      <c r="DXF76" s="156"/>
      <c r="DXG76" s="156"/>
      <c r="DXH76" s="156"/>
      <c r="DXI76" s="156"/>
      <c r="DXJ76" s="156"/>
      <c r="DXK76" s="156"/>
      <c r="DXL76" s="156"/>
      <c r="DXM76" s="156"/>
      <c r="DXN76" s="156"/>
      <c r="DXO76" s="156"/>
      <c r="DXP76" s="156"/>
      <c r="DXQ76" s="156"/>
      <c r="DXR76" s="156"/>
      <c r="DXS76" s="156"/>
      <c r="DXT76" s="156"/>
      <c r="DXU76" s="156"/>
      <c r="DXV76" s="156"/>
      <c r="DXW76" s="156"/>
      <c r="DXX76" s="156"/>
      <c r="DXY76" s="156"/>
      <c r="DXZ76" s="156"/>
      <c r="DYA76" s="156"/>
      <c r="DYB76" s="156"/>
      <c r="DYC76" s="156"/>
      <c r="DYD76" s="156"/>
      <c r="DYE76" s="156"/>
      <c r="DYF76" s="156"/>
      <c r="DYG76" s="156"/>
      <c r="DYH76" s="156"/>
      <c r="DYI76" s="156"/>
      <c r="DYJ76" s="156"/>
      <c r="DYK76" s="156"/>
      <c r="DYL76" s="156"/>
      <c r="DYM76" s="156"/>
      <c r="DYN76" s="156"/>
      <c r="DYO76" s="156"/>
      <c r="DYP76" s="156"/>
      <c r="DYQ76" s="156"/>
      <c r="DYR76" s="156"/>
      <c r="DYS76" s="156"/>
      <c r="DYT76" s="156"/>
      <c r="DYU76" s="156"/>
      <c r="DYV76" s="156"/>
      <c r="DYW76" s="156"/>
      <c r="DYX76" s="156"/>
      <c r="DYY76" s="156"/>
      <c r="DYZ76" s="156"/>
      <c r="DZA76" s="156"/>
      <c r="DZB76" s="156"/>
      <c r="DZC76" s="156"/>
      <c r="DZD76" s="156"/>
      <c r="DZE76" s="156"/>
      <c r="DZF76" s="156"/>
      <c r="DZG76" s="156"/>
      <c r="DZH76" s="156"/>
      <c r="DZI76" s="156"/>
      <c r="DZJ76" s="156"/>
      <c r="DZK76" s="156"/>
      <c r="DZL76" s="156"/>
      <c r="DZM76" s="156"/>
      <c r="DZN76" s="156"/>
      <c r="DZO76" s="156"/>
      <c r="DZP76" s="156"/>
      <c r="DZQ76" s="156"/>
      <c r="DZR76" s="156"/>
      <c r="DZS76" s="156"/>
      <c r="DZT76" s="156"/>
      <c r="DZU76" s="156"/>
      <c r="DZV76" s="156"/>
      <c r="DZW76" s="156"/>
      <c r="DZX76" s="156"/>
      <c r="DZY76" s="156"/>
      <c r="DZZ76" s="156"/>
      <c r="EAA76" s="156"/>
      <c r="EAB76" s="156"/>
      <c r="EAC76" s="156"/>
      <c r="EAD76" s="156"/>
      <c r="EAE76" s="156"/>
      <c r="EAF76" s="156"/>
      <c r="EAG76" s="156"/>
      <c r="EAH76" s="156"/>
      <c r="EAI76" s="156"/>
      <c r="EAJ76" s="156"/>
      <c r="EAK76" s="156"/>
      <c r="EAL76" s="156"/>
      <c r="EAM76" s="156"/>
      <c r="EAN76" s="156"/>
      <c r="EAO76" s="156"/>
      <c r="EAP76" s="156"/>
      <c r="EAQ76" s="156"/>
      <c r="EAR76" s="156"/>
      <c r="EAS76" s="156"/>
      <c r="EAT76" s="156"/>
      <c r="EAU76" s="156"/>
      <c r="EAV76" s="156"/>
      <c r="EAW76" s="156"/>
      <c r="EAX76" s="156"/>
      <c r="EAY76" s="156"/>
      <c r="EAZ76" s="156"/>
      <c r="EBA76" s="156"/>
      <c r="EBB76" s="156"/>
      <c r="EBC76" s="156"/>
      <c r="EBD76" s="156"/>
      <c r="EBE76" s="156"/>
      <c r="EBF76" s="156"/>
      <c r="EBG76" s="156"/>
      <c r="EBH76" s="156"/>
      <c r="EBI76" s="156"/>
      <c r="EBJ76" s="156"/>
      <c r="EBK76" s="156"/>
      <c r="EBL76" s="156"/>
      <c r="EBM76" s="156"/>
      <c r="EBN76" s="156"/>
      <c r="EBO76" s="156"/>
      <c r="EBP76" s="156"/>
      <c r="EBQ76" s="156"/>
      <c r="EBR76" s="156"/>
      <c r="EBS76" s="156"/>
      <c r="EBT76" s="156"/>
      <c r="EBU76" s="156"/>
      <c r="EBV76" s="156"/>
      <c r="EBW76" s="156"/>
      <c r="EBX76" s="156"/>
      <c r="EBY76" s="156"/>
      <c r="EBZ76" s="156"/>
      <c r="ECA76" s="156"/>
      <c r="ECB76" s="156"/>
      <c r="ECC76" s="156"/>
      <c r="ECD76" s="156"/>
      <c r="ECE76" s="156"/>
      <c r="ECF76" s="156"/>
      <c r="ECG76" s="156"/>
      <c r="ECH76" s="156"/>
      <c r="ECI76" s="156"/>
      <c r="ECJ76" s="156"/>
      <c r="ECK76" s="156"/>
      <c r="ECL76" s="156"/>
      <c r="ECM76" s="156"/>
      <c r="ECN76" s="156"/>
      <c r="ECO76" s="156"/>
      <c r="ECP76" s="156"/>
      <c r="ECQ76" s="156"/>
      <c r="ECR76" s="156"/>
      <c r="ECS76" s="156"/>
      <c r="ECT76" s="156"/>
      <c r="ECU76" s="156"/>
      <c r="ECV76" s="156"/>
      <c r="ECW76" s="156"/>
      <c r="ECX76" s="156"/>
      <c r="ECY76" s="156"/>
      <c r="ECZ76" s="156"/>
      <c r="EDA76" s="156"/>
      <c r="EDB76" s="156"/>
      <c r="EDC76" s="156"/>
      <c r="EDD76" s="156"/>
      <c r="EDE76" s="156"/>
      <c r="EDF76" s="156"/>
      <c r="EDG76" s="156"/>
      <c r="EDH76" s="156"/>
      <c r="EDI76" s="156"/>
      <c r="EDJ76" s="156"/>
      <c r="EDK76" s="156"/>
      <c r="EDL76" s="156"/>
      <c r="EDM76" s="156"/>
      <c r="EDN76" s="156"/>
      <c r="EDO76" s="156"/>
      <c r="EDP76" s="156"/>
      <c r="EDQ76" s="156"/>
      <c r="EDR76" s="156"/>
      <c r="EDS76" s="156"/>
      <c r="EDT76" s="156"/>
      <c r="EDU76" s="156"/>
      <c r="EDV76" s="156"/>
      <c r="EDW76" s="156"/>
      <c r="EDX76" s="156"/>
      <c r="EDY76" s="156"/>
      <c r="EDZ76" s="156"/>
      <c r="EEA76" s="156"/>
      <c r="EEB76" s="156"/>
      <c r="EEC76" s="156"/>
      <c r="EED76" s="156"/>
      <c r="EEE76" s="156"/>
      <c r="EEF76" s="156"/>
      <c r="EEG76" s="156"/>
      <c r="EEH76" s="156"/>
      <c r="EEI76" s="156"/>
      <c r="EEJ76" s="156"/>
      <c r="EEK76" s="156"/>
      <c r="EEL76" s="156"/>
      <c r="EEM76" s="156"/>
      <c r="EEN76" s="156"/>
      <c r="EEO76" s="156"/>
      <c r="EEP76" s="156"/>
      <c r="EEQ76" s="156"/>
      <c r="EER76" s="156"/>
      <c r="EES76" s="156"/>
      <c r="EET76" s="156"/>
      <c r="EEU76" s="156"/>
      <c r="EEV76" s="156"/>
      <c r="EEW76" s="156"/>
      <c r="EEX76" s="156"/>
      <c r="EEY76" s="156"/>
      <c r="EEZ76" s="156"/>
      <c r="EFA76" s="156"/>
      <c r="EFB76" s="156"/>
      <c r="EFC76" s="156"/>
      <c r="EFD76" s="156"/>
      <c r="EFE76" s="156"/>
      <c r="EFF76" s="156"/>
      <c r="EFG76" s="156"/>
      <c r="EFH76" s="156"/>
      <c r="EFI76" s="156"/>
      <c r="EFJ76" s="156"/>
      <c r="EFK76" s="156"/>
      <c r="EFL76" s="156"/>
      <c r="EFM76" s="156"/>
      <c r="EFN76" s="156"/>
      <c r="EFO76" s="156"/>
      <c r="EFP76" s="156"/>
      <c r="EFQ76" s="156"/>
      <c r="EFR76" s="156"/>
      <c r="EFS76" s="156"/>
      <c r="EFT76" s="156"/>
      <c r="EFU76" s="156"/>
      <c r="EFV76" s="156"/>
      <c r="EFW76" s="156"/>
      <c r="EFX76" s="156"/>
      <c r="EFY76" s="156"/>
      <c r="EFZ76" s="156"/>
      <c r="EGA76" s="156"/>
      <c r="EGB76" s="156"/>
      <c r="EGC76" s="156"/>
      <c r="EGD76" s="156"/>
      <c r="EGE76" s="156"/>
      <c r="EGF76" s="156"/>
      <c r="EGG76" s="156"/>
      <c r="EGH76" s="156"/>
      <c r="EGI76" s="156"/>
      <c r="EGJ76" s="156"/>
      <c r="EGK76" s="156"/>
      <c r="EGL76" s="156"/>
      <c r="EGM76" s="156"/>
      <c r="EGN76" s="156"/>
      <c r="EGO76" s="156"/>
      <c r="EGP76" s="156"/>
      <c r="EGQ76" s="156"/>
      <c r="EGR76" s="156"/>
      <c r="EGS76" s="156"/>
      <c r="EGT76" s="156"/>
      <c r="EGU76" s="156"/>
      <c r="EGV76" s="156"/>
      <c r="EGW76" s="156"/>
      <c r="EGX76" s="156"/>
      <c r="EGY76" s="156"/>
      <c r="EGZ76" s="156"/>
      <c r="EHA76" s="156"/>
      <c r="EHB76" s="156"/>
      <c r="EHC76" s="156"/>
      <c r="EHD76" s="156"/>
      <c r="EHE76" s="156"/>
      <c r="EHF76" s="156"/>
      <c r="EHG76" s="156"/>
      <c r="EHH76" s="156"/>
      <c r="EHI76" s="156"/>
      <c r="EHJ76" s="156"/>
      <c r="EHK76" s="156"/>
      <c r="EHL76" s="156"/>
      <c r="EHM76" s="156"/>
      <c r="EHN76" s="156"/>
      <c r="EHO76" s="156"/>
      <c r="EHP76" s="156"/>
      <c r="EHQ76" s="156"/>
      <c r="EHR76" s="156"/>
      <c r="EHS76" s="156"/>
      <c r="EHT76" s="156"/>
      <c r="EHU76" s="156"/>
      <c r="EHV76" s="156"/>
      <c r="EHW76" s="156"/>
      <c r="EHX76" s="156"/>
      <c r="EHY76" s="156"/>
      <c r="EHZ76" s="156"/>
      <c r="EIA76" s="156"/>
      <c r="EIB76" s="156"/>
      <c r="EIC76" s="156"/>
      <c r="EID76" s="156"/>
      <c r="EIE76" s="156"/>
      <c r="EIF76" s="156"/>
      <c r="EIG76" s="156"/>
      <c r="EIH76" s="156"/>
      <c r="EII76" s="156"/>
      <c r="EIJ76" s="156"/>
      <c r="EIK76" s="156"/>
      <c r="EIL76" s="156"/>
      <c r="EIM76" s="156"/>
      <c r="EIN76" s="156"/>
      <c r="EIO76" s="156"/>
      <c r="EIP76" s="156"/>
      <c r="EIQ76" s="156"/>
      <c r="EIR76" s="156"/>
      <c r="EIS76" s="156"/>
      <c r="EIT76" s="156"/>
      <c r="EIU76" s="156"/>
      <c r="EIV76" s="156"/>
      <c r="EIW76" s="156"/>
      <c r="EIX76" s="156"/>
      <c r="EIY76" s="156"/>
      <c r="EIZ76" s="156"/>
      <c r="EJA76" s="156"/>
      <c r="EJB76" s="156"/>
      <c r="EJC76" s="156"/>
      <c r="EJD76" s="156"/>
      <c r="EJE76" s="156"/>
      <c r="EJF76" s="156"/>
      <c r="EJG76" s="156"/>
      <c r="EJH76" s="156"/>
      <c r="EJI76" s="156"/>
      <c r="EJJ76" s="156"/>
      <c r="EJK76" s="156"/>
      <c r="EJL76" s="156"/>
      <c r="EJM76" s="156"/>
      <c r="EJN76" s="156"/>
      <c r="EJO76" s="156"/>
      <c r="EJP76" s="156"/>
      <c r="EJQ76" s="156"/>
      <c r="EJR76" s="156"/>
      <c r="EJS76" s="156"/>
      <c r="EJT76" s="156"/>
      <c r="EJU76" s="156"/>
      <c r="EJV76" s="156"/>
      <c r="EJW76" s="156"/>
      <c r="EJX76" s="156"/>
      <c r="EJY76" s="156"/>
      <c r="EJZ76" s="156"/>
      <c r="EKA76" s="156"/>
      <c r="EKB76" s="156"/>
      <c r="EKC76" s="156"/>
      <c r="EKD76" s="156"/>
      <c r="EKE76" s="156"/>
      <c r="EKF76" s="156"/>
      <c r="EKG76" s="156"/>
      <c r="EKH76" s="156"/>
      <c r="EKI76" s="156"/>
      <c r="EKJ76" s="156"/>
      <c r="EKK76" s="156"/>
      <c r="EKL76" s="156"/>
      <c r="EKM76" s="156"/>
      <c r="EKN76" s="156"/>
      <c r="EKO76" s="156"/>
      <c r="EKP76" s="156"/>
      <c r="EKQ76" s="156"/>
      <c r="EKR76" s="156"/>
      <c r="EKS76" s="156"/>
      <c r="EKT76" s="156"/>
      <c r="EKU76" s="156"/>
      <c r="EKV76" s="156"/>
      <c r="EKW76" s="156"/>
      <c r="EKX76" s="156"/>
      <c r="EKY76" s="156"/>
      <c r="EKZ76" s="156"/>
      <c r="ELA76" s="156"/>
      <c r="ELB76" s="156"/>
      <c r="ELC76" s="156"/>
      <c r="ELD76" s="156"/>
      <c r="ELE76" s="156"/>
      <c r="ELF76" s="156"/>
      <c r="ELG76" s="156"/>
      <c r="ELH76" s="156"/>
      <c r="ELI76" s="156"/>
      <c r="ELJ76" s="156"/>
      <c r="ELK76" s="156"/>
      <c r="ELL76" s="156"/>
      <c r="ELM76" s="156"/>
      <c r="ELN76" s="156"/>
      <c r="ELO76" s="156"/>
      <c r="ELP76" s="156"/>
      <c r="ELQ76" s="156"/>
      <c r="ELR76" s="156"/>
      <c r="ELS76" s="156"/>
      <c r="ELT76" s="156"/>
      <c r="ELU76" s="156"/>
      <c r="ELV76" s="156"/>
      <c r="ELW76" s="156"/>
      <c r="ELX76" s="156"/>
      <c r="ELY76" s="156"/>
      <c r="ELZ76" s="156"/>
      <c r="EMA76" s="156"/>
      <c r="EMB76" s="156"/>
      <c r="EMC76" s="156"/>
      <c r="EMD76" s="156"/>
      <c r="EME76" s="156"/>
      <c r="EMF76" s="156"/>
      <c r="EMG76" s="156"/>
      <c r="EMH76" s="156"/>
      <c r="EMI76" s="156"/>
      <c r="EMJ76" s="156"/>
      <c r="EMK76" s="156"/>
      <c r="EML76" s="156"/>
      <c r="EMM76" s="156"/>
      <c r="EMN76" s="156"/>
      <c r="EMO76" s="156"/>
      <c r="EMP76" s="156"/>
      <c r="EMQ76" s="156"/>
      <c r="EMR76" s="156"/>
      <c r="EMS76" s="156"/>
      <c r="EMT76" s="156"/>
      <c r="EMU76" s="156"/>
      <c r="EMV76" s="156"/>
      <c r="EMW76" s="156"/>
      <c r="EMX76" s="156"/>
      <c r="EMY76" s="156"/>
      <c r="EMZ76" s="156"/>
      <c r="ENA76" s="156"/>
      <c r="ENB76" s="156"/>
      <c r="ENC76" s="156"/>
      <c r="END76" s="156"/>
      <c r="ENE76" s="156"/>
      <c r="ENF76" s="156"/>
      <c r="ENG76" s="156"/>
      <c r="ENH76" s="156"/>
      <c r="ENI76" s="156"/>
      <c r="ENJ76" s="156"/>
      <c r="ENK76" s="156"/>
      <c r="ENL76" s="156"/>
      <c r="ENM76" s="156"/>
      <c r="ENN76" s="156"/>
      <c r="ENO76" s="156"/>
      <c r="ENP76" s="156"/>
      <c r="ENQ76" s="156"/>
      <c r="ENR76" s="156"/>
      <c r="ENS76" s="156"/>
      <c r="ENT76" s="156"/>
      <c r="ENU76" s="156"/>
      <c r="ENV76" s="156"/>
      <c r="ENW76" s="156"/>
      <c r="ENX76" s="156"/>
      <c r="ENY76" s="156"/>
      <c r="ENZ76" s="156"/>
      <c r="EOA76" s="156"/>
      <c r="EOB76" s="156"/>
      <c r="EOC76" s="156"/>
      <c r="EOD76" s="156"/>
      <c r="EOE76" s="156"/>
      <c r="EOF76" s="156"/>
      <c r="EOG76" s="156"/>
      <c r="EOH76" s="156"/>
      <c r="EOI76" s="156"/>
      <c r="EOJ76" s="156"/>
      <c r="EOK76" s="156"/>
      <c r="EOL76" s="156"/>
      <c r="EOM76" s="156"/>
      <c r="EON76" s="156"/>
      <c r="EOO76" s="156"/>
      <c r="EOP76" s="156"/>
      <c r="EOQ76" s="156"/>
      <c r="EOR76" s="156"/>
      <c r="EOS76" s="156"/>
      <c r="EOT76" s="156"/>
      <c r="EOU76" s="156"/>
      <c r="EOV76" s="156"/>
      <c r="EOW76" s="156"/>
      <c r="EOX76" s="156"/>
      <c r="EOY76" s="156"/>
      <c r="EOZ76" s="156"/>
      <c r="EPA76" s="156"/>
      <c r="EPB76" s="156"/>
      <c r="EPC76" s="156"/>
      <c r="EPD76" s="156"/>
      <c r="EPE76" s="156"/>
      <c r="EPF76" s="156"/>
      <c r="EPG76" s="156"/>
      <c r="EPH76" s="156"/>
      <c r="EPI76" s="156"/>
      <c r="EPJ76" s="156"/>
      <c r="EPK76" s="156"/>
      <c r="EPL76" s="156"/>
      <c r="EPM76" s="156"/>
      <c r="EPN76" s="156"/>
      <c r="EPO76" s="156"/>
      <c r="EPP76" s="156"/>
      <c r="EPQ76" s="156"/>
      <c r="EPR76" s="156"/>
      <c r="EPS76" s="156"/>
      <c r="EPT76" s="156"/>
      <c r="EPU76" s="156"/>
      <c r="EPV76" s="156"/>
      <c r="EPW76" s="156"/>
      <c r="EPX76" s="156"/>
      <c r="EPY76" s="156"/>
      <c r="EPZ76" s="156"/>
      <c r="EQA76" s="156"/>
      <c r="EQB76" s="156"/>
      <c r="EQC76" s="156"/>
      <c r="EQD76" s="156"/>
      <c r="EQE76" s="156"/>
      <c r="EQF76" s="156"/>
      <c r="EQG76" s="156"/>
      <c r="EQH76" s="156"/>
      <c r="EQI76" s="156"/>
      <c r="EQJ76" s="156"/>
      <c r="EQK76" s="156"/>
      <c r="EQL76" s="156"/>
      <c r="EQM76" s="156"/>
      <c r="EQN76" s="156"/>
      <c r="EQO76" s="156"/>
      <c r="EQP76" s="156"/>
      <c r="EQQ76" s="156"/>
      <c r="EQR76" s="156"/>
      <c r="EQS76" s="156"/>
      <c r="EQT76" s="156"/>
      <c r="EQU76" s="156"/>
      <c r="EQV76" s="156"/>
      <c r="EQW76" s="156"/>
      <c r="EQX76" s="156"/>
      <c r="EQY76" s="156"/>
      <c r="EQZ76" s="156"/>
      <c r="ERA76" s="156"/>
      <c r="ERB76" s="156"/>
      <c r="ERC76" s="156"/>
      <c r="ERD76" s="156"/>
      <c r="ERE76" s="156"/>
      <c r="ERF76" s="156"/>
      <c r="ERG76" s="156"/>
      <c r="ERH76" s="156"/>
      <c r="ERI76" s="156"/>
      <c r="ERJ76" s="156"/>
      <c r="ERK76" s="156"/>
      <c r="ERL76" s="156"/>
      <c r="ERM76" s="156"/>
      <c r="ERN76" s="156"/>
      <c r="ERO76" s="156"/>
      <c r="ERP76" s="156"/>
      <c r="ERQ76" s="156"/>
      <c r="ERR76" s="156"/>
      <c r="ERS76" s="156"/>
      <c r="ERT76" s="156"/>
      <c r="ERU76" s="156"/>
      <c r="ERV76" s="156"/>
      <c r="ERW76" s="156"/>
      <c r="ERX76" s="156"/>
      <c r="ERY76" s="156"/>
      <c r="ERZ76" s="156"/>
      <c r="ESA76" s="156"/>
      <c r="ESB76" s="156"/>
      <c r="ESC76" s="156"/>
      <c r="ESD76" s="156"/>
      <c r="ESE76" s="156"/>
      <c r="ESF76" s="156"/>
      <c r="ESG76" s="156"/>
      <c r="ESH76" s="156"/>
      <c r="ESI76" s="156"/>
      <c r="ESJ76" s="156"/>
      <c r="ESK76" s="156"/>
      <c r="ESL76" s="156"/>
      <c r="ESM76" s="156"/>
      <c r="ESN76" s="156"/>
      <c r="ESO76" s="156"/>
      <c r="ESP76" s="156"/>
      <c r="ESQ76" s="156"/>
      <c r="ESR76" s="156"/>
      <c r="ESS76" s="156"/>
      <c r="EST76" s="156"/>
      <c r="ESU76" s="156"/>
      <c r="ESV76" s="156"/>
      <c r="ESW76" s="156"/>
      <c r="ESX76" s="156"/>
      <c r="ESY76" s="156"/>
      <c r="ESZ76" s="156"/>
      <c r="ETA76" s="156"/>
      <c r="ETB76" s="156"/>
      <c r="ETC76" s="156"/>
      <c r="ETD76" s="156"/>
      <c r="ETE76" s="156"/>
      <c r="ETF76" s="156"/>
      <c r="ETG76" s="156"/>
      <c r="ETH76" s="156"/>
      <c r="ETI76" s="156"/>
      <c r="ETJ76" s="156"/>
      <c r="ETK76" s="156"/>
      <c r="ETL76" s="156"/>
      <c r="ETM76" s="156"/>
      <c r="ETN76" s="156"/>
      <c r="ETO76" s="156"/>
      <c r="ETP76" s="156"/>
      <c r="ETQ76" s="156"/>
      <c r="ETR76" s="156"/>
      <c r="ETS76" s="156"/>
      <c r="ETT76" s="156"/>
      <c r="ETU76" s="156"/>
      <c r="ETV76" s="156"/>
      <c r="ETW76" s="156"/>
      <c r="ETX76" s="156"/>
      <c r="ETY76" s="156"/>
      <c r="ETZ76" s="156"/>
      <c r="EUA76" s="156"/>
      <c r="EUB76" s="156"/>
      <c r="EUC76" s="156"/>
      <c r="EUD76" s="156"/>
      <c r="EUE76" s="156"/>
      <c r="EUF76" s="156"/>
      <c r="EUG76" s="156"/>
      <c r="EUH76" s="156"/>
      <c r="EUI76" s="156"/>
      <c r="EUJ76" s="156"/>
      <c r="EUK76" s="156"/>
      <c r="EUL76" s="156"/>
      <c r="EUM76" s="156"/>
      <c r="EUN76" s="156"/>
      <c r="EUO76" s="156"/>
      <c r="EUP76" s="156"/>
      <c r="EUQ76" s="156"/>
      <c r="EUR76" s="156"/>
      <c r="EUS76" s="156"/>
      <c r="EUT76" s="156"/>
      <c r="EUU76" s="156"/>
      <c r="EUV76" s="156"/>
      <c r="EUW76" s="156"/>
      <c r="EUX76" s="156"/>
      <c r="EUY76" s="156"/>
      <c r="EUZ76" s="156"/>
      <c r="EVA76" s="156"/>
      <c r="EVB76" s="156"/>
      <c r="EVC76" s="156"/>
      <c r="EVD76" s="156"/>
      <c r="EVE76" s="156"/>
      <c r="EVF76" s="156"/>
      <c r="EVG76" s="156"/>
      <c r="EVH76" s="156"/>
      <c r="EVI76" s="156"/>
      <c r="EVJ76" s="156"/>
      <c r="EVK76" s="156"/>
      <c r="EVL76" s="156"/>
      <c r="EVM76" s="156"/>
      <c r="EVN76" s="156"/>
      <c r="EVO76" s="156"/>
      <c r="EVP76" s="156"/>
      <c r="EVQ76" s="156"/>
      <c r="EVR76" s="156"/>
      <c r="EVS76" s="156"/>
      <c r="EVT76" s="156"/>
      <c r="EVU76" s="156"/>
      <c r="EVV76" s="156"/>
      <c r="EVW76" s="156"/>
      <c r="EVX76" s="156"/>
      <c r="EVY76" s="156"/>
      <c r="EVZ76" s="156"/>
      <c r="EWA76" s="156"/>
      <c r="EWB76" s="156"/>
      <c r="EWC76" s="156"/>
      <c r="EWD76" s="156"/>
      <c r="EWE76" s="156"/>
      <c r="EWF76" s="156"/>
      <c r="EWG76" s="156"/>
      <c r="EWH76" s="156"/>
      <c r="EWI76" s="156"/>
      <c r="EWJ76" s="156"/>
      <c r="EWK76" s="156"/>
      <c r="EWL76" s="156"/>
      <c r="EWM76" s="156"/>
      <c r="EWN76" s="156"/>
      <c r="EWO76" s="156"/>
      <c r="EWP76" s="156"/>
      <c r="EWQ76" s="156"/>
      <c r="EWR76" s="156"/>
      <c r="EWS76" s="156"/>
      <c r="EWT76" s="156"/>
      <c r="EWU76" s="156"/>
      <c r="EWV76" s="156"/>
      <c r="EWW76" s="156"/>
      <c r="EWX76" s="156"/>
      <c r="EWY76" s="156"/>
      <c r="EWZ76" s="156"/>
      <c r="EXA76" s="156"/>
      <c r="EXB76" s="156"/>
      <c r="EXC76" s="156"/>
      <c r="EXD76" s="156"/>
      <c r="EXE76" s="156"/>
      <c r="EXF76" s="156"/>
      <c r="EXG76" s="156"/>
      <c r="EXH76" s="156"/>
      <c r="EXI76" s="156"/>
      <c r="EXJ76" s="156"/>
      <c r="EXK76" s="156"/>
      <c r="EXL76" s="156"/>
      <c r="EXM76" s="156"/>
      <c r="EXN76" s="156"/>
      <c r="EXO76" s="156"/>
      <c r="EXP76" s="156"/>
      <c r="EXQ76" s="156"/>
      <c r="EXR76" s="156"/>
      <c r="EXS76" s="156"/>
      <c r="EXT76" s="156"/>
      <c r="EXU76" s="156"/>
      <c r="EXV76" s="156"/>
      <c r="EXW76" s="156"/>
      <c r="EXX76" s="156"/>
      <c r="EXY76" s="156"/>
      <c r="EXZ76" s="156"/>
      <c r="EYA76" s="156"/>
      <c r="EYB76" s="156"/>
      <c r="EYC76" s="156"/>
      <c r="EYD76" s="156"/>
      <c r="EYE76" s="156"/>
      <c r="EYF76" s="156"/>
      <c r="EYG76" s="156"/>
      <c r="EYH76" s="156"/>
      <c r="EYI76" s="156"/>
      <c r="EYJ76" s="156"/>
      <c r="EYK76" s="156"/>
      <c r="EYL76" s="156"/>
      <c r="EYM76" s="156"/>
      <c r="EYN76" s="156"/>
      <c r="EYO76" s="156"/>
      <c r="EYP76" s="156"/>
      <c r="EYQ76" s="156"/>
      <c r="EYR76" s="156"/>
      <c r="EYS76" s="156"/>
      <c r="EYT76" s="156"/>
      <c r="EYU76" s="156"/>
      <c r="EYV76" s="156"/>
      <c r="EYW76" s="156"/>
      <c r="EYX76" s="156"/>
      <c r="EYY76" s="156"/>
      <c r="EYZ76" s="156"/>
      <c r="EZA76" s="156"/>
      <c r="EZB76" s="156"/>
      <c r="EZC76" s="156"/>
      <c r="EZD76" s="156"/>
      <c r="EZE76" s="156"/>
      <c r="EZF76" s="156"/>
      <c r="EZG76" s="156"/>
      <c r="EZH76" s="156"/>
      <c r="EZI76" s="156"/>
      <c r="EZJ76" s="156"/>
      <c r="EZK76" s="156"/>
      <c r="EZL76" s="156"/>
      <c r="EZM76" s="156"/>
      <c r="EZN76" s="156"/>
      <c r="EZO76" s="156"/>
      <c r="EZP76" s="156"/>
      <c r="EZQ76" s="156"/>
      <c r="EZR76" s="156"/>
      <c r="EZS76" s="156"/>
      <c r="EZT76" s="156"/>
      <c r="EZU76" s="156"/>
      <c r="EZV76" s="156"/>
      <c r="EZW76" s="156"/>
      <c r="EZX76" s="156"/>
      <c r="EZY76" s="156"/>
      <c r="EZZ76" s="156"/>
      <c r="FAA76" s="156"/>
      <c r="FAB76" s="156"/>
      <c r="FAC76" s="156"/>
      <c r="FAD76" s="156"/>
      <c r="FAE76" s="156"/>
      <c r="FAF76" s="156"/>
      <c r="FAG76" s="156"/>
      <c r="FAH76" s="156"/>
      <c r="FAI76" s="156"/>
      <c r="FAJ76" s="156"/>
      <c r="FAK76" s="156"/>
      <c r="FAL76" s="156"/>
      <c r="FAM76" s="156"/>
      <c r="FAN76" s="156"/>
      <c r="FAO76" s="156"/>
      <c r="FAP76" s="156"/>
      <c r="FAQ76" s="156"/>
      <c r="FAR76" s="156"/>
      <c r="FAS76" s="156"/>
      <c r="FAT76" s="156"/>
      <c r="FAU76" s="156"/>
      <c r="FAV76" s="156"/>
      <c r="FAW76" s="156"/>
      <c r="FAX76" s="156"/>
      <c r="FAY76" s="156"/>
      <c r="FAZ76" s="156"/>
      <c r="FBA76" s="156"/>
      <c r="FBB76" s="156"/>
      <c r="FBC76" s="156"/>
      <c r="FBD76" s="156"/>
      <c r="FBE76" s="156"/>
      <c r="FBF76" s="156"/>
      <c r="FBG76" s="156"/>
      <c r="FBH76" s="156"/>
      <c r="FBI76" s="156"/>
      <c r="FBJ76" s="156"/>
      <c r="FBK76" s="156"/>
      <c r="FBL76" s="156"/>
      <c r="FBM76" s="156"/>
      <c r="FBN76" s="156"/>
      <c r="FBO76" s="156"/>
      <c r="FBP76" s="156"/>
      <c r="FBQ76" s="156"/>
      <c r="FBR76" s="156"/>
      <c r="FBS76" s="156"/>
      <c r="FBT76" s="156"/>
      <c r="FBU76" s="156"/>
      <c r="FBV76" s="156"/>
      <c r="FBW76" s="156"/>
      <c r="FBX76" s="156"/>
      <c r="FBY76" s="156"/>
      <c r="FBZ76" s="156"/>
      <c r="FCA76" s="156"/>
      <c r="FCB76" s="156"/>
      <c r="FCC76" s="156"/>
      <c r="FCD76" s="156"/>
      <c r="FCE76" s="156"/>
      <c r="FCF76" s="156"/>
      <c r="FCG76" s="156"/>
      <c r="FCH76" s="156"/>
      <c r="FCI76" s="156"/>
      <c r="FCJ76" s="156"/>
      <c r="FCK76" s="156"/>
      <c r="FCL76" s="156"/>
      <c r="FCM76" s="156"/>
      <c r="FCN76" s="156"/>
      <c r="FCO76" s="156"/>
      <c r="FCP76" s="156"/>
      <c r="FCQ76" s="156"/>
      <c r="FCR76" s="156"/>
      <c r="FCS76" s="156"/>
      <c r="FCT76" s="156"/>
      <c r="FCU76" s="156"/>
      <c r="FCV76" s="156"/>
      <c r="FCW76" s="156"/>
      <c r="FCX76" s="156"/>
      <c r="FCY76" s="156"/>
      <c r="FCZ76" s="156"/>
      <c r="FDA76" s="156"/>
      <c r="FDB76" s="156"/>
      <c r="FDC76" s="156"/>
      <c r="FDD76" s="156"/>
      <c r="FDE76" s="156"/>
      <c r="FDF76" s="156"/>
      <c r="FDG76" s="156"/>
      <c r="FDH76" s="156"/>
      <c r="FDI76" s="156"/>
      <c r="FDJ76" s="156"/>
      <c r="FDK76" s="156"/>
      <c r="FDL76" s="156"/>
      <c r="FDM76" s="156"/>
      <c r="FDN76" s="156"/>
      <c r="FDO76" s="156"/>
      <c r="FDP76" s="156"/>
      <c r="FDQ76" s="156"/>
      <c r="FDR76" s="156"/>
      <c r="FDS76" s="156"/>
      <c r="FDT76" s="156"/>
      <c r="FDU76" s="156"/>
      <c r="FDV76" s="156"/>
      <c r="FDW76" s="156"/>
      <c r="FDX76" s="156"/>
      <c r="FDY76" s="156"/>
      <c r="FDZ76" s="156"/>
      <c r="FEA76" s="156"/>
      <c r="FEB76" s="156"/>
      <c r="FEC76" s="156"/>
      <c r="FED76" s="156"/>
      <c r="FEE76" s="156"/>
      <c r="FEF76" s="156"/>
      <c r="FEG76" s="156"/>
      <c r="FEH76" s="156"/>
      <c r="FEI76" s="156"/>
      <c r="FEJ76" s="156"/>
      <c r="FEK76" s="156"/>
      <c r="FEL76" s="156"/>
      <c r="FEM76" s="156"/>
      <c r="FEN76" s="156"/>
      <c r="FEO76" s="156"/>
      <c r="FEP76" s="156"/>
      <c r="FEQ76" s="156"/>
      <c r="FER76" s="156"/>
      <c r="FES76" s="156"/>
      <c r="FET76" s="156"/>
      <c r="FEU76" s="156"/>
      <c r="FEV76" s="156"/>
      <c r="FEW76" s="156"/>
      <c r="FEX76" s="156"/>
      <c r="FEY76" s="156"/>
      <c r="FEZ76" s="156"/>
      <c r="FFA76" s="156"/>
      <c r="FFB76" s="156"/>
      <c r="FFC76" s="156"/>
      <c r="FFD76" s="156"/>
      <c r="FFE76" s="156"/>
      <c r="FFF76" s="156"/>
      <c r="FFG76" s="156"/>
      <c r="FFH76" s="156"/>
      <c r="FFI76" s="156"/>
      <c r="FFJ76" s="156"/>
      <c r="FFK76" s="156"/>
      <c r="FFL76" s="156"/>
      <c r="FFM76" s="156"/>
      <c r="FFN76" s="156"/>
      <c r="FFO76" s="156"/>
      <c r="FFP76" s="156"/>
      <c r="FFQ76" s="156"/>
      <c r="FFR76" s="156"/>
      <c r="FFS76" s="156"/>
      <c r="FFT76" s="156"/>
      <c r="FFU76" s="156"/>
      <c r="FFV76" s="156"/>
      <c r="FFW76" s="156"/>
      <c r="FFX76" s="156"/>
      <c r="FFY76" s="156"/>
      <c r="FFZ76" s="156"/>
      <c r="FGA76" s="156"/>
      <c r="FGB76" s="156"/>
      <c r="FGC76" s="156"/>
      <c r="FGD76" s="156"/>
      <c r="FGE76" s="156"/>
      <c r="FGF76" s="156"/>
      <c r="FGG76" s="156"/>
      <c r="FGH76" s="156"/>
      <c r="FGI76" s="156"/>
      <c r="FGJ76" s="156"/>
      <c r="FGK76" s="156"/>
      <c r="FGL76" s="156"/>
      <c r="FGM76" s="156"/>
      <c r="FGN76" s="156"/>
      <c r="FGO76" s="156"/>
      <c r="FGP76" s="156"/>
      <c r="FGQ76" s="156"/>
      <c r="FGR76" s="156"/>
      <c r="FGS76" s="156"/>
      <c r="FGT76" s="156"/>
      <c r="FGU76" s="156"/>
      <c r="FGV76" s="156"/>
      <c r="FGW76" s="156"/>
      <c r="FGX76" s="156"/>
      <c r="FGY76" s="156"/>
      <c r="FGZ76" s="156"/>
      <c r="FHA76" s="156"/>
      <c r="FHB76" s="156"/>
      <c r="FHC76" s="156"/>
      <c r="FHD76" s="156"/>
      <c r="FHE76" s="156"/>
      <c r="FHF76" s="156"/>
      <c r="FHG76" s="156"/>
      <c r="FHH76" s="156"/>
      <c r="FHI76" s="156"/>
      <c r="FHJ76" s="156"/>
      <c r="FHK76" s="156"/>
      <c r="FHL76" s="156"/>
      <c r="FHM76" s="156"/>
      <c r="FHN76" s="156"/>
      <c r="FHO76" s="156"/>
      <c r="FHP76" s="156"/>
      <c r="FHQ76" s="156"/>
      <c r="FHR76" s="156"/>
      <c r="FHS76" s="156"/>
      <c r="FHT76" s="156"/>
      <c r="FHU76" s="156"/>
      <c r="FHV76" s="156"/>
      <c r="FHW76" s="156"/>
      <c r="FHX76" s="156"/>
      <c r="FHY76" s="156"/>
      <c r="FHZ76" s="156"/>
      <c r="FIA76" s="156"/>
      <c r="FIB76" s="156"/>
      <c r="FIC76" s="156"/>
      <c r="FID76" s="156"/>
      <c r="FIE76" s="156"/>
      <c r="FIF76" s="156"/>
      <c r="FIG76" s="156"/>
      <c r="FIH76" s="156"/>
      <c r="FII76" s="156"/>
      <c r="FIJ76" s="156"/>
      <c r="FIK76" s="156"/>
      <c r="FIL76" s="156"/>
      <c r="FIM76" s="156"/>
      <c r="FIN76" s="156"/>
      <c r="FIO76" s="156"/>
      <c r="FIP76" s="156"/>
      <c r="FIQ76" s="156"/>
      <c r="FIR76" s="156"/>
      <c r="FIS76" s="156"/>
      <c r="FIT76" s="156"/>
      <c r="FIU76" s="156"/>
      <c r="FIV76" s="156"/>
      <c r="FIW76" s="156"/>
      <c r="FIX76" s="156"/>
      <c r="FIY76" s="156"/>
      <c r="FIZ76" s="156"/>
      <c r="FJA76" s="156"/>
      <c r="FJB76" s="156"/>
      <c r="FJC76" s="156"/>
      <c r="FJD76" s="156"/>
      <c r="FJE76" s="156"/>
      <c r="FJF76" s="156"/>
      <c r="FJG76" s="156"/>
      <c r="FJH76" s="156"/>
      <c r="FJI76" s="156"/>
      <c r="FJJ76" s="156"/>
      <c r="FJK76" s="156"/>
      <c r="FJL76" s="156"/>
      <c r="FJM76" s="156"/>
      <c r="FJN76" s="156"/>
      <c r="FJO76" s="156"/>
      <c r="FJP76" s="156"/>
      <c r="FJQ76" s="156"/>
      <c r="FJR76" s="156"/>
      <c r="FJS76" s="156"/>
      <c r="FJT76" s="156"/>
      <c r="FJU76" s="156"/>
      <c r="FJV76" s="156"/>
      <c r="FJW76" s="156"/>
      <c r="FJX76" s="156"/>
      <c r="FJY76" s="156"/>
      <c r="FJZ76" s="156"/>
      <c r="FKA76" s="156"/>
      <c r="FKB76" s="156"/>
      <c r="FKC76" s="156"/>
      <c r="FKD76" s="156"/>
      <c r="FKE76" s="156"/>
      <c r="FKF76" s="156"/>
      <c r="FKG76" s="156"/>
      <c r="FKH76" s="156"/>
      <c r="FKI76" s="156"/>
      <c r="FKJ76" s="156"/>
      <c r="FKK76" s="156"/>
      <c r="FKL76" s="156"/>
      <c r="FKM76" s="156"/>
      <c r="FKN76" s="156"/>
      <c r="FKO76" s="156"/>
      <c r="FKP76" s="156"/>
      <c r="FKQ76" s="156"/>
      <c r="FKR76" s="156"/>
      <c r="FKS76" s="156"/>
      <c r="FKT76" s="156"/>
      <c r="FKU76" s="156"/>
      <c r="FKV76" s="156"/>
      <c r="FKW76" s="156"/>
      <c r="FKX76" s="156"/>
      <c r="FKY76" s="156"/>
      <c r="FKZ76" s="156"/>
      <c r="FLA76" s="156"/>
      <c r="FLB76" s="156"/>
      <c r="FLC76" s="156"/>
      <c r="FLD76" s="156"/>
      <c r="FLE76" s="156"/>
      <c r="FLF76" s="156"/>
      <c r="FLG76" s="156"/>
      <c r="FLH76" s="156"/>
      <c r="FLI76" s="156"/>
      <c r="FLJ76" s="156"/>
      <c r="FLK76" s="156"/>
      <c r="FLL76" s="156"/>
      <c r="FLM76" s="156"/>
      <c r="FLN76" s="156"/>
      <c r="FLO76" s="156"/>
      <c r="FLP76" s="156"/>
      <c r="FLQ76" s="156"/>
      <c r="FLR76" s="156"/>
      <c r="FLS76" s="156"/>
      <c r="FLT76" s="156"/>
      <c r="FLU76" s="156"/>
      <c r="FLV76" s="156"/>
      <c r="FLW76" s="156"/>
      <c r="FLX76" s="156"/>
      <c r="FLY76" s="156"/>
      <c r="FLZ76" s="156"/>
      <c r="FMA76" s="156"/>
      <c r="FMB76" s="156"/>
      <c r="FMC76" s="156"/>
      <c r="FMD76" s="156"/>
      <c r="FME76" s="156"/>
      <c r="FMF76" s="156"/>
      <c r="FMG76" s="156"/>
      <c r="FMH76" s="156"/>
      <c r="FMI76" s="156"/>
      <c r="FMJ76" s="156"/>
      <c r="FMK76" s="156"/>
      <c r="FML76" s="156"/>
      <c r="FMM76" s="156"/>
      <c r="FMN76" s="156"/>
      <c r="FMO76" s="156"/>
      <c r="FMP76" s="156"/>
      <c r="FMQ76" s="156"/>
      <c r="FMR76" s="156"/>
      <c r="FMS76" s="156"/>
      <c r="FMT76" s="156"/>
      <c r="FMU76" s="156"/>
      <c r="FMV76" s="156"/>
      <c r="FMW76" s="156"/>
      <c r="FMX76" s="156"/>
      <c r="FMY76" s="156"/>
      <c r="FMZ76" s="156"/>
      <c r="FNA76" s="156"/>
      <c r="FNB76" s="156"/>
      <c r="FNC76" s="156"/>
      <c r="FND76" s="156"/>
      <c r="FNE76" s="156"/>
      <c r="FNF76" s="156"/>
      <c r="FNG76" s="156"/>
      <c r="FNH76" s="156"/>
      <c r="FNI76" s="156"/>
      <c r="FNJ76" s="156"/>
      <c r="FNK76" s="156"/>
      <c r="FNL76" s="156"/>
      <c r="FNM76" s="156"/>
      <c r="FNN76" s="156"/>
      <c r="FNO76" s="156"/>
      <c r="FNP76" s="156"/>
      <c r="FNQ76" s="156"/>
      <c r="FNR76" s="156"/>
      <c r="FNS76" s="156"/>
      <c r="FNT76" s="156"/>
      <c r="FNU76" s="156"/>
      <c r="FNV76" s="156"/>
      <c r="FNW76" s="156"/>
      <c r="FNX76" s="156"/>
      <c r="FNY76" s="156"/>
      <c r="FNZ76" s="156"/>
      <c r="FOA76" s="156"/>
      <c r="FOB76" s="156"/>
      <c r="FOC76" s="156"/>
      <c r="FOD76" s="156"/>
      <c r="FOE76" s="156"/>
      <c r="FOF76" s="156"/>
      <c r="FOG76" s="156"/>
      <c r="FOH76" s="156"/>
      <c r="FOI76" s="156"/>
      <c r="FOJ76" s="156"/>
      <c r="FOK76" s="156"/>
      <c r="FOL76" s="156"/>
      <c r="FOM76" s="156"/>
      <c r="FON76" s="156"/>
      <c r="FOO76" s="156"/>
      <c r="FOP76" s="156"/>
      <c r="FOQ76" s="156"/>
      <c r="FOR76" s="156"/>
      <c r="FOS76" s="156"/>
      <c r="FOT76" s="156"/>
      <c r="FOU76" s="156"/>
      <c r="FOV76" s="156"/>
      <c r="FOW76" s="156"/>
      <c r="FOX76" s="156"/>
      <c r="FOY76" s="156"/>
      <c r="FOZ76" s="156"/>
      <c r="FPA76" s="156"/>
      <c r="FPB76" s="156"/>
      <c r="FPC76" s="156"/>
      <c r="FPD76" s="156"/>
      <c r="FPE76" s="156"/>
      <c r="FPF76" s="156"/>
      <c r="FPG76" s="156"/>
      <c r="FPH76" s="156"/>
      <c r="FPI76" s="156"/>
      <c r="FPJ76" s="156"/>
      <c r="FPK76" s="156"/>
      <c r="FPL76" s="156"/>
      <c r="FPM76" s="156"/>
      <c r="FPN76" s="156"/>
      <c r="FPO76" s="156"/>
      <c r="FPP76" s="156"/>
      <c r="FPQ76" s="156"/>
      <c r="FPR76" s="156"/>
      <c r="FPS76" s="156"/>
      <c r="FPT76" s="156"/>
      <c r="FPU76" s="156"/>
      <c r="FPV76" s="156"/>
      <c r="FPW76" s="156"/>
      <c r="FPX76" s="156"/>
      <c r="FPY76" s="156"/>
      <c r="FPZ76" s="156"/>
      <c r="FQA76" s="156"/>
      <c r="FQB76" s="156"/>
      <c r="FQC76" s="156"/>
      <c r="FQD76" s="156"/>
      <c r="FQE76" s="156"/>
      <c r="FQF76" s="156"/>
      <c r="FQG76" s="156"/>
      <c r="FQH76" s="156"/>
      <c r="FQI76" s="156"/>
      <c r="FQJ76" s="156"/>
      <c r="FQK76" s="156"/>
      <c r="FQL76" s="156"/>
      <c r="FQM76" s="156"/>
      <c r="FQN76" s="156"/>
      <c r="FQO76" s="156"/>
      <c r="FQP76" s="156"/>
      <c r="FQQ76" s="156"/>
      <c r="FQR76" s="156"/>
      <c r="FQS76" s="156"/>
      <c r="FQT76" s="156"/>
      <c r="FQU76" s="156"/>
      <c r="FQV76" s="156"/>
      <c r="FQW76" s="156"/>
      <c r="FQX76" s="156"/>
      <c r="FQY76" s="156"/>
      <c r="FQZ76" s="156"/>
      <c r="FRA76" s="156"/>
      <c r="FRB76" s="156"/>
      <c r="FRC76" s="156"/>
      <c r="FRD76" s="156"/>
      <c r="FRE76" s="156"/>
      <c r="FRF76" s="156"/>
      <c r="FRG76" s="156"/>
      <c r="FRH76" s="156"/>
      <c r="FRI76" s="156"/>
      <c r="FRJ76" s="156"/>
      <c r="FRK76" s="156"/>
      <c r="FRL76" s="156"/>
      <c r="FRM76" s="156"/>
      <c r="FRN76" s="156"/>
      <c r="FRO76" s="156"/>
      <c r="FRP76" s="156"/>
      <c r="FRQ76" s="156"/>
      <c r="FRR76" s="156"/>
      <c r="FRS76" s="156"/>
      <c r="FRT76" s="156"/>
      <c r="FRU76" s="156"/>
      <c r="FRV76" s="156"/>
      <c r="FRW76" s="156"/>
      <c r="FRX76" s="156"/>
      <c r="FRY76" s="156"/>
      <c r="FRZ76" s="156"/>
      <c r="FSA76" s="156"/>
      <c r="FSB76" s="156"/>
      <c r="FSC76" s="156"/>
      <c r="FSD76" s="156"/>
      <c r="FSE76" s="156"/>
      <c r="FSF76" s="156"/>
      <c r="FSG76" s="156"/>
      <c r="FSH76" s="156"/>
      <c r="FSI76" s="156"/>
      <c r="FSJ76" s="156"/>
      <c r="FSK76" s="156"/>
      <c r="FSL76" s="156"/>
      <c r="FSM76" s="156"/>
      <c r="FSN76" s="156"/>
      <c r="FSO76" s="156"/>
      <c r="FSP76" s="156"/>
      <c r="FSQ76" s="156"/>
      <c r="FSR76" s="156"/>
      <c r="FSS76" s="156"/>
      <c r="FST76" s="156"/>
      <c r="FSU76" s="156"/>
      <c r="FSV76" s="156"/>
      <c r="FSW76" s="156"/>
      <c r="FSX76" s="156"/>
      <c r="FSY76" s="156"/>
      <c r="FSZ76" s="156"/>
      <c r="FTA76" s="156"/>
      <c r="FTB76" s="156"/>
      <c r="FTC76" s="156"/>
      <c r="FTD76" s="156"/>
      <c r="FTE76" s="156"/>
      <c r="FTF76" s="156"/>
      <c r="FTG76" s="156"/>
      <c r="FTH76" s="156"/>
      <c r="FTI76" s="156"/>
      <c r="FTJ76" s="156"/>
      <c r="FTK76" s="156"/>
      <c r="FTL76" s="156"/>
      <c r="FTM76" s="156"/>
      <c r="FTN76" s="156"/>
      <c r="FTO76" s="156"/>
      <c r="FTP76" s="156"/>
      <c r="FTQ76" s="156"/>
      <c r="FTR76" s="156"/>
      <c r="FTS76" s="156"/>
      <c r="FTT76" s="156"/>
      <c r="FTU76" s="156"/>
      <c r="FTV76" s="156"/>
      <c r="FTW76" s="156"/>
      <c r="FTX76" s="156"/>
      <c r="FTY76" s="156"/>
      <c r="FTZ76" s="156"/>
      <c r="FUA76" s="156"/>
      <c r="FUB76" s="156"/>
      <c r="FUC76" s="156"/>
      <c r="FUD76" s="156"/>
      <c r="FUE76" s="156"/>
      <c r="FUF76" s="156"/>
      <c r="FUG76" s="156"/>
      <c r="FUH76" s="156"/>
      <c r="FUI76" s="156"/>
      <c r="FUJ76" s="156"/>
      <c r="FUK76" s="156"/>
      <c r="FUL76" s="156"/>
      <c r="FUM76" s="156"/>
      <c r="FUN76" s="156"/>
      <c r="FUO76" s="156"/>
      <c r="FUP76" s="156"/>
      <c r="FUQ76" s="156"/>
      <c r="FUR76" s="156"/>
      <c r="FUS76" s="156"/>
      <c r="FUT76" s="156"/>
      <c r="FUU76" s="156"/>
      <c r="FUV76" s="156"/>
      <c r="FUW76" s="156"/>
      <c r="FUX76" s="156"/>
      <c r="FUY76" s="156"/>
      <c r="FUZ76" s="156"/>
      <c r="FVA76" s="156"/>
      <c r="FVB76" s="156"/>
      <c r="FVC76" s="156"/>
      <c r="FVD76" s="156"/>
      <c r="FVE76" s="156"/>
      <c r="FVF76" s="156"/>
      <c r="FVG76" s="156"/>
      <c r="FVH76" s="156"/>
      <c r="FVI76" s="156"/>
      <c r="FVJ76" s="156"/>
      <c r="FVK76" s="156"/>
      <c r="FVL76" s="156"/>
      <c r="FVM76" s="156"/>
      <c r="FVN76" s="156"/>
      <c r="FVO76" s="156"/>
      <c r="FVP76" s="156"/>
      <c r="FVQ76" s="156"/>
      <c r="FVR76" s="156"/>
      <c r="FVS76" s="156"/>
      <c r="FVT76" s="156"/>
      <c r="FVU76" s="156"/>
      <c r="FVV76" s="156"/>
      <c r="FVW76" s="156"/>
      <c r="FVX76" s="156"/>
      <c r="FVY76" s="156"/>
      <c r="FVZ76" s="156"/>
      <c r="FWA76" s="156"/>
      <c r="FWB76" s="156"/>
      <c r="FWC76" s="156"/>
      <c r="FWD76" s="156"/>
      <c r="FWE76" s="156"/>
      <c r="FWF76" s="156"/>
      <c r="FWG76" s="156"/>
      <c r="FWH76" s="156"/>
      <c r="FWI76" s="156"/>
      <c r="FWJ76" s="156"/>
      <c r="FWK76" s="156"/>
      <c r="FWL76" s="156"/>
      <c r="FWM76" s="156"/>
      <c r="FWN76" s="156"/>
      <c r="FWO76" s="156"/>
      <c r="FWP76" s="156"/>
      <c r="FWQ76" s="156"/>
      <c r="FWR76" s="156"/>
      <c r="FWS76" s="156"/>
      <c r="FWT76" s="156"/>
      <c r="FWU76" s="156"/>
      <c r="FWV76" s="156"/>
      <c r="FWW76" s="156"/>
      <c r="FWX76" s="156"/>
      <c r="FWY76" s="156"/>
      <c r="FWZ76" s="156"/>
      <c r="FXA76" s="156"/>
      <c r="FXB76" s="156"/>
      <c r="FXC76" s="156"/>
      <c r="FXD76" s="156"/>
      <c r="FXE76" s="156"/>
      <c r="FXF76" s="156"/>
      <c r="FXG76" s="156"/>
      <c r="FXH76" s="156"/>
      <c r="FXI76" s="156"/>
      <c r="FXJ76" s="156"/>
      <c r="FXK76" s="156"/>
      <c r="FXL76" s="156"/>
      <c r="FXM76" s="156"/>
      <c r="FXN76" s="156"/>
      <c r="FXO76" s="156"/>
      <c r="FXP76" s="156"/>
      <c r="FXQ76" s="156"/>
      <c r="FXR76" s="156"/>
      <c r="FXS76" s="156"/>
      <c r="FXT76" s="156"/>
      <c r="FXU76" s="156"/>
      <c r="FXV76" s="156"/>
      <c r="FXW76" s="156"/>
      <c r="FXX76" s="156"/>
      <c r="FXY76" s="156"/>
      <c r="FXZ76" s="156"/>
      <c r="FYA76" s="156"/>
      <c r="FYB76" s="156"/>
      <c r="FYC76" s="156"/>
      <c r="FYD76" s="156"/>
      <c r="FYE76" s="156"/>
      <c r="FYF76" s="156"/>
      <c r="FYG76" s="156"/>
      <c r="FYH76" s="156"/>
      <c r="FYI76" s="156"/>
      <c r="FYJ76" s="156"/>
      <c r="FYK76" s="156"/>
      <c r="FYL76" s="156"/>
      <c r="FYM76" s="156"/>
      <c r="FYN76" s="156"/>
      <c r="FYO76" s="156"/>
      <c r="FYP76" s="156"/>
      <c r="FYQ76" s="156"/>
      <c r="FYR76" s="156"/>
      <c r="FYS76" s="156"/>
      <c r="FYT76" s="156"/>
      <c r="FYU76" s="156"/>
      <c r="FYV76" s="156"/>
      <c r="FYW76" s="156"/>
      <c r="FYX76" s="156"/>
      <c r="FYY76" s="156"/>
      <c r="FYZ76" s="156"/>
      <c r="FZA76" s="156"/>
      <c r="FZB76" s="156"/>
      <c r="FZC76" s="156"/>
      <c r="FZD76" s="156"/>
      <c r="FZE76" s="156"/>
      <c r="FZF76" s="156"/>
      <c r="FZG76" s="156"/>
      <c r="FZH76" s="156"/>
      <c r="FZI76" s="156"/>
      <c r="FZJ76" s="156"/>
      <c r="FZK76" s="156"/>
      <c r="FZL76" s="156"/>
      <c r="FZM76" s="156"/>
      <c r="FZN76" s="156"/>
      <c r="FZO76" s="156"/>
      <c r="FZP76" s="156"/>
      <c r="FZQ76" s="156"/>
      <c r="FZR76" s="156"/>
      <c r="FZS76" s="156"/>
      <c r="FZT76" s="156"/>
      <c r="FZU76" s="156"/>
      <c r="FZV76" s="156"/>
      <c r="FZW76" s="156"/>
      <c r="FZX76" s="156"/>
      <c r="FZY76" s="156"/>
      <c r="FZZ76" s="156"/>
      <c r="GAA76" s="156"/>
      <c r="GAB76" s="156"/>
      <c r="GAC76" s="156"/>
      <c r="GAD76" s="156"/>
      <c r="GAE76" s="156"/>
      <c r="GAF76" s="156"/>
      <c r="GAG76" s="156"/>
      <c r="GAH76" s="156"/>
      <c r="GAI76" s="156"/>
      <c r="GAJ76" s="156"/>
      <c r="GAK76" s="156"/>
      <c r="GAL76" s="156"/>
      <c r="GAM76" s="156"/>
      <c r="GAN76" s="156"/>
      <c r="GAO76" s="156"/>
      <c r="GAP76" s="156"/>
      <c r="GAQ76" s="156"/>
      <c r="GAR76" s="156"/>
      <c r="GAS76" s="156"/>
      <c r="GAT76" s="156"/>
      <c r="GAU76" s="156"/>
      <c r="GAV76" s="156"/>
      <c r="GAW76" s="156"/>
      <c r="GAX76" s="156"/>
      <c r="GAY76" s="156"/>
      <c r="GAZ76" s="156"/>
      <c r="GBA76" s="156"/>
      <c r="GBB76" s="156"/>
      <c r="GBC76" s="156"/>
      <c r="GBD76" s="156"/>
      <c r="GBE76" s="156"/>
      <c r="GBF76" s="156"/>
      <c r="GBG76" s="156"/>
      <c r="GBH76" s="156"/>
      <c r="GBI76" s="156"/>
      <c r="GBJ76" s="156"/>
      <c r="GBK76" s="156"/>
      <c r="GBL76" s="156"/>
      <c r="GBM76" s="156"/>
      <c r="GBN76" s="156"/>
      <c r="GBO76" s="156"/>
      <c r="GBP76" s="156"/>
      <c r="GBQ76" s="156"/>
      <c r="GBR76" s="156"/>
      <c r="GBS76" s="156"/>
      <c r="GBT76" s="156"/>
      <c r="GBU76" s="156"/>
      <c r="GBV76" s="156"/>
      <c r="GBW76" s="156"/>
      <c r="GBX76" s="156"/>
      <c r="GBY76" s="156"/>
      <c r="GBZ76" s="156"/>
      <c r="GCA76" s="156"/>
      <c r="GCB76" s="156"/>
      <c r="GCC76" s="156"/>
      <c r="GCD76" s="156"/>
      <c r="GCE76" s="156"/>
      <c r="GCF76" s="156"/>
      <c r="GCG76" s="156"/>
      <c r="GCH76" s="156"/>
      <c r="GCI76" s="156"/>
      <c r="GCJ76" s="156"/>
      <c r="GCK76" s="156"/>
      <c r="GCL76" s="156"/>
      <c r="GCM76" s="156"/>
      <c r="GCN76" s="156"/>
      <c r="GCO76" s="156"/>
      <c r="GCP76" s="156"/>
      <c r="GCQ76" s="156"/>
      <c r="GCR76" s="156"/>
      <c r="GCS76" s="156"/>
      <c r="GCT76" s="156"/>
      <c r="GCU76" s="156"/>
      <c r="GCV76" s="156"/>
      <c r="GCW76" s="156"/>
      <c r="GCX76" s="156"/>
      <c r="GCY76" s="156"/>
      <c r="GCZ76" s="156"/>
      <c r="GDA76" s="156"/>
      <c r="GDB76" s="156"/>
      <c r="GDC76" s="156"/>
      <c r="GDD76" s="156"/>
      <c r="GDE76" s="156"/>
      <c r="GDF76" s="156"/>
      <c r="GDG76" s="156"/>
      <c r="GDH76" s="156"/>
      <c r="GDI76" s="156"/>
      <c r="GDJ76" s="156"/>
      <c r="GDK76" s="156"/>
      <c r="GDL76" s="156"/>
      <c r="GDM76" s="156"/>
      <c r="GDN76" s="156"/>
      <c r="GDO76" s="156"/>
      <c r="GDP76" s="156"/>
      <c r="GDQ76" s="156"/>
      <c r="GDR76" s="156"/>
      <c r="GDS76" s="156"/>
      <c r="GDT76" s="156"/>
      <c r="GDU76" s="156"/>
      <c r="GDV76" s="156"/>
      <c r="GDW76" s="156"/>
      <c r="GDX76" s="156"/>
      <c r="GDY76" s="156"/>
      <c r="GDZ76" s="156"/>
      <c r="GEA76" s="156"/>
      <c r="GEB76" s="156"/>
      <c r="GEC76" s="156"/>
      <c r="GED76" s="156"/>
      <c r="GEE76" s="156"/>
      <c r="GEF76" s="156"/>
      <c r="GEG76" s="156"/>
      <c r="GEH76" s="156"/>
      <c r="GEI76" s="156"/>
      <c r="GEJ76" s="156"/>
      <c r="GEK76" s="156"/>
      <c r="GEL76" s="156"/>
      <c r="GEM76" s="156"/>
      <c r="GEN76" s="156"/>
      <c r="GEO76" s="156"/>
      <c r="GEP76" s="156"/>
      <c r="GEQ76" s="156"/>
      <c r="GER76" s="156"/>
      <c r="GES76" s="156"/>
      <c r="GET76" s="156"/>
      <c r="GEU76" s="156"/>
      <c r="GEV76" s="156"/>
      <c r="GEW76" s="156"/>
      <c r="GEX76" s="156"/>
      <c r="GEY76" s="156"/>
      <c r="GEZ76" s="156"/>
      <c r="GFA76" s="156"/>
      <c r="GFB76" s="156"/>
      <c r="GFC76" s="156"/>
      <c r="GFD76" s="156"/>
      <c r="GFE76" s="156"/>
      <c r="GFF76" s="156"/>
      <c r="GFG76" s="156"/>
      <c r="GFH76" s="156"/>
      <c r="GFI76" s="156"/>
      <c r="GFJ76" s="156"/>
      <c r="GFK76" s="156"/>
      <c r="GFL76" s="156"/>
      <c r="GFM76" s="156"/>
      <c r="GFN76" s="156"/>
      <c r="GFO76" s="156"/>
      <c r="GFP76" s="156"/>
      <c r="GFQ76" s="156"/>
      <c r="GFR76" s="156"/>
      <c r="GFS76" s="156"/>
      <c r="GFT76" s="156"/>
      <c r="GFU76" s="156"/>
      <c r="GFV76" s="156"/>
      <c r="GFW76" s="156"/>
      <c r="GFX76" s="156"/>
      <c r="GFY76" s="156"/>
      <c r="GFZ76" s="156"/>
      <c r="GGA76" s="156"/>
      <c r="GGB76" s="156"/>
      <c r="GGC76" s="156"/>
      <c r="GGD76" s="156"/>
      <c r="GGE76" s="156"/>
      <c r="GGF76" s="156"/>
      <c r="GGG76" s="156"/>
      <c r="GGH76" s="156"/>
      <c r="GGI76" s="156"/>
      <c r="GGJ76" s="156"/>
      <c r="GGK76" s="156"/>
      <c r="GGL76" s="156"/>
      <c r="GGM76" s="156"/>
      <c r="GGN76" s="156"/>
      <c r="GGO76" s="156"/>
      <c r="GGP76" s="156"/>
      <c r="GGQ76" s="156"/>
      <c r="GGR76" s="156"/>
      <c r="GGS76" s="156"/>
      <c r="GGT76" s="156"/>
      <c r="GGU76" s="156"/>
      <c r="GGV76" s="156"/>
      <c r="GGW76" s="156"/>
      <c r="GGX76" s="156"/>
      <c r="GGY76" s="156"/>
      <c r="GGZ76" s="156"/>
      <c r="GHA76" s="156"/>
      <c r="GHB76" s="156"/>
      <c r="GHC76" s="156"/>
      <c r="GHD76" s="156"/>
      <c r="GHE76" s="156"/>
      <c r="GHF76" s="156"/>
      <c r="GHG76" s="156"/>
      <c r="GHH76" s="156"/>
      <c r="GHI76" s="156"/>
      <c r="GHJ76" s="156"/>
      <c r="GHK76" s="156"/>
      <c r="GHL76" s="156"/>
      <c r="GHM76" s="156"/>
      <c r="GHN76" s="156"/>
      <c r="GHO76" s="156"/>
      <c r="GHP76" s="156"/>
      <c r="GHQ76" s="156"/>
      <c r="GHR76" s="156"/>
      <c r="GHS76" s="156"/>
      <c r="GHT76" s="156"/>
      <c r="GHU76" s="156"/>
      <c r="GHV76" s="156"/>
      <c r="GHW76" s="156"/>
      <c r="GHX76" s="156"/>
      <c r="GHY76" s="156"/>
      <c r="GHZ76" s="156"/>
      <c r="GIA76" s="156"/>
      <c r="GIB76" s="156"/>
      <c r="GIC76" s="156"/>
      <c r="GID76" s="156"/>
      <c r="GIE76" s="156"/>
      <c r="GIF76" s="156"/>
      <c r="GIG76" s="156"/>
      <c r="GIH76" s="156"/>
      <c r="GII76" s="156"/>
      <c r="GIJ76" s="156"/>
      <c r="GIK76" s="156"/>
      <c r="GIL76" s="156"/>
      <c r="GIM76" s="156"/>
      <c r="GIN76" s="156"/>
      <c r="GIO76" s="156"/>
      <c r="GIP76" s="156"/>
      <c r="GIQ76" s="156"/>
      <c r="GIR76" s="156"/>
      <c r="GIS76" s="156"/>
      <c r="GIT76" s="156"/>
      <c r="GIU76" s="156"/>
      <c r="GIV76" s="156"/>
      <c r="GIW76" s="156"/>
      <c r="GIX76" s="156"/>
      <c r="GIY76" s="156"/>
      <c r="GIZ76" s="156"/>
      <c r="GJA76" s="156"/>
      <c r="GJB76" s="156"/>
      <c r="GJC76" s="156"/>
      <c r="GJD76" s="156"/>
      <c r="GJE76" s="156"/>
      <c r="GJF76" s="156"/>
      <c r="GJG76" s="156"/>
      <c r="GJH76" s="156"/>
      <c r="GJI76" s="156"/>
      <c r="GJJ76" s="156"/>
      <c r="GJK76" s="156"/>
      <c r="GJL76" s="156"/>
      <c r="GJM76" s="156"/>
      <c r="GJN76" s="156"/>
      <c r="GJO76" s="156"/>
      <c r="GJP76" s="156"/>
      <c r="GJQ76" s="156"/>
      <c r="GJR76" s="156"/>
      <c r="GJS76" s="156"/>
      <c r="GJT76" s="156"/>
      <c r="GJU76" s="156"/>
      <c r="GJV76" s="156"/>
      <c r="GJW76" s="156"/>
      <c r="GJX76" s="156"/>
      <c r="GJY76" s="156"/>
      <c r="GJZ76" s="156"/>
      <c r="GKA76" s="156"/>
      <c r="GKB76" s="156"/>
      <c r="GKC76" s="156"/>
      <c r="GKD76" s="156"/>
      <c r="GKE76" s="156"/>
      <c r="GKF76" s="156"/>
      <c r="GKG76" s="156"/>
      <c r="GKH76" s="156"/>
      <c r="GKI76" s="156"/>
      <c r="GKJ76" s="156"/>
      <c r="GKK76" s="156"/>
      <c r="GKL76" s="156"/>
      <c r="GKM76" s="156"/>
      <c r="GKN76" s="156"/>
      <c r="GKO76" s="156"/>
      <c r="GKP76" s="156"/>
      <c r="GKQ76" s="156"/>
      <c r="GKR76" s="156"/>
      <c r="GKS76" s="156"/>
      <c r="GKT76" s="156"/>
      <c r="GKU76" s="156"/>
      <c r="GKV76" s="156"/>
      <c r="GKW76" s="156"/>
      <c r="GKX76" s="156"/>
      <c r="GKY76" s="156"/>
      <c r="GKZ76" s="156"/>
      <c r="GLA76" s="156"/>
      <c r="GLB76" s="156"/>
      <c r="GLC76" s="156"/>
      <c r="GLD76" s="156"/>
      <c r="GLE76" s="156"/>
      <c r="GLF76" s="156"/>
      <c r="GLG76" s="156"/>
      <c r="GLH76" s="156"/>
      <c r="GLI76" s="156"/>
      <c r="GLJ76" s="156"/>
      <c r="GLK76" s="156"/>
      <c r="GLL76" s="156"/>
      <c r="GLM76" s="156"/>
      <c r="GLN76" s="156"/>
      <c r="GLO76" s="156"/>
      <c r="GLP76" s="156"/>
      <c r="GLQ76" s="156"/>
      <c r="GLR76" s="156"/>
      <c r="GLS76" s="156"/>
      <c r="GLT76" s="156"/>
      <c r="GLU76" s="156"/>
      <c r="GLV76" s="156"/>
      <c r="GLW76" s="156"/>
      <c r="GLX76" s="156"/>
      <c r="GLY76" s="156"/>
      <c r="GLZ76" s="156"/>
      <c r="GMA76" s="156"/>
      <c r="GMB76" s="156"/>
      <c r="GMC76" s="156"/>
      <c r="GMD76" s="156"/>
      <c r="GME76" s="156"/>
      <c r="GMF76" s="156"/>
      <c r="GMG76" s="156"/>
      <c r="GMH76" s="156"/>
      <c r="GMI76" s="156"/>
      <c r="GMJ76" s="156"/>
      <c r="GMK76" s="156"/>
      <c r="GML76" s="156"/>
      <c r="GMM76" s="156"/>
      <c r="GMN76" s="156"/>
      <c r="GMO76" s="156"/>
      <c r="GMP76" s="156"/>
      <c r="GMQ76" s="156"/>
      <c r="GMR76" s="156"/>
      <c r="GMS76" s="156"/>
      <c r="GMT76" s="156"/>
      <c r="GMU76" s="156"/>
      <c r="GMV76" s="156"/>
      <c r="GMW76" s="156"/>
      <c r="GMX76" s="156"/>
      <c r="GMY76" s="156"/>
      <c r="GMZ76" s="156"/>
      <c r="GNA76" s="156"/>
      <c r="GNB76" s="156"/>
      <c r="GNC76" s="156"/>
      <c r="GND76" s="156"/>
      <c r="GNE76" s="156"/>
      <c r="GNF76" s="156"/>
      <c r="GNG76" s="156"/>
      <c r="GNH76" s="156"/>
      <c r="GNI76" s="156"/>
      <c r="GNJ76" s="156"/>
      <c r="GNK76" s="156"/>
      <c r="GNL76" s="156"/>
      <c r="GNM76" s="156"/>
      <c r="GNN76" s="156"/>
      <c r="GNO76" s="156"/>
      <c r="GNP76" s="156"/>
      <c r="GNQ76" s="156"/>
      <c r="GNR76" s="156"/>
      <c r="GNS76" s="156"/>
      <c r="GNT76" s="156"/>
      <c r="GNU76" s="156"/>
      <c r="GNV76" s="156"/>
      <c r="GNW76" s="156"/>
      <c r="GNX76" s="156"/>
      <c r="GNY76" s="156"/>
      <c r="GNZ76" s="156"/>
      <c r="GOA76" s="156"/>
      <c r="GOB76" s="156"/>
      <c r="GOC76" s="156"/>
      <c r="GOD76" s="156"/>
      <c r="GOE76" s="156"/>
      <c r="GOF76" s="156"/>
      <c r="GOG76" s="156"/>
      <c r="GOH76" s="156"/>
      <c r="GOI76" s="156"/>
      <c r="GOJ76" s="156"/>
      <c r="GOK76" s="156"/>
      <c r="GOL76" s="156"/>
      <c r="GOM76" s="156"/>
      <c r="GON76" s="156"/>
      <c r="GOO76" s="156"/>
      <c r="GOP76" s="156"/>
      <c r="GOQ76" s="156"/>
      <c r="GOR76" s="156"/>
      <c r="GOS76" s="156"/>
      <c r="GOT76" s="156"/>
      <c r="GOU76" s="156"/>
      <c r="GOV76" s="156"/>
      <c r="GOW76" s="156"/>
      <c r="GOX76" s="156"/>
      <c r="GOY76" s="156"/>
      <c r="GOZ76" s="156"/>
      <c r="GPA76" s="156"/>
      <c r="GPB76" s="156"/>
      <c r="GPC76" s="156"/>
      <c r="GPD76" s="156"/>
      <c r="GPE76" s="156"/>
      <c r="GPF76" s="156"/>
      <c r="GPG76" s="156"/>
      <c r="GPH76" s="156"/>
      <c r="GPI76" s="156"/>
      <c r="GPJ76" s="156"/>
      <c r="GPK76" s="156"/>
      <c r="GPL76" s="156"/>
      <c r="GPM76" s="156"/>
      <c r="GPN76" s="156"/>
      <c r="GPO76" s="156"/>
      <c r="GPP76" s="156"/>
      <c r="GPQ76" s="156"/>
      <c r="GPR76" s="156"/>
      <c r="GPS76" s="156"/>
      <c r="GPT76" s="156"/>
      <c r="GPU76" s="156"/>
      <c r="GPV76" s="156"/>
      <c r="GPW76" s="156"/>
      <c r="GPX76" s="156"/>
      <c r="GPY76" s="156"/>
      <c r="GPZ76" s="156"/>
      <c r="GQA76" s="156"/>
      <c r="GQB76" s="156"/>
      <c r="GQC76" s="156"/>
      <c r="GQD76" s="156"/>
      <c r="GQE76" s="156"/>
      <c r="GQF76" s="156"/>
      <c r="GQG76" s="156"/>
      <c r="GQH76" s="156"/>
      <c r="GQI76" s="156"/>
      <c r="GQJ76" s="156"/>
      <c r="GQK76" s="156"/>
      <c r="GQL76" s="156"/>
      <c r="GQM76" s="156"/>
      <c r="GQN76" s="156"/>
      <c r="GQO76" s="156"/>
      <c r="GQP76" s="156"/>
      <c r="GQQ76" s="156"/>
      <c r="GQR76" s="156"/>
      <c r="GQS76" s="156"/>
      <c r="GQT76" s="156"/>
      <c r="GQU76" s="156"/>
      <c r="GQV76" s="156"/>
      <c r="GQW76" s="156"/>
      <c r="GQX76" s="156"/>
      <c r="GQY76" s="156"/>
      <c r="GQZ76" s="156"/>
      <c r="GRA76" s="156"/>
      <c r="GRB76" s="156"/>
      <c r="GRC76" s="156"/>
      <c r="GRD76" s="156"/>
      <c r="GRE76" s="156"/>
      <c r="GRF76" s="156"/>
      <c r="GRG76" s="156"/>
      <c r="GRH76" s="156"/>
      <c r="GRI76" s="156"/>
      <c r="GRJ76" s="156"/>
      <c r="GRK76" s="156"/>
      <c r="GRL76" s="156"/>
      <c r="GRM76" s="156"/>
      <c r="GRN76" s="156"/>
      <c r="GRO76" s="156"/>
      <c r="GRP76" s="156"/>
      <c r="GRQ76" s="156"/>
      <c r="GRR76" s="156"/>
      <c r="GRS76" s="156"/>
      <c r="GRT76" s="156"/>
      <c r="GRU76" s="156"/>
      <c r="GRV76" s="156"/>
      <c r="GRW76" s="156"/>
      <c r="GRX76" s="156"/>
      <c r="GRY76" s="156"/>
      <c r="GRZ76" s="156"/>
      <c r="GSA76" s="156"/>
      <c r="GSB76" s="156"/>
      <c r="GSC76" s="156"/>
      <c r="GSD76" s="156"/>
      <c r="GSE76" s="156"/>
      <c r="GSF76" s="156"/>
      <c r="GSG76" s="156"/>
      <c r="GSH76" s="156"/>
      <c r="GSI76" s="156"/>
      <c r="GSJ76" s="156"/>
      <c r="GSK76" s="156"/>
      <c r="GSL76" s="156"/>
      <c r="GSM76" s="156"/>
      <c r="GSN76" s="156"/>
      <c r="GSO76" s="156"/>
      <c r="GSP76" s="156"/>
      <c r="GSQ76" s="156"/>
      <c r="GSR76" s="156"/>
      <c r="GSS76" s="156"/>
      <c r="GST76" s="156"/>
      <c r="GSU76" s="156"/>
      <c r="GSV76" s="156"/>
      <c r="GSW76" s="156"/>
      <c r="GSX76" s="156"/>
      <c r="GSY76" s="156"/>
      <c r="GSZ76" s="156"/>
      <c r="GTA76" s="156"/>
      <c r="GTB76" s="156"/>
      <c r="GTC76" s="156"/>
      <c r="GTD76" s="156"/>
      <c r="GTE76" s="156"/>
      <c r="GTF76" s="156"/>
      <c r="GTG76" s="156"/>
      <c r="GTH76" s="156"/>
      <c r="GTI76" s="156"/>
      <c r="GTJ76" s="156"/>
      <c r="GTK76" s="156"/>
      <c r="GTL76" s="156"/>
      <c r="GTM76" s="156"/>
      <c r="GTN76" s="156"/>
      <c r="GTO76" s="156"/>
      <c r="GTP76" s="156"/>
      <c r="GTQ76" s="156"/>
      <c r="GTR76" s="156"/>
      <c r="GTS76" s="156"/>
      <c r="GTT76" s="156"/>
      <c r="GTU76" s="156"/>
      <c r="GTV76" s="156"/>
      <c r="GTW76" s="156"/>
      <c r="GTX76" s="156"/>
      <c r="GTY76" s="156"/>
      <c r="GTZ76" s="156"/>
      <c r="GUA76" s="156"/>
      <c r="GUB76" s="156"/>
      <c r="GUC76" s="156"/>
      <c r="GUD76" s="156"/>
      <c r="GUE76" s="156"/>
      <c r="GUF76" s="156"/>
      <c r="GUG76" s="156"/>
      <c r="GUH76" s="156"/>
      <c r="GUI76" s="156"/>
      <c r="GUJ76" s="156"/>
      <c r="GUK76" s="156"/>
      <c r="GUL76" s="156"/>
      <c r="GUM76" s="156"/>
      <c r="GUN76" s="156"/>
      <c r="GUO76" s="156"/>
      <c r="GUP76" s="156"/>
      <c r="GUQ76" s="156"/>
      <c r="GUR76" s="156"/>
      <c r="GUS76" s="156"/>
      <c r="GUT76" s="156"/>
      <c r="GUU76" s="156"/>
      <c r="GUV76" s="156"/>
      <c r="GUW76" s="156"/>
      <c r="GUX76" s="156"/>
      <c r="GUY76" s="156"/>
      <c r="GUZ76" s="156"/>
      <c r="GVA76" s="156"/>
      <c r="GVB76" s="156"/>
      <c r="GVC76" s="156"/>
      <c r="GVD76" s="156"/>
      <c r="GVE76" s="156"/>
      <c r="GVF76" s="156"/>
      <c r="GVG76" s="156"/>
      <c r="GVH76" s="156"/>
      <c r="GVI76" s="156"/>
      <c r="GVJ76" s="156"/>
      <c r="GVK76" s="156"/>
      <c r="GVL76" s="156"/>
      <c r="GVM76" s="156"/>
      <c r="GVN76" s="156"/>
      <c r="GVO76" s="156"/>
      <c r="GVP76" s="156"/>
      <c r="GVQ76" s="156"/>
      <c r="GVR76" s="156"/>
      <c r="GVS76" s="156"/>
      <c r="GVT76" s="156"/>
      <c r="GVU76" s="156"/>
      <c r="GVV76" s="156"/>
      <c r="GVW76" s="156"/>
      <c r="GVX76" s="156"/>
      <c r="GVY76" s="156"/>
      <c r="GVZ76" s="156"/>
      <c r="GWA76" s="156"/>
      <c r="GWB76" s="156"/>
      <c r="GWC76" s="156"/>
      <c r="GWD76" s="156"/>
      <c r="GWE76" s="156"/>
      <c r="GWF76" s="156"/>
      <c r="GWG76" s="156"/>
      <c r="GWH76" s="156"/>
      <c r="GWI76" s="156"/>
      <c r="GWJ76" s="156"/>
      <c r="GWK76" s="156"/>
      <c r="GWL76" s="156"/>
      <c r="GWM76" s="156"/>
      <c r="GWN76" s="156"/>
      <c r="GWO76" s="156"/>
      <c r="GWP76" s="156"/>
      <c r="GWQ76" s="156"/>
      <c r="GWR76" s="156"/>
      <c r="GWS76" s="156"/>
      <c r="GWT76" s="156"/>
      <c r="GWU76" s="156"/>
      <c r="GWV76" s="156"/>
      <c r="GWW76" s="156"/>
      <c r="GWX76" s="156"/>
      <c r="GWY76" s="156"/>
      <c r="GWZ76" s="156"/>
      <c r="GXA76" s="156"/>
      <c r="GXB76" s="156"/>
      <c r="GXC76" s="156"/>
      <c r="GXD76" s="156"/>
      <c r="GXE76" s="156"/>
      <c r="GXF76" s="156"/>
      <c r="GXG76" s="156"/>
      <c r="GXH76" s="156"/>
      <c r="GXI76" s="156"/>
      <c r="GXJ76" s="156"/>
      <c r="GXK76" s="156"/>
      <c r="GXL76" s="156"/>
      <c r="GXM76" s="156"/>
      <c r="GXN76" s="156"/>
      <c r="GXO76" s="156"/>
      <c r="GXP76" s="156"/>
      <c r="GXQ76" s="156"/>
      <c r="GXR76" s="156"/>
      <c r="GXS76" s="156"/>
      <c r="GXT76" s="156"/>
      <c r="GXU76" s="156"/>
      <c r="GXV76" s="156"/>
      <c r="GXW76" s="156"/>
      <c r="GXX76" s="156"/>
      <c r="GXY76" s="156"/>
      <c r="GXZ76" s="156"/>
      <c r="GYA76" s="156"/>
      <c r="GYB76" s="156"/>
      <c r="GYC76" s="156"/>
      <c r="GYD76" s="156"/>
      <c r="GYE76" s="156"/>
      <c r="GYF76" s="156"/>
      <c r="GYG76" s="156"/>
      <c r="GYH76" s="156"/>
      <c r="GYI76" s="156"/>
      <c r="GYJ76" s="156"/>
      <c r="GYK76" s="156"/>
      <c r="GYL76" s="156"/>
      <c r="GYM76" s="156"/>
      <c r="GYN76" s="156"/>
      <c r="GYO76" s="156"/>
      <c r="GYP76" s="156"/>
      <c r="GYQ76" s="156"/>
      <c r="GYR76" s="156"/>
      <c r="GYS76" s="156"/>
      <c r="GYT76" s="156"/>
      <c r="GYU76" s="156"/>
      <c r="GYV76" s="156"/>
      <c r="GYW76" s="156"/>
      <c r="GYX76" s="156"/>
      <c r="GYY76" s="156"/>
      <c r="GYZ76" s="156"/>
      <c r="GZA76" s="156"/>
      <c r="GZB76" s="156"/>
      <c r="GZC76" s="156"/>
      <c r="GZD76" s="156"/>
      <c r="GZE76" s="156"/>
      <c r="GZF76" s="156"/>
      <c r="GZG76" s="156"/>
      <c r="GZH76" s="156"/>
      <c r="GZI76" s="156"/>
      <c r="GZJ76" s="156"/>
      <c r="GZK76" s="156"/>
      <c r="GZL76" s="156"/>
      <c r="GZM76" s="156"/>
      <c r="GZN76" s="156"/>
      <c r="GZO76" s="156"/>
      <c r="GZP76" s="156"/>
      <c r="GZQ76" s="156"/>
      <c r="GZR76" s="156"/>
      <c r="GZS76" s="156"/>
      <c r="GZT76" s="156"/>
      <c r="GZU76" s="156"/>
      <c r="GZV76" s="156"/>
      <c r="GZW76" s="156"/>
      <c r="GZX76" s="156"/>
      <c r="GZY76" s="156"/>
      <c r="GZZ76" s="156"/>
      <c r="HAA76" s="156"/>
      <c r="HAB76" s="156"/>
      <c r="HAC76" s="156"/>
      <c r="HAD76" s="156"/>
      <c r="HAE76" s="156"/>
      <c r="HAF76" s="156"/>
      <c r="HAG76" s="156"/>
      <c r="HAH76" s="156"/>
      <c r="HAI76" s="156"/>
      <c r="HAJ76" s="156"/>
      <c r="HAK76" s="156"/>
      <c r="HAL76" s="156"/>
      <c r="HAM76" s="156"/>
      <c r="HAN76" s="156"/>
      <c r="HAO76" s="156"/>
      <c r="HAP76" s="156"/>
      <c r="HAQ76" s="156"/>
      <c r="HAR76" s="156"/>
      <c r="HAS76" s="156"/>
      <c r="HAT76" s="156"/>
      <c r="HAU76" s="156"/>
      <c r="HAV76" s="156"/>
      <c r="HAW76" s="156"/>
      <c r="HAX76" s="156"/>
      <c r="HAY76" s="156"/>
      <c r="HAZ76" s="156"/>
      <c r="HBA76" s="156"/>
      <c r="HBB76" s="156"/>
      <c r="HBC76" s="156"/>
      <c r="HBD76" s="156"/>
      <c r="HBE76" s="156"/>
      <c r="HBF76" s="156"/>
      <c r="HBG76" s="156"/>
      <c r="HBH76" s="156"/>
      <c r="HBI76" s="156"/>
      <c r="HBJ76" s="156"/>
      <c r="HBK76" s="156"/>
      <c r="HBL76" s="156"/>
      <c r="HBM76" s="156"/>
      <c r="HBN76" s="156"/>
      <c r="HBO76" s="156"/>
      <c r="HBP76" s="156"/>
      <c r="HBQ76" s="156"/>
      <c r="HBR76" s="156"/>
      <c r="HBS76" s="156"/>
      <c r="HBT76" s="156"/>
      <c r="HBU76" s="156"/>
      <c r="HBV76" s="156"/>
      <c r="HBW76" s="156"/>
      <c r="HBX76" s="156"/>
      <c r="HBY76" s="156"/>
      <c r="HBZ76" s="156"/>
      <c r="HCA76" s="156"/>
      <c r="HCB76" s="156"/>
      <c r="HCC76" s="156"/>
      <c r="HCD76" s="156"/>
      <c r="HCE76" s="156"/>
      <c r="HCF76" s="156"/>
      <c r="HCG76" s="156"/>
      <c r="HCH76" s="156"/>
      <c r="HCI76" s="156"/>
      <c r="HCJ76" s="156"/>
      <c r="HCK76" s="156"/>
      <c r="HCL76" s="156"/>
      <c r="HCM76" s="156"/>
      <c r="HCN76" s="156"/>
      <c r="HCO76" s="156"/>
      <c r="HCP76" s="156"/>
      <c r="HCQ76" s="156"/>
      <c r="HCR76" s="156"/>
      <c r="HCS76" s="156"/>
      <c r="HCT76" s="156"/>
      <c r="HCU76" s="156"/>
      <c r="HCV76" s="156"/>
      <c r="HCW76" s="156"/>
      <c r="HCX76" s="156"/>
      <c r="HCY76" s="156"/>
      <c r="HCZ76" s="156"/>
      <c r="HDA76" s="156"/>
      <c r="HDB76" s="156"/>
      <c r="HDC76" s="156"/>
      <c r="HDD76" s="156"/>
      <c r="HDE76" s="156"/>
      <c r="HDF76" s="156"/>
      <c r="HDG76" s="156"/>
      <c r="HDH76" s="156"/>
      <c r="HDI76" s="156"/>
      <c r="HDJ76" s="156"/>
      <c r="HDK76" s="156"/>
      <c r="HDL76" s="156"/>
      <c r="HDM76" s="156"/>
      <c r="HDN76" s="156"/>
      <c r="HDO76" s="156"/>
      <c r="HDP76" s="156"/>
      <c r="HDQ76" s="156"/>
      <c r="HDR76" s="156"/>
      <c r="HDS76" s="156"/>
      <c r="HDT76" s="156"/>
      <c r="HDU76" s="156"/>
      <c r="HDV76" s="156"/>
      <c r="HDW76" s="156"/>
      <c r="HDX76" s="156"/>
      <c r="HDY76" s="156"/>
      <c r="HDZ76" s="156"/>
      <c r="HEA76" s="156"/>
      <c r="HEB76" s="156"/>
      <c r="HEC76" s="156"/>
      <c r="HED76" s="156"/>
      <c r="HEE76" s="156"/>
      <c r="HEF76" s="156"/>
      <c r="HEG76" s="156"/>
      <c r="HEH76" s="156"/>
      <c r="HEI76" s="156"/>
      <c r="HEJ76" s="156"/>
      <c r="HEK76" s="156"/>
      <c r="HEL76" s="156"/>
      <c r="HEM76" s="156"/>
      <c r="HEN76" s="156"/>
      <c r="HEO76" s="156"/>
      <c r="HEP76" s="156"/>
      <c r="HEQ76" s="156"/>
      <c r="HER76" s="156"/>
      <c r="HES76" s="156"/>
      <c r="HET76" s="156"/>
      <c r="HEU76" s="156"/>
      <c r="HEV76" s="156"/>
      <c r="HEW76" s="156"/>
      <c r="HEX76" s="156"/>
      <c r="HEY76" s="156"/>
      <c r="HEZ76" s="156"/>
      <c r="HFA76" s="156"/>
      <c r="HFB76" s="156"/>
      <c r="HFC76" s="156"/>
      <c r="HFD76" s="156"/>
      <c r="HFE76" s="156"/>
      <c r="HFF76" s="156"/>
      <c r="HFG76" s="156"/>
      <c r="HFH76" s="156"/>
      <c r="HFI76" s="156"/>
      <c r="HFJ76" s="156"/>
      <c r="HFK76" s="156"/>
      <c r="HFL76" s="156"/>
      <c r="HFM76" s="156"/>
      <c r="HFN76" s="156"/>
      <c r="HFO76" s="156"/>
      <c r="HFP76" s="156"/>
      <c r="HFQ76" s="156"/>
      <c r="HFR76" s="156"/>
      <c r="HFS76" s="156"/>
      <c r="HFT76" s="156"/>
      <c r="HFU76" s="156"/>
      <c r="HFV76" s="156"/>
      <c r="HFW76" s="156"/>
      <c r="HFX76" s="156"/>
      <c r="HFY76" s="156"/>
      <c r="HFZ76" s="156"/>
      <c r="HGA76" s="156"/>
      <c r="HGB76" s="156"/>
      <c r="HGC76" s="156"/>
      <c r="HGD76" s="156"/>
      <c r="HGE76" s="156"/>
      <c r="HGF76" s="156"/>
      <c r="HGG76" s="156"/>
      <c r="HGH76" s="156"/>
      <c r="HGI76" s="156"/>
      <c r="HGJ76" s="156"/>
      <c r="HGK76" s="156"/>
      <c r="HGL76" s="156"/>
      <c r="HGM76" s="156"/>
      <c r="HGN76" s="156"/>
      <c r="HGO76" s="156"/>
      <c r="HGP76" s="156"/>
      <c r="HGQ76" s="156"/>
      <c r="HGR76" s="156"/>
      <c r="HGS76" s="156"/>
      <c r="HGT76" s="156"/>
      <c r="HGU76" s="156"/>
      <c r="HGV76" s="156"/>
      <c r="HGW76" s="156"/>
      <c r="HGX76" s="156"/>
      <c r="HGY76" s="156"/>
      <c r="HGZ76" s="156"/>
      <c r="HHA76" s="156"/>
      <c r="HHB76" s="156"/>
      <c r="HHC76" s="156"/>
      <c r="HHD76" s="156"/>
      <c r="HHE76" s="156"/>
      <c r="HHF76" s="156"/>
      <c r="HHG76" s="156"/>
      <c r="HHH76" s="156"/>
      <c r="HHI76" s="156"/>
      <c r="HHJ76" s="156"/>
      <c r="HHK76" s="156"/>
      <c r="HHL76" s="156"/>
      <c r="HHM76" s="156"/>
      <c r="HHN76" s="156"/>
      <c r="HHO76" s="156"/>
      <c r="HHP76" s="156"/>
      <c r="HHQ76" s="156"/>
      <c r="HHR76" s="156"/>
      <c r="HHS76" s="156"/>
      <c r="HHT76" s="156"/>
      <c r="HHU76" s="156"/>
      <c r="HHV76" s="156"/>
      <c r="HHW76" s="156"/>
      <c r="HHX76" s="156"/>
      <c r="HHY76" s="156"/>
      <c r="HHZ76" s="156"/>
      <c r="HIA76" s="156"/>
      <c r="HIB76" s="156"/>
      <c r="HIC76" s="156"/>
      <c r="HID76" s="156"/>
      <c r="HIE76" s="156"/>
      <c r="HIF76" s="156"/>
      <c r="HIG76" s="156"/>
      <c r="HIH76" s="156"/>
      <c r="HII76" s="156"/>
      <c r="HIJ76" s="156"/>
      <c r="HIK76" s="156"/>
      <c r="HIL76" s="156"/>
      <c r="HIM76" s="156"/>
      <c r="HIN76" s="156"/>
      <c r="HIO76" s="156"/>
      <c r="HIP76" s="156"/>
      <c r="HIQ76" s="156"/>
      <c r="HIR76" s="156"/>
      <c r="HIS76" s="156"/>
      <c r="HIT76" s="156"/>
      <c r="HIU76" s="156"/>
      <c r="HIV76" s="156"/>
      <c r="HIW76" s="156"/>
      <c r="HIX76" s="156"/>
      <c r="HIY76" s="156"/>
      <c r="HIZ76" s="156"/>
      <c r="HJA76" s="156"/>
      <c r="HJB76" s="156"/>
      <c r="HJC76" s="156"/>
      <c r="HJD76" s="156"/>
      <c r="HJE76" s="156"/>
      <c r="HJF76" s="156"/>
      <c r="HJG76" s="156"/>
      <c r="HJH76" s="156"/>
      <c r="HJI76" s="156"/>
      <c r="HJJ76" s="156"/>
      <c r="HJK76" s="156"/>
      <c r="HJL76" s="156"/>
      <c r="HJM76" s="156"/>
      <c r="HJN76" s="156"/>
      <c r="HJO76" s="156"/>
      <c r="HJP76" s="156"/>
      <c r="HJQ76" s="156"/>
      <c r="HJR76" s="156"/>
      <c r="HJS76" s="156"/>
      <c r="HJT76" s="156"/>
      <c r="HJU76" s="156"/>
      <c r="HJV76" s="156"/>
      <c r="HJW76" s="156"/>
      <c r="HJX76" s="156"/>
      <c r="HJY76" s="156"/>
      <c r="HJZ76" s="156"/>
      <c r="HKA76" s="156"/>
      <c r="HKB76" s="156"/>
      <c r="HKC76" s="156"/>
      <c r="HKD76" s="156"/>
      <c r="HKE76" s="156"/>
      <c r="HKF76" s="156"/>
      <c r="HKG76" s="156"/>
      <c r="HKH76" s="156"/>
      <c r="HKI76" s="156"/>
      <c r="HKJ76" s="156"/>
      <c r="HKK76" s="156"/>
      <c r="HKL76" s="156"/>
      <c r="HKM76" s="156"/>
      <c r="HKN76" s="156"/>
      <c r="HKO76" s="156"/>
      <c r="HKP76" s="156"/>
      <c r="HKQ76" s="156"/>
      <c r="HKR76" s="156"/>
      <c r="HKS76" s="156"/>
      <c r="HKT76" s="156"/>
      <c r="HKU76" s="156"/>
      <c r="HKV76" s="156"/>
      <c r="HKW76" s="156"/>
      <c r="HKX76" s="156"/>
      <c r="HKY76" s="156"/>
      <c r="HKZ76" s="156"/>
      <c r="HLA76" s="156"/>
      <c r="HLB76" s="156"/>
      <c r="HLC76" s="156"/>
      <c r="HLD76" s="156"/>
      <c r="HLE76" s="156"/>
      <c r="HLF76" s="156"/>
      <c r="HLG76" s="156"/>
      <c r="HLH76" s="156"/>
      <c r="HLI76" s="156"/>
      <c r="HLJ76" s="156"/>
      <c r="HLK76" s="156"/>
      <c r="HLL76" s="156"/>
      <c r="HLM76" s="156"/>
      <c r="HLN76" s="156"/>
      <c r="HLO76" s="156"/>
      <c r="HLP76" s="156"/>
      <c r="HLQ76" s="156"/>
      <c r="HLR76" s="156"/>
      <c r="HLS76" s="156"/>
      <c r="HLT76" s="156"/>
      <c r="HLU76" s="156"/>
      <c r="HLV76" s="156"/>
      <c r="HLW76" s="156"/>
      <c r="HLX76" s="156"/>
      <c r="HLY76" s="156"/>
      <c r="HLZ76" s="156"/>
      <c r="HMA76" s="156"/>
      <c r="HMB76" s="156"/>
      <c r="HMC76" s="156"/>
      <c r="HMD76" s="156"/>
      <c r="HME76" s="156"/>
      <c r="HMF76" s="156"/>
      <c r="HMG76" s="156"/>
      <c r="HMH76" s="156"/>
      <c r="HMI76" s="156"/>
      <c r="HMJ76" s="156"/>
      <c r="HMK76" s="156"/>
      <c r="HML76" s="156"/>
      <c r="HMM76" s="156"/>
      <c r="HMN76" s="156"/>
      <c r="HMO76" s="156"/>
      <c r="HMP76" s="156"/>
      <c r="HMQ76" s="156"/>
      <c r="HMR76" s="156"/>
      <c r="HMS76" s="156"/>
      <c r="HMT76" s="156"/>
      <c r="HMU76" s="156"/>
      <c r="HMV76" s="156"/>
      <c r="HMW76" s="156"/>
      <c r="HMX76" s="156"/>
      <c r="HMY76" s="156"/>
      <c r="HMZ76" s="156"/>
      <c r="HNA76" s="156"/>
      <c r="HNB76" s="156"/>
      <c r="HNC76" s="156"/>
      <c r="HND76" s="156"/>
      <c r="HNE76" s="156"/>
      <c r="HNF76" s="156"/>
      <c r="HNG76" s="156"/>
      <c r="HNH76" s="156"/>
      <c r="HNI76" s="156"/>
      <c r="HNJ76" s="156"/>
      <c r="HNK76" s="156"/>
      <c r="HNL76" s="156"/>
      <c r="HNM76" s="156"/>
      <c r="HNN76" s="156"/>
      <c r="HNO76" s="156"/>
      <c r="HNP76" s="156"/>
      <c r="HNQ76" s="156"/>
      <c r="HNR76" s="156"/>
      <c r="HNS76" s="156"/>
      <c r="HNT76" s="156"/>
      <c r="HNU76" s="156"/>
      <c r="HNV76" s="156"/>
      <c r="HNW76" s="156"/>
      <c r="HNX76" s="156"/>
      <c r="HNY76" s="156"/>
      <c r="HNZ76" s="156"/>
      <c r="HOA76" s="156"/>
      <c r="HOB76" s="156"/>
      <c r="HOC76" s="156"/>
      <c r="HOD76" s="156"/>
      <c r="HOE76" s="156"/>
      <c r="HOF76" s="156"/>
      <c r="HOG76" s="156"/>
      <c r="HOH76" s="156"/>
      <c r="HOI76" s="156"/>
      <c r="HOJ76" s="156"/>
      <c r="HOK76" s="156"/>
      <c r="HOL76" s="156"/>
      <c r="HOM76" s="156"/>
      <c r="HON76" s="156"/>
      <c r="HOO76" s="156"/>
      <c r="HOP76" s="156"/>
      <c r="HOQ76" s="156"/>
      <c r="HOR76" s="156"/>
      <c r="HOS76" s="156"/>
      <c r="HOT76" s="156"/>
      <c r="HOU76" s="156"/>
      <c r="HOV76" s="156"/>
      <c r="HOW76" s="156"/>
      <c r="HOX76" s="156"/>
      <c r="HOY76" s="156"/>
      <c r="HOZ76" s="156"/>
      <c r="HPA76" s="156"/>
      <c r="HPB76" s="156"/>
      <c r="HPC76" s="156"/>
      <c r="HPD76" s="156"/>
      <c r="HPE76" s="156"/>
      <c r="HPF76" s="156"/>
      <c r="HPG76" s="156"/>
      <c r="HPH76" s="156"/>
      <c r="HPI76" s="156"/>
      <c r="HPJ76" s="156"/>
      <c r="HPK76" s="156"/>
      <c r="HPL76" s="156"/>
      <c r="HPM76" s="156"/>
      <c r="HPN76" s="156"/>
      <c r="HPO76" s="156"/>
      <c r="HPP76" s="156"/>
      <c r="HPQ76" s="156"/>
      <c r="HPR76" s="156"/>
      <c r="HPS76" s="156"/>
      <c r="HPT76" s="156"/>
      <c r="HPU76" s="156"/>
      <c r="HPV76" s="156"/>
      <c r="HPW76" s="156"/>
      <c r="HPX76" s="156"/>
      <c r="HPY76" s="156"/>
      <c r="HPZ76" s="156"/>
      <c r="HQA76" s="156"/>
      <c r="HQB76" s="156"/>
      <c r="HQC76" s="156"/>
      <c r="HQD76" s="156"/>
      <c r="HQE76" s="156"/>
      <c r="HQF76" s="156"/>
      <c r="HQG76" s="156"/>
      <c r="HQH76" s="156"/>
      <c r="HQI76" s="156"/>
      <c r="HQJ76" s="156"/>
      <c r="HQK76" s="156"/>
      <c r="HQL76" s="156"/>
      <c r="HQM76" s="156"/>
      <c r="HQN76" s="156"/>
      <c r="HQO76" s="156"/>
      <c r="HQP76" s="156"/>
      <c r="HQQ76" s="156"/>
      <c r="HQR76" s="156"/>
      <c r="HQS76" s="156"/>
      <c r="HQT76" s="156"/>
      <c r="HQU76" s="156"/>
      <c r="HQV76" s="156"/>
      <c r="HQW76" s="156"/>
      <c r="HQX76" s="156"/>
      <c r="HQY76" s="156"/>
      <c r="HQZ76" s="156"/>
      <c r="HRA76" s="156"/>
      <c r="HRB76" s="156"/>
      <c r="HRC76" s="156"/>
      <c r="HRD76" s="156"/>
      <c r="HRE76" s="156"/>
      <c r="HRF76" s="156"/>
      <c r="HRG76" s="156"/>
      <c r="HRH76" s="156"/>
      <c r="HRI76" s="156"/>
      <c r="HRJ76" s="156"/>
      <c r="HRK76" s="156"/>
      <c r="HRL76" s="156"/>
      <c r="HRM76" s="156"/>
      <c r="HRN76" s="156"/>
      <c r="HRO76" s="156"/>
      <c r="HRP76" s="156"/>
      <c r="HRQ76" s="156"/>
      <c r="HRR76" s="156"/>
      <c r="HRS76" s="156"/>
      <c r="HRT76" s="156"/>
      <c r="HRU76" s="156"/>
      <c r="HRV76" s="156"/>
      <c r="HRW76" s="156"/>
      <c r="HRX76" s="156"/>
      <c r="HRY76" s="156"/>
      <c r="HRZ76" s="156"/>
      <c r="HSA76" s="156"/>
      <c r="HSB76" s="156"/>
      <c r="HSC76" s="156"/>
      <c r="HSD76" s="156"/>
      <c r="HSE76" s="156"/>
      <c r="HSF76" s="156"/>
      <c r="HSG76" s="156"/>
      <c r="HSH76" s="156"/>
      <c r="HSI76" s="156"/>
      <c r="HSJ76" s="156"/>
      <c r="HSK76" s="156"/>
      <c r="HSL76" s="156"/>
      <c r="HSM76" s="156"/>
      <c r="HSN76" s="156"/>
      <c r="HSO76" s="156"/>
      <c r="HSP76" s="156"/>
      <c r="HSQ76" s="156"/>
      <c r="HSR76" s="156"/>
      <c r="HSS76" s="156"/>
      <c r="HST76" s="156"/>
      <c r="HSU76" s="156"/>
      <c r="HSV76" s="156"/>
      <c r="HSW76" s="156"/>
      <c r="HSX76" s="156"/>
      <c r="HSY76" s="156"/>
      <c r="HSZ76" s="156"/>
      <c r="HTA76" s="156"/>
      <c r="HTB76" s="156"/>
      <c r="HTC76" s="156"/>
      <c r="HTD76" s="156"/>
      <c r="HTE76" s="156"/>
      <c r="HTF76" s="156"/>
      <c r="HTG76" s="156"/>
      <c r="HTH76" s="156"/>
      <c r="HTI76" s="156"/>
      <c r="HTJ76" s="156"/>
      <c r="HTK76" s="156"/>
      <c r="HTL76" s="156"/>
      <c r="HTM76" s="156"/>
      <c r="HTN76" s="156"/>
      <c r="HTO76" s="156"/>
      <c r="HTP76" s="156"/>
      <c r="HTQ76" s="156"/>
      <c r="HTR76" s="156"/>
      <c r="HTS76" s="156"/>
      <c r="HTT76" s="156"/>
      <c r="HTU76" s="156"/>
      <c r="HTV76" s="156"/>
      <c r="HTW76" s="156"/>
      <c r="HTX76" s="156"/>
      <c r="HTY76" s="156"/>
      <c r="HTZ76" s="156"/>
      <c r="HUA76" s="156"/>
      <c r="HUB76" s="156"/>
      <c r="HUC76" s="156"/>
      <c r="HUD76" s="156"/>
      <c r="HUE76" s="156"/>
      <c r="HUF76" s="156"/>
      <c r="HUG76" s="156"/>
      <c r="HUH76" s="156"/>
      <c r="HUI76" s="156"/>
      <c r="HUJ76" s="156"/>
      <c r="HUK76" s="156"/>
      <c r="HUL76" s="156"/>
      <c r="HUM76" s="156"/>
      <c r="HUN76" s="156"/>
      <c r="HUO76" s="156"/>
      <c r="HUP76" s="156"/>
      <c r="HUQ76" s="156"/>
      <c r="HUR76" s="156"/>
      <c r="HUS76" s="156"/>
      <c r="HUT76" s="156"/>
      <c r="HUU76" s="156"/>
      <c r="HUV76" s="156"/>
      <c r="HUW76" s="156"/>
      <c r="HUX76" s="156"/>
      <c r="HUY76" s="156"/>
      <c r="HUZ76" s="156"/>
      <c r="HVA76" s="156"/>
      <c r="HVB76" s="156"/>
      <c r="HVC76" s="156"/>
      <c r="HVD76" s="156"/>
      <c r="HVE76" s="156"/>
      <c r="HVF76" s="156"/>
      <c r="HVG76" s="156"/>
      <c r="HVH76" s="156"/>
      <c r="HVI76" s="156"/>
      <c r="HVJ76" s="156"/>
      <c r="HVK76" s="156"/>
      <c r="HVL76" s="156"/>
      <c r="HVM76" s="156"/>
      <c r="HVN76" s="156"/>
      <c r="HVO76" s="156"/>
      <c r="HVP76" s="156"/>
      <c r="HVQ76" s="156"/>
      <c r="HVR76" s="156"/>
      <c r="HVS76" s="156"/>
      <c r="HVT76" s="156"/>
      <c r="HVU76" s="156"/>
      <c r="HVV76" s="156"/>
      <c r="HVW76" s="156"/>
      <c r="HVX76" s="156"/>
      <c r="HVY76" s="156"/>
      <c r="HVZ76" s="156"/>
      <c r="HWA76" s="156"/>
      <c r="HWB76" s="156"/>
      <c r="HWC76" s="156"/>
      <c r="HWD76" s="156"/>
      <c r="HWE76" s="156"/>
      <c r="HWF76" s="156"/>
      <c r="HWG76" s="156"/>
      <c r="HWH76" s="156"/>
      <c r="HWI76" s="156"/>
      <c r="HWJ76" s="156"/>
      <c r="HWK76" s="156"/>
      <c r="HWL76" s="156"/>
      <c r="HWM76" s="156"/>
      <c r="HWN76" s="156"/>
      <c r="HWO76" s="156"/>
      <c r="HWP76" s="156"/>
      <c r="HWQ76" s="156"/>
      <c r="HWR76" s="156"/>
      <c r="HWS76" s="156"/>
      <c r="HWT76" s="156"/>
      <c r="HWU76" s="156"/>
      <c r="HWV76" s="156"/>
      <c r="HWW76" s="156"/>
      <c r="HWX76" s="156"/>
      <c r="HWY76" s="156"/>
      <c r="HWZ76" s="156"/>
      <c r="HXA76" s="156"/>
      <c r="HXB76" s="156"/>
      <c r="HXC76" s="156"/>
      <c r="HXD76" s="156"/>
      <c r="HXE76" s="156"/>
      <c r="HXF76" s="156"/>
      <c r="HXG76" s="156"/>
      <c r="HXH76" s="156"/>
      <c r="HXI76" s="156"/>
      <c r="HXJ76" s="156"/>
      <c r="HXK76" s="156"/>
      <c r="HXL76" s="156"/>
      <c r="HXM76" s="156"/>
      <c r="HXN76" s="156"/>
      <c r="HXO76" s="156"/>
      <c r="HXP76" s="156"/>
      <c r="HXQ76" s="156"/>
      <c r="HXR76" s="156"/>
      <c r="HXS76" s="156"/>
      <c r="HXT76" s="156"/>
      <c r="HXU76" s="156"/>
      <c r="HXV76" s="156"/>
      <c r="HXW76" s="156"/>
      <c r="HXX76" s="156"/>
      <c r="HXY76" s="156"/>
      <c r="HXZ76" s="156"/>
      <c r="HYA76" s="156"/>
      <c r="HYB76" s="156"/>
      <c r="HYC76" s="156"/>
      <c r="HYD76" s="156"/>
      <c r="HYE76" s="156"/>
      <c r="HYF76" s="156"/>
      <c r="HYG76" s="156"/>
      <c r="HYH76" s="156"/>
      <c r="HYI76" s="156"/>
      <c r="HYJ76" s="156"/>
      <c r="HYK76" s="156"/>
      <c r="HYL76" s="156"/>
      <c r="HYM76" s="156"/>
      <c r="HYN76" s="156"/>
      <c r="HYO76" s="156"/>
      <c r="HYP76" s="156"/>
      <c r="HYQ76" s="156"/>
      <c r="HYR76" s="156"/>
      <c r="HYS76" s="156"/>
      <c r="HYT76" s="156"/>
      <c r="HYU76" s="156"/>
      <c r="HYV76" s="156"/>
      <c r="HYW76" s="156"/>
      <c r="HYX76" s="156"/>
      <c r="HYY76" s="156"/>
      <c r="HYZ76" s="156"/>
      <c r="HZA76" s="156"/>
      <c r="HZB76" s="156"/>
      <c r="HZC76" s="156"/>
      <c r="HZD76" s="156"/>
      <c r="HZE76" s="156"/>
      <c r="HZF76" s="156"/>
      <c r="HZG76" s="156"/>
      <c r="HZH76" s="156"/>
      <c r="HZI76" s="156"/>
      <c r="HZJ76" s="156"/>
      <c r="HZK76" s="156"/>
      <c r="HZL76" s="156"/>
      <c r="HZM76" s="156"/>
      <c r="HZN76" s="156"/>
      <c r="HZO76" s="156"/>
      <c r="HZP76" s="156"/>
      <c r="HZQ76" s="156"/>
      <c r="HZR76" s="156"/>
      <c r="HZS76" s="156"/>
      <c r="HZT76" s="156"/>
      <c r="HZU76" s="156"/>
      <c r="HZV76" s="156"/>
      <c r="HZW76" s="156"/>
      <c r="HZX76" s="156"/>
      <c r="HZY76" s="156"/>
      <c r="HZZ76" s="156"/>
      <c r="IAA76" s="156"/>
      <c r="IAB76" s="156"/>
      <c r="IAC76" s="156"/>
      <c r="IAD76" s="156"/>
      <c r="IAE76" s="156"/>
      <c r="IAF76" s="156"/>
      <c r="IAG76" s="156"/>
      <c r="IAH76" s="156"/>
      <c r="IAI76" s="156"/>
      <c r="IAJ76" s="156"/>
      <c r="IAK76" s="156"/>
      <c r="IAL76" s="156"/>
      <c r="IAM76" s="156"/>
      <c r="IAN76" s="156"/>
      <c r="IAO76" s="156"/>
      <c r="IAP76" s="156"/>
      <c r="IAQ76" s="156"/>
      <c r="IAR76" s="156"/>
      <c r="IAS76" s="156"/>
      <c r="IAT76" s="156"/>
      <c r="IAU76" s="156"/>
      <c r="IAV76" s="156"/>
      <c r="IAW76" s="156"/>
      <c r="IAX76" s="156"/>
      <c r="IAY76" s="156"/>
      <c r="IAZ76" s="156"/>
      <c r="IBA76" s="156"/>
      <c r="IBB76" s="156"/>
      <c r="IBC76" s="156"/>
      <c r="IBD76" s="156"/>
      <c r="IBE76" s="156"/>
      <c r="IBF76" s="156"/>
      <c r="IBG76" s="156"/>
      <c r="IBH76" s="156"/>
      <c r="IBI76" s="156"/>
      <c r="IBJ76" s="156"/>
      <c r="IBK76" s="156"/>
      <c r="IBL76" s="156"/>
      <c r="IBM76" s="156"/>
      <c r="IBN76" s="156"/>
      <c r="IBO76" s="156"/>
      <c r="IBP76" s="156"/>
      <c r="IBQ76" s="156"/>
      <c r="IBR76" s="156"/>
      <c r="IBS76" s="156"/>
      <c r="IBT76" s="156"/>
      <c r="IBU76" s="156"/>
      <c r="IBV76" s="156"/>
      <c r="IBW76" s="156"/>
      <c r="IBX76" s="156"/>
      <c r="IBY76" s="156"/>
      <c r="IBZ76" s="156"/>
      <c r="ICA76" s="156"/>
      <c r="ICB76" s="156"/>
      <c r="ICC76" s="156"/>
      <c r="ICD76" s="156"/>
      <c r="ICE76" s="156"/>
      <c r="ICF76" s="156"/>
      <c r="ICG76" s="156"/>
      <c r="ICH76" s="156"/>
      <c r="ICI76" s="156"/>
      <c r="ICJ76" s="156"/>
      <c r="ICK76" s="156"/>
      <c r="ICL76" s="156"/>
      <c r="ICM76" s="156"/>
      <c r="ICN76" s="156"/>
      <c r="ICO76" s="156"/>
      <c r="ICP76" s="156"/>
      <c r="ICQ76" s="156"/>
      <c r="ICR76" s="156"/>
      <c r="ICS76" s="156"/>
      <c r="ICT76" s="156"/>
      <c r="ICU76" s="156"/>
      <c r="ICV76" s="156"/>
      <c r="ICW76" s="156"/>
      <c r="ICX76" s="156"/>
      <c r="ICY76" s="156"/>
      <c r="ICZ76" s="156"/>
      <c r="IDA76" s="156"/>
      <c r="IDB76" s="156"/>
      <c r="IDC76" s="156"/>
      <c r="IDD76" s="156"/>
      <c r="IDE76" s="156"/>
      <c r="IDF76" s="156"/>
      <c r="IDG76" s="156"/>
      <c r="IDH76" s="156"/>
      <c r="IDI76" s="156"/>
      <c r="IDJ76" s="156"/>
      <c r="IDK76" s="156"/>
      <c r="IDL76" s="156"/>
      <c r="IDM76" s="156"/>
      <c r="IDN76" s="156"/>
      <c r="IDO76" s="156"/>
      <c r="IDP76" s="156"/>
      <c r="IDQ76" s="156"/>
      <c r="IDR76" s="156"/>
      <c r="IDS76" s="156"/>
      <c r="IDT76" s="156"/>
      <c r="IDU76" s="156"/>
      <c r="IDV76" s="156"/>
      <c r="IDW76" s="156"/>
      <c r="IDX76" s="156"/>
      <c r="IDY76" s="156"/>
      <c r="IDZ76" s="156"/>
      <c r="IEA76" s="156"/>
      <c r="IEB76" s="156"/>
      <c r="IEC76" s="156"/>
      <c r="IED76" s="156"/>
      <c r="IEE76" s="156"/>
      <c r="IEF76" s="156"/>
      <c r="IEG76" s="156"/>
      <c r="IEH76" s="156"/>
      <c r="IEI76" s="156"/>
      <c r="IEJ76" s="156"/>
      <c r="IEK76" s="156"/>
      <c r="IEL76" s="156"/>
      <c r="IEM76" s="156"/>
      <c r="IEN76" s="156"/>
      <c r="IEO76" s="156"/>
      <c r="IEP76" s="156"/>
      <c r="IEQ76" s="156"/>
      <c r="IER76" s="156"/>
      <c r="IES76" s="156"/>
      <c r="IET76" s="156"/>
      <c r="IEU76" s="156"/>
      <c r="IEV76" s="156"/>
      <c r="IEW76" s="156"/>
      <c r="IEX76" s="156"/>
      <c r="IEY76" s="156"/>
      <c r="IEZ76" s="156"/>
      <c r="IFA76" s="156"/>
      <c r="IFB76" s="156"/>
      <c r="IFC76" s="156"/>
      <c r="IFD76" s="156"/>
      <c r="IFE76" s="156"/>
      <c r="IFF76" s="156"/>
      <c r="IFG76" s="156"/>
      <c r="IFH76" s="156"/>
      <c r="IFI76" s="156"/>
      <c r="IFJ76" s="156"/>
      <c r="IFK76" s="156"/>
      <c r="IFL76" s="156"/>
      <c r="IFM76" s="156"/>
      <c r="IFN76" s="156"/>
      <c r="IFO76" s="156"/>
      <c r="IFP76" s="156"/>
      <c r="IFQ76" s="156"/>
      <c r="IFR76" s="156"/>
      <c r="IFS76" s="156"/>
      <c r="IFT76" s="156"/>
      <c r="IFU76" s="156"/>
      <c r="IFV76" s="156"/>
      <c r="IFW76" s="156"/>
      <c r="IFX76" s="156"/>
      <c r="IFY76" s="156"/>
      <c r="IFZ76" s="156"/>
      <c r="IGA76" s="156"/>
      <c r="IGB76" s="156"/>
      <c r="IGC76" s="156"/>
      <c r="IGD76" s="156"/>
      <c r="IGE76" s="156"/>
      <c r="IGF76" s="156"/>
      <c r="IGG76" s="156"/>
      <c r="IGH76" s="156"/>
      <c r="IGI76" s="156"/>
      <c r="IGJ76" s="156"/>
      <c r="IGK76" s="156"/>
      <c r="IGL76" s="156"/>
      <c r="IGM76" s="156"/>
      <c r="IGN76" s="156"/>
      <c r="IGO76" s="156"/>
      <c r="IGP76" s="156"/>
      <c r="IGQ76" s="156"/>
      <c r="IGR76" s="156"/>
      <c r="IGS76" s="156"/>
      <c r="IGT76" s="156"/>
      <c r="IGU76" s="156"/>
      <c r="IGV76" s="156"/>
      <c r="IGW76" s="156"/>
      <c r="IGX76" s="156"/>
      <c r="IGY76" s="156"/>
      <c r="IGZ76" s="156"/>
      <c r="IHA76" s="156"/>
      <c r="IHB76" s="156"/>
      <c r="IHC76" s="156"/>
      <c r="IHD76" s="156"/>
      <c r="IHE76" s="156"/>
      <c r="IHF76" s="156"/>
      <c r="IHG76" s="156"/>
      <c r="IHH76" s="156"/>
      <c r="IHI76" s="156"/>
      <c r="IHJ76" s="156"/>
      <c r="IHK76" s="156"/>
      <c r="IHL76" s="156"/>
      <c r="IHM76" s="156"/>
      <c r="IHN76" s="156"/>
      <c r="IHO76" s="156"/>
      <c r="IHP76" s="156"/>
      <c r="IHQ76" s="156"/>
      <c r="IHR76" s="156"/>
      <c r="IHS76" s="156"/>
      <c r="IHT76" s="156"/>
      <c r="IHU76" s="156"/>
      <c r="IHV76" s="156"/>
      <c r="IHW76" s="156"/>
      <c r="IHX76" s="156"/>
      <c r="IHY76" s="156"/>
      <c r="IHZ76" s="156"/>
      <c r="IIA76" s="156"/>
      <c r="IIB76" s="156"/>
      <c r="IIC76" s="156"/>
      <c r="IID76" s="156"/>
      <c r="IIE76" s="156"/>
      <c r="IIF76" s="156"/>
      <c r="IIG76" s="156"/>
      <c r="IIH76" s="156"/>
      <c r="III76" s="156"/>
      <c r="IIJ76" s="156"/>
      <c r="IIK76" s="156"/>
      <c r="IIL76" s="156"/>
      <c r="IIM76" s="156"/>
      <c r="IIN76" s="156"/>
      <c r="IIO76" s="156"/>
      <c r="IIP76" s="156"/>
      <c r="IIQ76" s="156"/>
      <c r="IIR76" s="156"/>
      <c r="IIS76" s="156"/>
      <c r="IIT76" s="156"/>
      <c r="IIU76" s="156"/>
      <c r="IIV76" s="156"/>
      <c r="IIW76" s="156"/>
      <c r="IIX76" s="156"/>
      <c r="IIY76" s="156"/>
      <c r="IIZ76" s="156"/>
      <c r="IJA76" s="156"/>
      <c r="IJB76" s="156"/>
      <c r="IJC76" s="156"/>
      <c r="IJD76" s="156"/>
      <c r="IJE76" s="156"/>
      <c r="IJF76" s="156"/>
      <c r="IJG76" s="156"/>
      <c r="IJH76" s="156"/>
      <c r="IJI76" s="156"/>
      <c r="IJJ76" s="156"/>
      <c r="IJK76" s="156"/>
      <c r="IJL76" s="156"/>
      <c r="IJM76" s="156"/>
      <c r="IJN76" s="156"/>
      <c r="IJO76" s="156"/>
      <c r="IJP76" s="156"/>
      <c r="IJQ76" s="156"/>
      <c r="IJR76" s="156"/>
      <c r="IJS76" s="156"/>
      <c r="IJT76" s="156"/>
      <c r="IJU76" s="156"/>
      <c r="IJV76" s="156"/>
      <c r="IJW76" s="156"/>
      <c r="IJX76" s="156"/>
      <c r="IJY76" s="156"/>
      <c r="IJZ76" s="156"/>
      <c r="IKA76" s="156"/>
      <c r="IKB76" s="156"/>
      <c r="IKC76" s="156"/>
      <c r="IKD76" s="156"/>
      <c r="IKE76" s="156"/>
      <c r="IKF76" s="156"/>
      <c r="IKG76" s="156"/>
      <c r="IKH76" s="156"/>
      <c r="IKI76" s="156"/>
      <c r="IKJ76" s="156"/>
      <c r="IKK76" s="156"/>
      <c r="IKL76" s="156"/>
      <c r="IKM76" s="156"/>
      <c r="IKN76" s="156"/>
      <c r="IKO76" s="156"/>
      <c r="IKP76" s="156"/>
      <c r="IKQ76" s="156"/>
      <c r="IKR76" s="156"/>
      <c r="IKS76" s="156"/>
      <c r="IKT76" s="156"/>
      <c r="IKU76" s="156"/>
      <c r="IKV76" s="156"/>
      <c r="IKW76" s="156"/>
      <c r="IKX76" s="156"/>
      <c r="IKY76" s="156"/>
      <c r="IKZ76" s="156"/>
      <c r="ILA76" s="156"/>
      <c r="ILB76" s="156"/>
      <c r="ILC76" s="156"/>
      <c r="ILD76" s="156"/>
      <c r="ILE76" s="156"/>
      <c r="ILF76" s="156"/>
      <c r="ILG76" s="156"/>
      <c r="ILH76" s="156"/>
      <c r="ILI76" s="156"/>
      <c r="ILJ76" s="156"/>
      <c r="ILK76" s="156"/>
      <c r="ILL76" s="156"/>
      <c r="ILM76" s="156"/>
      <c r="ILN76" s="156"/>
      <c r="ILO76" s="156"/>
      <c r="ILP76" s="156"/>
      <c r="ILQ76" s="156"/>
      <c r="ILR76" s="156"/>
      <c r="ILS76" s="156"/>
      <c r="ILT76" s="156"/>
      <c r="ILU76" s="156"/>
      <c r="ILV76" s="156"/>
      <c r="ILW76" s="156"/>
      <c r="ILX76" s="156"/>
      <c r="ILY76" s="156"/>
      <c r="ILZ76" s="156"/>
      <c r="IMA76" s="156"/>
      <c r="IMB76" s="156"/>
      <c r="IMC76" s="156"/>
      <c r="IMD76" s="156"/>
      <c r="IME76" s="156"/>
      <c r="IMF76" s="156"/>
      <c r="IMG76" s="156"/>
      <c r="IMH76" s="156"/>
      <c r="IMI76" s="156"/>
      <c r="IMJ76" s="156"/>
      <c r="IMK76" s="156"/>
      <c r="IML76" s="156"/>
      <c r="IMM76" s="156"/>
      <c r="IMN76" s="156"/>
      <c r="IMO76" s="156"/>
      <c r="IMP76" s="156"/>
      <c r="IMQ76" s="156"/>
      <c r="IMR76" s="156"/>
      <c r="IMS76" s="156"/>
      <c r="IMT76" s="156"/>
      <c r="IMU76" s="156"/>
      <c r="IMV76" s="156"/>
      <c r="IMW76" s="156"/>
      <c r="IMX76" s="156"/>
      <c r="IMY76" s="156"/>
      <c r="IMZ76" s="156"/>
      <c r="INA76" s="156"/>
      <c r="INB76" s="156"/>
      <c r="INC76" s="156"/>
      <c r="IND76" s="156"/>
      <c r="INE76" s="156"/>
      <c r="INF76" s="156"/>
      <c r="ING76" s="156"/>
      <c r="INH76" s="156"/>
      <c r="INI76" s="156"/>
      <c r="INJ76" s="156"/>
      <c r="INK76" s="156"/>
      <c r="INL76" s="156"/>
      <c r="INM76" s="156"/>
      <c r="INN76" s="156"/>
      <c r="INO76" s="156"/>
      <c r="INP76" s="156"/>
      <c r="INQ76" s="156"/>
      <c r="INR76" s="156"/>
      <c r="INS76" s="156"/>
      <c r="INT76" s="156"/>
      <c r="INU76" s="156"/>
      <c r="INV76" s="156"/>
      <c r="INW76" s="156"/>
      <c r="INX76" s="156"/>
      <c r="INY76" s="156"/>
      <c r="INZ76" s="156"/>
      <c r="IOA76" s="156"/>
      <c r="IOB76" s="156"/>
      <c r="IOC76" s="156"/>
      <c r="IOD76" s="156"/>
      <c r="IOE76" s="156"/>
      <c r="IOF76" s="156"/>
      <c r="IOG76" s="156"/>
      <c r="IOH76" s="156"/>
      <c r="IOI76" s="156"/>
      <c r="IOJ76" s="156"/>
      <c r="IOK76" s="156"/>
      <c r="IOL76" s="156"/>
      <c r="IOM76" s="156"/>
      <c r="ION76" s="156"/>
      <c r="IOO76" s="156"/>
      <c r="IOP76" s="156"/>
      <c r="IOQ76" s="156"/>
      <c r="IOR76" s="156"/>
      <c r="IOS76" s="156"/>
      <c r="IOT76" s="156"/>
      <c r="IOU76" s="156"/>
      <c r="IOV76" s="156"/>
      <c r="IOW76" s="156"/>
      <c r="IOX76" s="156"/>
      <c r="IOY76" s="156"/>
      <c r="IOZ76" s="156"/>
      <c r="IPA76" s="156"/>
      <c r="IPB76" s="156"/>
      <c r="IPC76" s="156"/>
      <c r="IPD76" s="156"/>
      <c r="IPE76" s="156"/>
      <c r="IPF76" s="156"/>
      <c r="IPG76" s="156"/>
      <c r="IPH76" s="156"/>
      <c r="IPI76" s="156"/>
      <c r="IPJ76" s="156"/>
      <c r="IPK76" s="156"/>
      <c r="IPL76" s="156"/>
      <c r="IPM76" s="156"/>
      <c r="IPN76" s="156"/>
      <c r="IPO76" s="156"/>
      <c r="IPP76" s="156"/>
      <c r="IPQ76" s="156"/>
      <c r="IPR76" s="156"/>
      <c r="IPS76" s="156"/>
      <c r="IPT76" s="156"/>
      <c r="IPU76" s="156"/>
      <c r="IPV76" s="156"/>
      <c r="IPW76" s="156"/>
      <c r="IPX76" s="156"/>
      <c r="IPY76" s="156"/>
      <c r="IPZ76" s="156"/>
      <c r="IQA76" s="156"/>
      <c r="IQB76" s="156"/>
      <c r="IQC76" s="156"/>
      <c r="IQD76" s="156"/>
      <c r="IQE76" s="156"/>
      <c r="IQF76" s="156"/>
      <c r="IQG76" s="156"/>
      <c r="IQH76" s="156"/>
      <c r="IQI76" s="156"/>
      <c r="IQJ76" s="156"/>
      <c r="IQK76" s="156"/>
      <c r="IQL76" s="156"/>
      <c r="IQM76" s="156"/>
      <c r="IQN76" s="156"/>
      <c r="IQO76" s="156"/>
      <c r="IQP76" s="156"/>
      <c r="IQQ76" s="156"/>
      <c r="IQR76" s="156"/>
      <c r="IQS76" s="156"/>
      <c r="IQT76" s="156"/>
      <c r="IQU76" s="156"/>
      <c r="IQV76" s="156"/>
      <c r="IQW76" s="156"/>
      <c r="IQX76" s="156"/>
      <c r="IQY76" s="156"/>
      <c r="IQZ76" s="156"/>
      <c r="IRA76" s="156"/>
      <c r="IRB76" s="156"/>
      <c r="IRC76" s="156"/>
      <c r="IRD76" s="156"/>
      <c r="IRE76" s="156"/>
      <c r="IRF76" s="156"/>
      <c r="IRG76" s="156"/>
      <c r="IRH76" s="156"/>
      <c r="IRI76" s="156"/>
      <c r="IRJ76" s="156"/>
      <c r="IRK76" s="156"/>
      <c r="IRL76" s="156"/>
      <c r="IRM76" s="156"/>
      <c r="IRN76" s="156"/>
      <c r="IRO76" s="156"/>
      <c r="IRP76" s="156"/>
      <c r="IRQ76" s="156"/>
      <c r="IRR76" s="156"/>
      <c r="IRS76" s="156"/>
      <c r="IRT76" s="156"/>
      <c r="IRU76" s="156"/>
      <c r="IRV76" s="156"/>
      <c r="IRW76" s="156"/>
      <c r="IRX76" s="156"/>
      <c r="IRY76" s="156"/>
      <c r="IRZ76" s="156"/>
      <c r="ISA76" s="156"/>
      <c r="ISB76" s="156"/>
      <c r="ISC76" s="156"/>
      <c r="ISD76" s="156"/>
      <c r="ISE76" s="156"/>
      <c r="ISF76" s="156"/>
      <c r="ISG76" s="156"/>
      <c r="ISH76" s="156"/>
      <c r="ISI76" s="156"/>
      <c r="ISJ76" s="156"/>
      <c r="ISK76" s="156"/>
      <c r="ISL76" s="156"/>
      <c r="ISM76" s="156"/>
      <c r="ISN76" s="156"/>
      <c r="ISO76" s="156"/>
      <c r="ISP76" s="156"/>
      <c r="ISQ76" s="156"/>
      <c r="ISR76" s="156"/>
      <c r="ISS76" s="156"/>
      <c r="IST76" s="156"/>
      <c r="ISU76" s="156"/>
      <c r="ISV76" s="156"/>
      <c r="ISW76" s="156"/>
      <c r="ISX76" s="156"/>
      <c r="ISY76" s="156"/>
      <c r="ISZ76" s="156"/>
      <c r="ITA76" s="156"/>
      <c r="ITB76" s="156"/>
      <c r="ITC76" s="156"/>
      <c r="ITD76" s="156"/>
      <c r="ITE76" s="156"/>
      <c r="ITF76" s="156"/>
      <c r="ITG76" s="156"/>
      <c r="ITH76" s="156"/>
      <c r="ITI76" s="156"/>
      <c r="ITJ76" s="156"/>
      <c r="ITK76" s="156"/>
      <c r="ITL76" s="156"/>
      <c r="ITM76" s="156"/>
      <c r="ITN76" s="156"/>
      <c r="ITO76" s="156"/>
      <c r="ITP76" s="156"/>
      <c r="ITQ76" s="156"/>
      <c r="ITR76" s="156"/>
      <c r="ITS76" s="156"/>
      <c r="ITT76" s="156"/>
      <c r="ITU76" s="156"/>
      <c r="ITV76" s="156"/>
      <c r="ITW76" s="156"/>
      <c r="ITX76" s="156"/>
      <c r="ITY76" s="156"/>
      <c r="ITZ76" s="156"/>
      <c r="IUA76" s="156"/>
      <c r="IUB76" s="156"/>
      <c r="IUC76" s="156"/>
      <c r="IUD76" s="156"/>
      <c r="IUE76" s="156"/>
      <c r="IUF76" s="156"/>
      <c r="IUG76" s="156"/>
      <c r="IUH76" s="156"/>
      <c r="IUI76" s="156"/>
      <c r="IUJ76" s="156"/>
      <c r="IUK76" s="156"/>
      <c r="IUL76" s="156"/>
      <c r="IUM76" s="156"/>
      <c r="IUN76" s="156"/>
      <c r="IUO76" s="156"/>
      <c r="IUP76" s="156"/>
      <c r="IUQ76" s="156"/>
      <c r="IUR76" s="156"/>
      <c r="IUS76" s="156"/>
      <c r="IUT76" s="156"/>
      <c r="IUU76" s="156"/>
      <c r="IUV76" s="156"/>
      <c r="IUW76" s="156"/>
      <c r="IUX76" s="156"/>
      <c r="IUY76" s="156"/>
      <c r="IUZ76" s="156"/>
      <c r="IVA76" s="156"/>
      <c r="IVB76" s="156"/>
      <c r="IVC76" s="156"/>
      <c r="IVD76" s="156"/>
      <c r="IVE76" s="156"/>
      <c r="IVF76" s="156"/>
      <c r="IVG76" s="156"/>
      <c r="IVH76" s="156"/>
      <c r="IVI76" s="156"/>
      <c r="IVJ76" s="156"/>
      <c r="IVK76" s="156"/>
      <c r="IVL76" s="156"/>
      <c r="IVM76" s="156"/>
      <c r="IVN76" s="156"/>
      <c r="IVO76" s="156"/>
      <c r="IVP76" s="156"/>
      <c r="IVQ76" s="156"/>
      <c r="IVR76" s="156"/>
      <c r="IVS76" s="156"/>
      <c r="IVT76" s="156"/>
      <c r="IVU76" s="156"/>
      <c r="IVV76" s="156"/>
      <c r="IVW76" s="156"/>
      <c r="IVX76" s="156"/>
      <c r="IVY76" s="156"/>
      <c r="IVZ76" s="156"/>
      <c r="IWA76" s="156"/>
      <c r="IWB76" s="156"/>
      <c r="IWC76" s="156"/>
      <c r="IWD76" s="156"/>
      <c r="IWE76" s="156"/>
      <c r="IWF76" s="156"/>
      <c r="IWG76" s="156"/>
      <c r="IWH76" s="156"/>
      <c r="IWI76" s="156"/>
      <c r="IWJ76" s="156"/>
      <c r="IWK76" s="156"/>
      <c r="IWL76" s="156"/>
      <c r="IWM76" s="156"/>
      <c r="IWN76" s="156"/>
      <c r="IWO76" s="156"/>
      <c r="IWP76" s="156"/>
      <c r="IWQ76" s="156"/>
      <c r="IWR76" s="156"/>
      <c r="IWS76" s="156"/>
      <c r="IWT76" s="156"/>
      <c r="IWU76" s="156"/>
      <c r="IWV76" s="156"/>
      <c r="IWW76" s="156"/>
      <c r="IWX76" s="156"/>
      <c r="IWY76" s="156"/>
      <c r="IWZ76" s="156"/>
      <c r="IXA76" s="156"/>
      <c r="IXB76" s="156"/>
      <c r="IXC76" s="156"/>
      <c r="IXD76" s="156"/>
      <c r="IXE76" s="156"/>
      <c r="IXF76" s="156"/>
      <c r="IXG76" s="156"/>
      <c r="IXH76" s="156"/>
      <c r="IXI76" s="156"/>
      <c r="IXJ76" s="156"/>
      <c r="IXK76" s="156"/>
      <c r="IXL76" s="156"/>
      <c r="IXM76" s="156"/>
      <c r="IXN76" s="156"/>
      <c r="IXO76" s="156"/>
      <c r="IXP76" s="156"/>
      <c r="IXQ76" s="156"/>
      <c r="IXR76" s="156"/>
      <c r="IXS76" s="156"/>
      <c r="IXT76" s="156"/>
      <c r="IXU76" s="156"/>
      <c r="IXV76" s="156"/>
      <c r="IXW76" s="156"/>
      <c r="IXX76" s="156"/>
      <c r="IXY76" s="156"/>
      <c r="IXZ76" s="156"/>
      <c r="IYA76" s="156"/>
      <c r="IYB76" s="156"/>
      <c r="IYC76" s="156"/>
      <c r="IYD76" s="156"/>
      <c r="IYE76" s="156"/>
      <c r="IYF76" s="156"/>
      <c r="IYG76" s="156"/>
      <c r="IYH76" s="156"/>
      <c r="IYI76" s="156"/>
      <c r="IYJ76" s="156"/>
      <c r="IYK76" s="156"/>
      <c r="IYL76" s="156"/>
      <c r="IYM76" s="156"/>
      <c r="IYN76" s="156"/>
      <c r="IYO76" s="156"/>
      <c r="IYP76" s="156"/>
      <c r="IYQ76" s="156"/>
      <c r="IYR76" s="156"/>
      <c r="IYS76" s="156"/>
      <c r="IYT76" s="156"/>
      <c r="IYU76" s="156"/>
      <c r="IYV76" s="156"/>
      <c r="IYW76" s="156"/>
      <c r="IYX76" s="156"/>
      <c r="IYY76" s="156"/>
      <c r="IYZ76" s="156"/>
      <c r="IZA76" s="156"/>
      <c r="IZB76" s="156"/>
      <c r="IZC76" s="156"/>
      <c r="IZD76" s="156"/>
      <c r="IZE76" s="156"/>
      <c r="IZF76" s="156"/>
      <c r="IZG76" s="156"/>
      <c r="IZH76" s="156"/>
      <c r="IZI76" s="156"/>
      <c r="IZJ76" s="156"/>
      <c r="IZK76" s="156"/>
      <c r="IZL76" s="156"/>
      <c r="IZM76" s="156"/>
      <c r="IZN76" s="156"/>
      <c r="IZO76" s="156"/>
      <c r="IZP76" s="156"/>
      <c r="IZQ76" s="156"/>
      <c r="IZR76" s="156"/>
      <c r="IZS76" s="156"/>
      <c r="IZT76" s="156"/>
      <c r="IZU76" s="156"/>
      <c r="IZV76" s="156"/>
      <c r="IZW76" s="156"/>
      <c r="IZX76" s="156"/>
      <c r="IZY76" s="156"/>
      <c r="IZZ76" s="156"/>
      <c r="JAA76" s="156"/>
      <c r="JAB76" s="156"/>
      <c r="JAC76" s="156"/>
      <c r="JAD76" s="156"/>
      <c r="JAE76" s="156"/>
      <c r="JAF76" s="156"/>
      <c r="JAG76" s="156"/>
      <c r="JAH76" s="156"/>
      <c r="JAI76" s="156"/>
      <c r="JAJ76" s="156"/>
      <c r="JAK76" s="156"/>
      <c r="JAL76" s="156"/>
      <c r="JAM76" s="156"/>
      <c r="JAN76" s="156"/>
      <c r="JAO76" s="156"/>
      <c r="JAP76" s="156"/>
      <c r="JAQ76" s="156"/>
      <c r="JAR76" s="156"/>
      <c r="JAS76" s="156"/>
      <c r="JAT76" s="156"/>
      <c r="JAU76" s="156"/>
      <c r="JAV76" s="156"/>
      <c r="JAW76" s="156"/>
      <c r="JAX76" s="156"/>
      <c r="JAY76" s="156"/>
      <c r="JAZ76" s="156"/>
      <c r="JBA76" s="156"/>
      <c r="JBB76" s="156"/>
      <c r="JBC76" s="156"/>
      <c r="JBD76" s="156"/>
      <c r="JBE76" s="156"/>
      <c r="JBF76" s="156"/>
      <c r="JBG76" s="156"/>
      <c r="JBH76" s="156"/>
      <c r="JBI76" s="156"/>
      <c r="JBJ76" s="156"/>
      <c r="JBK76" s="156"/>
      <c r="JBL76" s="156"/>
      <c r="JBM76" s="156"/>
      <c r="JBN76" s="156"/>
      <c r="JBO76" s="156"/>
      <c r="JBP76" s="156"/>
      <c r="JBQ76" s="156"/>
      <c r="JBR76" s="156"/>
      <c r="JBS76" s="156"/>
      <c r="JBT76" s="156"/>
      <c r="JBU76" s="156"/>
      <c r="JBV76" s="156"/>
      <c r="JBW76" s="156"/>
      <c r="JBX76" s="156"/>
      <c r="JBY76" s="156"/>
      <c r="JBZ76" s="156"/>
      <c r="JCA76" s="156"/>
      <c r="JCB76" s="156"/>
      <c r="JCC76" s="156"/>
      <c r="JCD76" s="156"/>
      <c r="JCE76" s="156"/>
      <c r="JCF76" s="156"/>
      <c r="JCG76" s="156"/>
      <c r="JCH76" s="156"/>
      <c r="JCI76" s="156"/>
      <c r="JCJ76" s="156"/>
      <c r="JCK76" s="156"/>
      <c r="JCL76" s="156"/>
      <c r="JCM76" s="156"/>
      <c r="JCN76" s="156"/>
      <c r="JCO76" s="156"/>
      <c r="JCP76" s="156"/>
      <c r="JCQ76" s="156"/>
      <c r="JCR76" s="156"/>
      <c r="JCS76" s="156"/>
      <c r="JCT76" s="156"/>
      <c r="JCU76" s="156"/>
      <c r="JCV76" s="156"/>
      <c r="JCW76" s="156"/>
      <c r="JCX76" s="156"/>
      <c r="JCY76" s="156"/>
      <c r="JCZ76" s="156"/>
      <c r="JDA76" s="156"/>
      <c r="JDB76" s="156"/>
      <c r="JDC76" s="156"/>
      <c r="JDD76" s="156"/>
      <c r="JDE76" s="156"/>
      <c r="JDF76" s="156"/>
      <c r="JDG76" s="156"/>
      <c r="JDH76" s="156"/>
      <c r="JDI76" s="156"/>
      <c r="JDJ76" s="156"/>
      <c r="JDK76" s="156"/>
      <c r="JDL76" s="156"/>
      <c r="JDM76" s="156"/>
      <c r="JDN76" s="156"/>
      <c r="JDO76" s="156"/>
      <c r="JDP76" s="156"/>
      <c r="JDQ76" s="156"/>
      <c r="JDR76" s="156"/>
      <c r="JDS76" s="156"/>
      <c r="JDT76" s="156"/>
      <c r="JDU76" s="156"/>
      <c r="JDV76" s="156"/>
      <c r="JDW76" s="156"/>
      <c r="JDX76" s="156"/>
      <c r="JDY76" s="156"/>
      <c r="JDZ76" s="156"/>
      <c r="JEA76" s="156"/>
      <c r="JEB76" s="156"/>
      <c r="JEC76" s="156"/>
      <c r="JED76" s="156"/>
      <c r="JEE76" s="156"/>
      <c r="JEF76" s="156"/>
      <c r="JEG76" s="156"/>
      <c r="JEH76" s="156"/>
      <c r="JEI76" s="156"/>
      <c r="JEJ76" s="156"/>
      <c r="JEK76" s="156"/>
      <c r="JEL76" s="156"/>
      <c r="JEM76" s="156"/>
      <c r="JEN76" s="156"/>
      <c r="JEO76" s="156"/>
      <c r="JEP76" s="156"/>
      <c r="JEQ76" s="156"/>
      <c r="JER76" s="156"/>
      <c r="JES76" s="156"/>
      <c r="JET76" s="156"/>
      <c r="JEU76" s="156"/>
      <c r="JEV76" s="156"/>
      <c r="JEW76" s="156"/>
      <c r="JEX76" s="156"/>
      <c r="JEY76" s="156"/>
      <c r="JEZ76" s="156"/>
      <c r="JFA76" s="156"/>
      <c r="JFB76" s="156"/>
      <c r="JFC76" s="156"/>
      <c r="JFD76" s="156"/>
      <c r="JFE76" s="156"/>
      <c r="JFF76" s="156"/>
      <c r="JFG76" s="156"/>
      <c r="JFH76" s="156"/>
      <c r="JFI76" s="156"/>
      <c r="JFJ76" s="156"/>
      <c r="JFK76" s="156"/>
      <c r="JFL76" s="156"/>
      <c r="JFM76" s="156"/>
      <c r="JFN76" s="156"/>
      <c r="JFO76" s="156"/>
      <c r="JFP76" s="156"/>
      <c r="JFQ76" s="156"/>
      <c r="JFR76" s="156"/>
      <c r="JFS76" s="156"/>
      <c r="JFT76" s="156"/>
      <c r="JFU76" s="156"/>
      <c r="JFV76" s="156"/>
      <c r="JFW76" s="156"/>
      <c r="JFX76" s="156"/>
      <c r="JFY76" s="156"/>
      <c r="JFZ76" s="156"/>
      <c r="JGA76" s="156"/>
      <c r="JGB76" s="156"/>
      <c r="JGC76" s="156"/>
      <c r="JGD76" s="156"/>
      <c r="JGE76" s="156"/>
      <c r="JGF76" s="156"/>
      <c r="JGG76" s="156"/>
      <c r="JGH76" s="156"/>
      <c r="JGI76" s="156"/>
      <c r="JGJ76" s="156"/>
      <c r="JGK76" s="156"/>
      <c r="JGL76" s="156"/>
      <c r="JGM76" s="156"/>
      <c r="JGN76" s="156"/>
      <c r="JGO76" s="156"/>
      <c r="JGP76" s="156"/>
      <c r="JGQ76" s="156"/>
      <c r="JGR76" s="156"/>
      <c r="JGS76" s="156"/>
      <c r="JGT76" s="156"/>
      <c r="JGU76" s="156"/>
      <c r="JGV76" s="156"/>
      <c r="JGW76" s="156"/>
      <c r="JGX76" s="156"/>
      <c r="JGY76" s="156"/>
      <c r="JGZ76" s="156"/>
      <c r="JHA76" s="156"/>
      <c r="JHB76" s="156"/>
      <c r="JHC76" s="156"/>
      <c r="JHD76" s="156"/>
      <c r="JHE76" s="156"/>
      <c r="JHF76" s="156"/>
      <c r="JHG76" s="156"/>
      <c r="JHH76" s="156"/>
      <c r="JHI76" s="156"/>
      <c r="JHJ76" s="156"/>
      <c r="JHK76" s="156"/>
      <c r="JHL76" s="156"/>
      <c r="JHM76" s="156"/>
      <c r="JHN76" s="156"/>
      <c r="JHO76" s="156"/>
      <c r="JHP76" s="156"/>
      <c r="JHQ76" s="156"/>
      <c r="JHR76" s="156"/>
      <c r="JHS76" s="156"/>
      <c r="JHT76" s="156"/>
      <c r="JHU76" s="156"/>
      <c r="JHV76" s="156"/>
      <c r="JHW76" s="156"/>
      <c r="JHX76" s="156"/>
      <c r="JHY76" s="156"/>
      <c r="JHZ76" s="156"/>
      <c r="JIA76" s="156"/>
      <c r="JIB76" s="156"/>
      <c r="JIC76" s="156"/>
      <c r="JID76" s="156"/>
      <c r="JIE76" s="156"/>
      <c r="JIF76" s="156"/>
      <c r="JIG76" s="156"/>
      <c r="JIH76" s="156"/>
      <c r="JII76" s="156"/>
      <c r="JIJ76" s="156"/>
      <c r="JIK76" s="156"/>
      <c r="JIL76" s="156"/>
      <c r="JIM76" s="156"/>
      <c r="JIN76" s="156"/>
      <c r="JIO76" s="156"/>
      <c r="JIP76" s="156"/>
      <c r="JIQ76" s="156"/>
      <c r="JIR76" s="156"/>
      <c r="JIS76" s="156"/>
      <c r="JIT76" s="156"/>
      <c r="JIU76" s="156"/>
      <c r="JIV76" s="156"/>
      <c r="JIW76" s="156"/>
      <c r="JIX76" s="156"/>
      <c r="JIY76" s="156"/>
      <c r="JIZ76" s="156"/>
      <c r="JJA76" s="156"/>
      <c r="JJB76" s="156"/>
      <c r="JJC76" s="156"/>
      <c r="JJD76" s="156"/>
      <c r="JJE76" s="156"/>
      <c r="JJF76" s="156"/>
      <c r="JJG76" s="156"/>
      <c r="JJH76" s="156"/>
      <c r="JJI76" s="156"/>
      <c r="JJJ76" s="156"/>
      <c r="JJK76" s="156"/>
      <c r="JJL76" s="156"/>
      <c r="JJM76" s="156"/>
      <c r="JJN76" s="156"/>
      <c r="JJO76" s="156"/>
      <c r="JJP76" s="156"/>
      <c r="JJQ76" s="156"/>
      <c r="JJR76" s="156"/>
      <c r="JJS76" s="156"/>
      <c r="JJT76" s="156"/>
      <c r="JJU76" s="156"/>
      <c r="JJV76" s="156"/>
      <c r="JJW76" s="156"/>
      <c r="JJX76" s="156"/>
      <c r="JJY76" s="156"/>
      <c r="JJZ76" s="156"/>
      <c r="JKA76" s="156"/>
      <c r="JKB76" s="156"/>
      <c r="JKC76" s="156"/>
      <c r="JKD76" s="156"/>
      <c r="JKE76" s="156"/>
      <c r="JKF76" s="156"/>
      <c r="JKG76" s="156"/>
      <c r="JKH76" s="156"/>
      <c r="JKI76" s="156"/>
      <c r="JKJ76" s="156"/>
      <c r="JKK76" s="156"/>
      <c r="JKL76" s="156"/>
      <c r="JKM76" s="156"/>
      <c r="JKN76" s="156"/>
      <c r="JKO76" s="156"/>
      <c r="JKP76" s="156"/>
      <c r="JKQ76" s="156"/>
      <c r="JKR76" s="156"/>
      <c r="JKS76" s="156"/>
      <c r="JKT76" s="156"/>
      <c r="JKU76" s="156"/>
      <c r="JKV76" s="156"/>
      <c r="JKW76" s="156"/>
      <c r="JKX76" s="156"/>
      <c r="JKY76" s="156"/>
      <c r="JKZ76" s="156"/>
      <c r="JLA76" s="156"/>
      <c r="JLB76" s="156"/>
      <c r="JLC76" s="156"/>
      <c r="JLD76" s="156"/>
      <c r="JLE76" s="156"/>
      <c r="JLF76" s="156"/>
      <c r="JLG76" s="156"/>
      <c r="JLH76" s="156"/>
      <c r="JLI76" s="156"/>
      <c r="JLJ76" s="156"/>
      <c r="JLK76" s="156"/>
      <c r="JLL76" s="156"/>
      <c r="JLM76" s="156"/>
      <c r="JLN76" s="156"/>
      <c r="JLO76" s="156"/>
      <c r="JLP76" s="156"/>
      <c r="JLQ76" s="156"/>
      <c r="JLR76" s="156"/>
      <c r="JLS76" s="156"/>
      <c r="JLT76" s="156"/>
      <c r="JLU76" s="156"/>
      <c r="JLV76" s="156"/>
      <c r="JLW76" s="156"/>
      <c r="JLX76" s="156"/>
      <c r="JLY76" s="156"/>
      <c r="JLZ76" s="156"/>
      <c r="JMA76" s="156"/>
      <c r="JMB76" s="156"/>
      <c r="JMC76" s="156"/>
      <c r="JMD76" s="156"/>
      <c r="JME76" s="156"/>
      <c r="JMF76" s="156"/>
      <c r="JMG76" s="156"/>
      <c r="JMH76" s="156"/>
      <c r="JMI76" s="156"/>
      <c r="JMJ76" s="156"/>
      <c r="JMK76" s="156"/>
      <c r="JML76" s="156"/>
      <c r="JMM76" s="156"/>
      <c r="JMN76" s="156"/>
      <c r="JMO76" s="156"/>
      <c r="JMP76" s="156"/>
      <c r="JMQ76" s="156"/>
      <c r="JMR76" s="156"/>
      <c r="JMS76" s="156"/>
      <c r="JMT76" s="156"/>
      <c r="JMU76" s="156"/>
      <c r="JMV76" s="156"/>
      <c r="JMW76" s="156"/>
      <c r="JMX76" s="156"/>
      <c r="JMY76" s="156"/>
      <c r="JMZ76" s="156"/>
      <c r="JNA76" s="156"/>
      <c r="JNB76" s="156"/>
      <c r="JNC76" s="156"/>
      <c r="JND76" s="156"/>
      <c r="JNE76" s="156"/>
      <c r="JNF76" s="156"/>
      <c r="JNG76" s="156"/>
      <c r="JNH76" s="156"/>
      <c r="JNI76" s="156"/>
      <c r="JNJ76" s="156"/>
      <c r="JNK76" s="156"/>
      <c r="JNL76" s="156"/>
      <c r="JNM76" s="156"/>
      <c r="JNN76" s="156"/>
      <c r="JNO76" s="156"/>
      <c r="JNP76" s="156"/>
      <c r="JNQ76" s="156"/>
      <c r="JNR76" s="156"/>
      <c r="JNS76" s="156"/>
      <c r="JNT76" s="156"/>
      <c r="JNU76" s="156"/>
      <c r="JNV76" s="156"/>
      <c r="JNW76" s="156"/>
      <c r="JNX76" s="156"/>
      <c r="JNY76" s="156"/>
      <c r="JNZ76" s="156"/>
      <c r="JOA76" s="156"/>
      <c r="JOB76" s="156"/>
      <c r="JOC76" s="156"/>
      <c r="JOD76" s="156"/>
      <c r="JOE76" s="156"/>
      <c r="JOF76" s="156"/>
      <c r="JOG76" s="156"/>
      <c r="JOH76" s="156"/>
      <c r="JOI76" s="156"/>
      <c r="JOJ76" s="156"/>
      <c r="JOK76" s="156"/>
      <c r="JOL76" s="156"/>
      <c r="JOM76" s="156"/>
      <c r="JON76" s="156"/>
      <c r="JOO76" s="156"/>
      <c r="JOP76" s="156"/>
      <c r="JOQ76" s="156"/>
      <c r="JOR76" s="156"/>
      <c r="JOS76" s="156"/>
      <c r="JOT76" s="156"/>
      <c r="JOU76" s="156"/>
      <c r="JOV76" s="156"/>
      <c r="JOW76" s="156"/>
      <c r="JOX76" s="156"/>
      <c r="JOY76" s="156"/>
      <c r="JOZ76" s="156"/>
      <c r="JPA76" s="156"/>
      <c r="JPB76" s="156"/>
      <c r="JPC76" s="156"/>
      <c r="JPD76" s="156"/>
      <c r="JPE76" s="156"/>
      <c r="JPF76" s="156"/>
      <c r="JPG76" s="156"/>
      <c r="JPH76" s="156"/>
      <c r="JPI76" s="156"/>
      <c r="JPJ76" s="156"/>
      <c r="JPK76" s="156"/>
      <c r="JPL76" s="156"/>
      <c r="JPM76" s="156"/>
      <c r="JPN76" s="156"/>
      <c r="JPO76" s="156"/>
      <c r="JPP76" s="156"/>
      <c r="JPQ76" s="156"/>
      <c r="JPR76" s="156"/>
      <c r="JPS76" s="156"/>
      <c r="JPT76" s="156"/>
      <c r="JPU76" s="156"/>
      <c r="JPV76" s="156"/>
      <c r="JPW76" s="156"/>
      <c r="JPX76" s="156"/>
      <c r="JPY76" s="156"/>
      <c r="JPZ76" s="156"/>
      <c r="JQA76" s="156"/>
      <c r="JQB76" s="156"/>
      <c r="JQC76" s="156"/>
      <c r="JQD76" s="156"/>
      <c r="JQE76" s="156"/>
      <c r="JQF76" s="156"/>
      <c r="JQG76" s="156"/>
      <c r="JQH76" s="156"/>
      <c r="JQI76" s="156"/>
      <c r="JQJ76" s="156"/>
      <c r="JQK76" s="156"/>
      <c r="JQL76" s="156"/>
      <c r="JQM76" s="156"/>
      <c r="JQN76" s="156"/>
      <c r="JQO76" s="156"/>
      <c r="JQP76" s="156"/>
      <c r="JQQ76" s="156"/>
      <c r="JQR76" s="156"/>
      <c r="JQS76" s="156"/>
      <c r="JQT76" s="156"/>
      <c r="JQU76" s="156"/>
      <c r="JQV76" s="156"/>
      <c r="JQW76" s="156"/>
      <c r="JQX76" s="156"/>
      <c r="JQY76" s="156"/>
      <c r="JQZ76" s="156"/>
      <c r="JRA76" s="156"/>
      <c r="JRB76" s="156"/>
      <c r="JRC76" s="156"/>
      <c r="JRD76" s="156"/>
      <c r="JRE76" s="156"/>
      <c r="JRF76" s="156"/>
      <c r="JRG76" s="156"/>
      <c r="JRH76" s="156"/>
      <c r="JRI76" s="156"/>
      <c r="JRJ76" s="156"/>
      <c r="JRK76" s="156"/>
      <c r="JRL76" s="156"/>
      <c r="JRM76" s="156"/>
      <c r="JRN76" s="156"/>
      <c r="JRO76" s="156"/>
      <c r="JRP76" s="156"/>
      <c r="JRQ76" s="156"/>
      <c r="JRR76" s="156"/>
      <c r="JRS76" s="156"/>
      <c r="JRT76" s="156"/>
      <c r="JRU76" s="156"/>
      <c r="JRV76" s="156"/>
      <c r="JRW76" s="156"/>
      <c r="JRX76" s="156"/>
      <c r="JRY76" s="156"/>
      <c r="JRZ76" s="156"/>
      <c r="JSA76" s="156"/>
      <c r="JSB76" s="156"/>
      <c r="JSC76" s="156"/>
      <c r="JSD76" s="156"/>
      <c r="JSE76" s="156"/>
      <c r="JSF76" s="156"/>
      <c r="JSG76" s="156"/>
      <c r="JSH76" s="156"/>
      <c r="JSI76" s="156"/>
      <c r="JSJ76" s="156"/>
      <c r="JSK76" s="156"/>
      <c r="JSL76" s="156"/>
      <c r="JSM76" s="156"/>
      <c r="JSN76" s="156"/>
      <c r="JSO76" s="156"/>
      <c r="JSP76" s="156"/>
      <c r="JSQ76" s="156"/>
      <c r="JSR76" s="156"/>
      <c r="JSS76" s="156"/>
      <c r="JST76" s="156"/>
      <c r="JSU76" s="156"/>
      <c r="JSV76" s="156"/>
      <c r="JSW76" s="156"/>
      <c r="JSX76" s="156"/>
      <c r="JSY76" s="156"/>
      <c r="JSZ76" s="156"/>
      <c r="JTA76" s="156"/>
      <c r="JTB76" s="156"/>
      <c r="JTC76" s="156"/>
      <c r="JTD76" s="156"/>
      <c r="JTE76" s="156"/>
      <c r="JTF76" s="156"/>
      <c r="JTG76" s="156"/>
      <c r="JTH76" s="156"/>
      <c r="JTI76" s="156"/>
      <c r="JTJ76" s="156"/>
      <c r="JTK76" s="156"/>
      <c r="JTL76" s="156"/>
      <c r="JTM76" s="156"/>
      <c r="JTN76" s="156"/>
      <c r="JTO76" s="156"/>
      <c r="JTP76" s="156"/>
      <c r="JTQ76" s="156"/>
      <c r="JTR76" s="156"/>
      <c r="JTS76" s="156"/>
      <c r="JTT76" s="156"/>
      <c r="JTU76" s="156"/>
      <c r="JTV76" s="156"/>
      <c r="JTW76" s="156"/>
      <c r="JTX76" s="156"/>
      <c r="JTY76" s="156"/>
      <c r="JTZ76" s="156"/>
      <c r="JUA76" s="156"/>
      <c r="JUB76" s="156"/>
      <c r="JUC76" s="156"/>
      <c r="JUD76" s="156"/>
      <c r="JUE76" s="156"/>
      <c r="JUF76" s="156"/>
      <c r="JUG76" s="156"/>
      <c r="JUH76" s="156"/>
      <c r="JUI76" s="156"/>
      <c r="JUJ76" s="156"/>
      <c r="JUK76" s="156"/>
      <c r="JUL76" s="156"/>
      <c r="JUM76" s="156"/>
      <c r="JUN76" s="156"/>
      <c r="JUO76" s="156"/>
      <c r="JUP76" s="156"/>
      <c r="JUQ76" s="156"/>
      <c r="JUR76" s="156"/>
      <c r="JUS76" s="156"/>
      <c r="JUT76" s="156"/>
      <c r="JUU76" s="156"/>
      <c r="JUV76" s="156"/>
      <c r="JUW76" s="156"/>
      <c r="JUX76" s="156"/>
      <c r="JUY76" s="156"/>
      <c r="JUZ76" s="156"/>
      <c r="JVA76" s="156"/>
      <c r="JVB76" s="156"/>
      <c r="JVC76" s="156"/>
      <c r="JVD76" s="156"/>
      <c r="JVE76" s="156"/>
      <c r="JVF76" s="156"/>
      <c r="JVG76" s="156"/>
      <c r="JVH76" s="156"/>
      <c r="JVI76" s="156"/>
      <c r="JVJ76" s="156"/>
      <c r="JVK76" s="156"/>
      <c r="JVL76" s="156"/>
      <c r="JVM76" s="156"/>
      <c r="JVN76" s="156"/>
      <c r="JVO76" s="156"/>
      <c r="JVP76" s="156"/>
      <c r="JVQ76" s="156"/>
      <c r="JVR76" s="156"/>
      <c r="JVS76" s="156"/>
      <c r="JVT76" s="156"/>
      <c r="JVU76" s="156"/>
      <c r="JVV76" s="156"/>
      <c r="JVW76" s="156"/>
      <c r="JVX76" s="156"/>
      <c r="JVY76" s="156"/>
      <c r="JVZ76" s="156"/>
      <c r="JWA76" s="156"/>
      <c r="JWB76" s="156"/>
      <c r="JWC76" s="156"/>
      <c r="JWD76" s="156"/>
      <c r="JWE76" s="156"/>
      <c r="JWF76" s="156"/>
      <c r="JWG76" s="156"/>
      <c r="JWH76" s="156"/>
      <c r="JWI76" s="156"/>
      <c r="JWJ76" s="156"/>
      <c r="JWK76" s="156"/>
      <c r="JWL76" s="156"/>
      <c r="JWM76" s="156"/>
      <c r="JWN76" s="156"/>
      <c r="JWO76" s="156"/>
      <c r="JWP76" s="156"/>
      <c r="JWQ76" s="156"/>
      <c r="JWR76" s="156"/>
      <c r="JWS76" s="156"/>
      <c r="JWT76" s="156"/>
      <c r="JWU76" s="156"/>
      <c r="JWV76" s="156"/>
      <c r="JWW76" s="156"/>
      <c r="JWX76" s="156"/>
      <c r="JWY76" s="156"/>
      <c r="JWZ76" s="156"/>
      <c r="JXA76" s="156"/>
      <c r="JXB76" s="156"/>
      <c r="JXC76" s="156"/>
      <c r="JXD76" s="156"/>
      <c r="JXE76" s="156"/>
      <c r="JXF76" s="156"/>
      <c r="JXG76" s="156"/>
      <c r="JXH76" s="156"/>
      <c r="JXI76" s="156"/>
      <c r="JXJ76" s="156"/>
      <c r="JXK76" s="156"/>
      <c r="JXL76" s="156"/>
      <c r="JXM76" s="156"/>
      <c r="JXN76" s="156"/>
      <c r="JXO76" s="156"/>
      <c r="JXP76" s="156"/>
      <c r="JXQ76" s="156"/>
      <c r="JXR76" s="156"/>
      <c r="JXS76" s="156"/>
      <c r="JXT76" s="156"/>
      <c r="JXU76" s="156"/>
      <c r="JXV76" s="156"/>
      <c r="JXW76" s="156"/>
      <c r="JXX76" s="156"/>
      <c r="JXY76" s="156"/>
      <c r="JXZ76" s="156"/>
      <c r="JYA76" s="156"/>
      <c r="JYB76" s="156"/>
      <c r="JYC76" s="156"/>
      <c r="JYD76" s="156"/>
      <c r="JYE76" s="156"/>
      <c r="JYF76" s="156"/>
      <c r="JYG76" s="156"/>
      <c r="JYH76" s="156"/>
      <c r="JYI76" s="156"/>
      <c r="JYJ76" s="156"/>
      <c r="JYK76" s="156"/>
      <c r="JYL76" s="156"/>
      <c r="JYM76" s="156"/>
      <c r="JYN76" s="156"/>
      <c r="JYO76" s="156"/>
      <c r="JYP76" s="156"/>
      <c r="JYQ76" s="156"/>
      <c r="JYR76" s="156"/>
      <c r="JYS76" s="156"/>
      <c r="JYT76" s="156"/>
      <c r="JYU76" s="156"/>
      <c r="JYV76" s="156"/>
      <c r="JYW76" s="156"/>
      <c r="JYX76" s="156"/>
      <c r="JYY76" s="156"/>
      <c r="JYZ76" s="156"/>
      <c r="JZA76" s="156"/>
      <c r="JZB76" s="156"/>
      <c r="JZC76" s="156"/>
      <c r="JZD76" s="156"/>
      <c r="JZE76" s="156"/>
      <c r="JZF76" s="156"/>
      <c r="JZG76" s="156"/>
      <c r="JZH76" s="156"/>
      <c r="JZI76" s="156"/>
      <c r="JZJ76" s="156"/>
      <c r="JZK76" s="156"/>
      <c r="JZL76" s="156"/>
      <c r="JZM76" s="156"/>
      <c r="JZN76" s="156"/>
      <c r="JZO76" s="156"/>
      <c r="JZP76" s="156"/>
      <c r="JZQ76" s="156"/>
      <c r="JZR76" s="156"/>
      <c r="JZS76" s="156"/>
      <c r="JZT76" s="156"/>
      <c r="JZU76" s="156"/>
      <c r="JZV76" s="156"/>
      <c r="JZW76" s="156"/>
      <c r="JZX76" s="156"/>
      <c r="JZY76" s="156"/>
      <c r="JZZ76" s="156"/>
      <c r="KAA76" s="156"/>
      <c r="KAB76" s="156"/>
      <c r="KAC76" s="156"/>
      <c r="KAD76" s="156"/>
      <c r="KAE76" s="156"/>
      <c r="KAF76" s="156"/>
      <c r="KAG76" s="156"/>
      <c r="KAH76" s="156"/>
      <c r="KAI76" s="156"/>
      <c r="KAJ76" s="156"/>
      <c r="KAK76" s="156"/>
      <c r="KAL76" s="156"/>
      <c r="KAM76" s="156"/>
      <c r="KAN76" s="156"/>
      <c r="KAO76" s="156"/>
      <c r="KAP76" s="156"/>
      <c r="KAQ76" s="156"/>
      <c r="KAR76" s="156"/>
      <c r="KAS76" s="156"/>
      <c r="KAT76" s="156"/>
      <c r="KAU76" s="156"/>
      <c r="KAV76" s="156"/>
      <c r="KAW76" s="156"/>
      <c r="KAX76" s="156"/>
      <c r="KAY76" s="156"/>
      <c r="KAZ76" s="156"/>
      <c r="KBA76" s="156"/>
      <c r="KBB76" s="156"/>
      <c r="KBC76" s="156"/>
      <c r="KBD76" s="156"/>
      <c r="KBE76" s="156"/>
      <c r="KBF76" s="156"/>
      <c r="KBG76" s="156"/>
      <c r="KBH76" s="156"/>
      <c r="KBI76" s="156"/>
      <c r="KBJ76" s="156"/>
      <c r="KBK76" s="156"/>
      <c r="KBL76" s="156"/>
      <c r="KBM76" s="156"/>
      <c r="KBN76" s="156"/>
      <c r="KBO76" s="156"/>
      <c r="KBP76" s="156"/>
      <c r="KBQ76" s="156"/>
      <c r="KBR76" s="156"/>
      <c r="KBS76" s="156"/>
      <c r="KBT76" s="156"/>
      <c r="KBU76" s="156"/>
      <c r="KBV76" s="156"/>
      <c r="KBW76" s="156"/>
      <c r="KBX76" s="156"/>
      <c r="KBY76" s="156"/>
      <c r="KBZ76" s="156"/>
      <c r="KCA76" s="156"/>
      <c r="KCB76" s="156"/>
      <c r="KCC76" s="156"/>
      <c r="KCD76" s="156"/>
      <c r="KCE76" s="156"/>
      <c r="KCF76" s="156"/>
      <c r="KCG76" s="156"/>
      <c r="KCH76" s="156"/>
      <c r="KCI76" s="156"/>
      <c r="KCJ76" s="156"/>
      <c r="KCK76" s="156"/>
      <c r="KCL76" s="156"/>
      <c r="KCM76" s="156"/>
      <c r="KCN76" s="156"/>
      <c r="KCO76" s="156"/>
      <c r="KCP76" s="156"/>
      <c r="KCQ76" s="156"/>
      <c r="KCR76" s="156"/>
      <c r="KCS76" s="156"/>
      <c r="KCT76" s="156"/>
      <c r="KCU76" s="156"/>
      <c r="KCV76" s="156"/>
      <c r="KCW76" s="156"/>
      <c r="KCX76" s="156"/>
      <c r="KCY76" s="156"/>
      <c r="KCZ76" s="156"/>
      <c r="KDA76" s="156"/>
      <c r="KDB76" s="156"/>
      <c r="KDC76" s="156"/>
      <c r="KDD76" s="156"/>
      <c r="KDE76" s="156"/>
      <c r="KDF76" s="156"/>
      <c r="KDG76" s="156"/>
      <c r="KDH76" s="156"/>
      <c r="KDI76" s="156"/>
      <c r="KDJ76" s="156"/>
      <c r="KDK76" s="156"/>
      <c r="KDL76" s="156"/>
      <c r="KDM76" s="156"/>
      <c r="KDN76" s="156"/>
      <c r="KDO76" s="156"/>
      <c r="KDP76" s="156"/>
      <c r="KDQ76" s="156"/>
      <c r="KDR76" s="156"/>
      <c r="KDS76" s="156"/>
      <c r="KDT76" s="156"/>
      <c r="KDU76" s="156"/>
      <c r="KDV76" s="156"/>
      <c r="KDW76" s="156"/>
      <c r="KDX76" s="156"/>
      <c r="KDY76" s="156"/>
      <c r="KDZ76" s="156"/>
      <c r="KEA76" s="156"/>
      <c r="KEB76" s="156"/>
      <c r="KEC76" s="156"/>
      <c r="KED76" s="156"/>
      <c r="KEE76" s="156"/>
      <c r="KEF76" s="156"/>
      <c r="KEG76" s="156"/>
      <c r="KEH76" s="156"/>
      <c r="KEI76" s="156"/>
      <c r="KEJ76" s="156"/>
      <c r="KEK76" s="156"/>
      <c r="KEL76" s="156"/>
      <c r="KEM76" s="156"/>
      <c r="KEN76" s="156"/>
      <c r="KEO76" s="156"/>
      <c r="KEP76" s="156"/>
      <c r="KEQ76" s="156"/>
      <c r="KER76" s="156"/>
      <c r="KES76" s="156"/>
      <c r="KET76" s="156"/>
      <c r="KEU76" s="156"/>
      <c r="KEV76" s="156"/>
      <c r="KEW76" s="156"/>
      <c r="KEX76" s="156"/>
      <c r="KEY76" s="156"/>
      <c r="KEZ76" s="156"/>
      <c r="KFA76" s="156"/>
      <c r="KFB76" s="156"/>
      <c r="KFC76" s="156"/>
      <c r="KFD76" s="156"/>
      <c r="KFE76" s="156"/>
      <c r="KFF76" s="156"/>
      <c r="KFG76" s="156"/>
      <c r="KFH76" s="156"/>
      <c r="KFI76" s="156"/>
      <c r="KFJ76" s="156"/>
      <c r="KFK76" s="156"/>
      <c r="KFL76" s="156"/>
      <c r="KFM76" s="156"/>
      <c r="KFN76" s="156"/>
      <c r="KFO76" s="156"/>
      <c r="KFP76" s="156"/>
      <c r="KFQ76" s="156"/>
      <c r="KFR76" s="156"/>
      <c r="KFS76" s="156"/>
      <c r="KFT76" s="156"/>
      <c r="KFU76" s="156"/>
      <c r="KFV76" s="156"/>
      <c r="KFW76" s="156"/>
      <c r="KFX76" s="156"/>
      <c r="KFY76" s="156"/>
      <c r="KFZ76" s="156"/>
      <c r="KGA76" s="156"/>
      <c r="KGB76" s="156"/>
      <c r="KGC76" s="156"/>
      <c r="KGD76" s="156"/>
      <c r="KGE76" s="156"/>
      <c r="KGF76" s="156"/>
      <c r="KGG76" s="156"/>
      <c r="KGH76" s="156"/>
      <c r="KGI76" s="156"/>
      <c r="KGJ76" s="156"/>
      <c r="KGK76" s="156"/>
      <c r="KGL76" s="156"/>
      <c r="KGM76" s="156"/>
      <c r="KGN76" s="156"/>
      <c r="KGO76" s="156"/>
      <c r="KGP76" s="156"/>
      <c r="KGQ76" s="156"/>
      <c r="KGR76" s="156"/>
      <c r="KGS76" s="156"/>
      <c r="KGT76" s="156"/>
      <c r="KGU76" s="156"/>
      <c r="KGV76" s="156"/>
      <c r="KGW76" s="156"/>
      <c r="KGX76" s="156"/>
      <c r="KGY76" s="156"/>
      <c r="KGZ76" s="156"/>
      <c r="KHA76" s="156"/>
      <c r="KHB76" s="156"/>
      <c r="KHC76" s="156"/>
      <c r="KHD76" s="156"/>
      <c r="KHE76" s="156"/>
      <c r="KHF76" s="156"/>
      <c r="KHG76" s="156"/>
      <c r="KHH76" s="156"/>
      <c r="KHI76" s="156"/>
      <c r="KHJ76" s="156"/>
      <c r="KHK76" s="156"/>
      <c r="KHL76" s="156"/>
      <c r="KHM76" s="156"/>
      <c r="KHN76" s="156"/>
      <c r="KHO76" s="156"/>
      <c r="KHP76" s="156"/>
      <c r="KHQ76" s="156"/>
      <c r="KHR76" s="156"/>
      <c r="KHS76" s="156"/>
      <c r="KHT76" s="156"/>
      <c r="KHU76" s="156"/>
      <c r="KHV76" s="156"/>
      <c r="KHW76" s="156"/>
      <c r="KHX76" s="156"/>
      <c r="KHY76" s="156"/>
      <c r="KHZ76" s="156"/>
      <c r="KIA76" s="156"/>
      <c r="KIB76" s="156"/>
      <c r="KIC76" s="156"/>
      <c r="KID76" s="156"/>
      <c r="KIE76" s="156"/>
      <c r="KIF76" s="156"/>
      <c r="KIG76" s="156"/>
      <c r="KIH76" s="156"/>
      <c r="KII76" s="156"/>
      <c r="KIJ76" s="156"/>
      <c r="KIK76" s="156"/>
      <c r="KIL76" s="156"/>
      <c r="KIM76" s="156"/>
      <c r="KIN76" s="156"/>
      <c r="KIO76" s="156"/>
      <c r="KIP76" s="156"/>
      <c r="KIQ76" s="156"/>
      <c r="KIR76" s="156"/>
      <c r="KIS76" s="156"/>
      <c r="KIT76" s="156"/>
      <c r="KIU76" s="156"/>
      <c r="KIV76" s="156"/>
      <c r="KIW76" s="156"/>
      <c r="KIX76" s="156"/>
      <c r="KIY76" s="156"/>
      <c r="KIZ76" s="156"/>
      <c r="KJA76" s="156"/>
      <c r="KJB76" s="156"/>
      <c r="KJC76" s="156"/>
      <c r="KJD76" s="156"/>
      <c r="KJE76" s="156"/>
      <c r="KJF76" s="156"/>
      <c r="KJG76" s="156"/>
      <c r="KJH76" s="156"/>
      <c r="KJI76" s="156"/>
      <c r="KJJ76" s="156"/>
      <c r="KJK76" s="156"/>
      <c r="KJL76" s="156"/>
      <c r="KJM76" s="156"/>
      <c r="KJN76" s="156"/>
      <c r="KJO76" s="156"/>
      <c r="KJP76" s="156"/>
      <c r="KJQ76" s="156"/>
      <c r="KJR76" s="156"/>
      <c r="KJS76" s="156"/>
      <c r="KJT76" s="156"/>
      <c r="KJU76" s="156"/>
      <c r="KJV76" s="156"/>
      <c r="KJW76" s="156"/>
      <c r="KJX76" s="156"/>
      <c r="KJY76" s="156"/>
      <c r="KJZ76" s="156"/>
      <c r="KKA76" s="156"/>
      <c r="KKB76" s="156"/>
      <c r="KKC76" s="156"/>
      <c r="KKD76" s="156"/>
      <c r="KKE76" s="156"/>
      <c r="KKF76" s="156"/>
      <c r="KKG76" s="156"/>
      <c r="KKH76" s="156"/>
      <c r="KKI76" s="156"/>
      <c r="KKJ76" s="156"/>
      <c r="KKK76" s="156"/>
      <c r="KKL76" s="156"/>
      <c r="KKM76" s="156"/>
      <c r="KKN76" s="156"/>
      <c r="KKO76" s="156"/>
      <c r="KKP76" s="156"/>
      <c r="KKQ76" s="156"/>
      <c r="KKR76" s="156"/>
      <c r="KKS76" s="156"/>
      <c r="KKT76" s="156"/>
      <c r="KKU76" s="156"/>
      <c r="KKV76" s="156"/>
      <c r="KKW76" s="156"/>
      <c r="KKX76" s="156"/>
      <c r="KKY76" s="156"/>
      <c r="KKZ76" s="156"/>
      <c r="KLA76" s="156"/>
      <c r="KLB76" s="156"/>
      <c r="KLC76" s="156"/>
      <c r="KLD76" s="156"/>
      <c r="KLE76" s="156"/>
      <c r="KLF76" s="156"/>
      <c r="KLG76" s="156"/>
      <c r="KLH76" s="156"/>
      <c r="KLI76" s="156"/>
      <c r="KLJ76" s="156"/>
      <c r="KLK76" s="156"/>
      <c r="KLL76" s="156"/>
      <c r="KLM76" s="156"/>
      <c r="KLN76" s="156"/>
      <c r="KLO76" s="156"/>
      <c r="KLP76" s="156"/>
      <c r="KLQ76" s="156"/>
      <c r="KLR76" s="156"/>
      <c r="KLS76" s="156"/>
      <c r="KLT76" s="156"/>
      <c r="KLU76" s="156"/>
      <c r="KLV76" s="156"/>
      <c r="KLW76" s="156"/>
      <c r="KLX76" s="156"/>
      <c r="KLY76" s="156"/>
      <c r="KLZ76" s="156"/>
      <c r="KMA76" s="156"/>
      <c r="KMB76" s="156"/>
      <c r="KMC76" s="156"/>
      <c r="KMD76" s="156"/>
      <c r="KME76" s="156"/>
      <c r="KMF76" s="156"/>
      <c r="KMG76" s="156"/>
      <c r="KMH76" s="156"/>
      <c r="KMI76" s="156"/>
      <c r="KMJ76" s="156"/>
      <c r="KMK76" s="156"/>
      <c r="KML76" s="156"/>
      <c r="KMM76" s="156"/>
      <c r="KMN76" s="156"/>
      <c r="KMO76" s="156"/>
      <c r="KMP76" s="156"/>
      <c r="KMQ76" s="156"/>
      <c r="KMR76" s="156"/>
      <c r="KMS76" s="156"/>
      <c r="KMT76" s="156"/>
      <c r="KMU76" s="156"/>
      <c r="KMV76" s="156"/>
      <c r="KMW76" s="156"/>
      <c r="KMX76" s="156"/>
      <c r="KMY76" s="156"/>
      <c r="KMZ76" s="156"/>
      <c r="KNA76" s="156"/>
      <c r="KNB76" s="156"/>
      <c r="KNC76" s="156"/>
      <c r="KND76" s="156"/>
      <c r="KNE76" s="156"/>
      <c r="KNF76" s="156"/>
      <c r="KNG76" s="156"/>
      <c r="KNH76" s="156"/>
      <c r="KNI76" s="156"/>
      <c r="KNJ76" s="156"/>
      <c r="KNK76" s="156"/>
      <c r="KNL76" s="156"/>
      <c r="KNM76" s="156"/>
      <c r="KNN76" s="156"/>
      <c r="KNO76" s="156"/>
      <c r="KNP76" s="156"/>
      <c r="KNQ76" s="156"/>
      <c r="KNR76" s="156"/>
      <c r="KNS76" s="156"/>
      <c r="KNT76" s="156"/>
      <c r="KNU76" s="156"/>
      <c r="KNV76" s="156"/>
      <c r="KNW76" s="156"/>
      <c r="KNX76" s="156"/>
      <c r="KNY76" s="156"/>
      <c r="KNZ76" s="156"/>
      <c r="KOA76" s="156"/>
      <c r="KOB76" s="156"/>
      <c r="KOC76" s="156"/>
      <c r="KOD76" s="156"/>
      <c r="KOE76" s="156"/>
      <c r="KOF76" s="156"/>
      <c r="KOG76" s="156"/>
      <c r="KOH76" s="156"/>
      <c r="KOI76" s="156"/>
      <c r="KOJ76" s="156"/>
      <c r="KOK76" s="156"/>
      <c r="KOL76" s="156"/>
      <c r="KOM76" s="156"/>
      <c r="KON76" s="156"/>
      <c r="KOO76" s="156"/>
      <c r="KOP76" s="156"/>
      <c r="KOQ76" s="156"/>
      <c r="KOR76" s="156"/>
      <c r="KOS76" s="156"/>
      <c r="KOT76" s="156"/>
      <c r="KOU76" s="156"/>
      <c r="KOV76" s="156"/>
      <c r="KOW76" s="156"/>
      <c r="KOX76" s="156"/>
      <c r="KOY76" s="156"/>
      <c r="KOZ76" s="156"/>
      <c r="KPA76" s="156"/>
      <c r="KPB76" s="156"/>
      <c r="KPC76" s="156"/>
      <c r="KPD76" s="156"/>
      <c r="KPE76" s="156"/>
      <c r="KPF76" s="156"/>
      <c r="KPG76" s="156"/>
      <c r="KPH76" s="156"/>
      <c r="KPI76" s="156"/>
      <c r="KPJ76" s="156"/>
      <c r="KPK76" s="156"/>
      <c r="KPL76" s="156"/>
      <c r="KPM76" s="156"/>
      <c r="KPN76" s="156"/>
      <c r="KPO76" s="156"/>
      <c r="KPP76" s="156"/>
      <c r="KPQ76" s="156"/>
      <c r="KPR76" s="156"/>
      <c r="KPS76" s="156"/>
      <c r="KPT76" s="156"/>
      <c r="KPU76" s="156"/>
      <c r="KPV76" s="156"/>
      <c r="KPW76" s="156"/>
      <c r="KPX76" s="156"/>
      <c r="KPY76" s="156"/>
      <c r="KPZ76" s="156"/>
      <c r="KQA76" s="156"/>
      <c r="KQB76" s="156"/>
      <c r="KQC76" s="156"/>
      <c r="KQD76" s="156"/>
      <c r="KQE76" s="156"/>
      <c r="KQF76" s="156"/>
      <c r="KQG76" s="156"/>
      <c r="KQH76" s="156"/>
      <c r="KQI76" s="156"/>
      <c r="KQJ76" s="156"/>
      <c r="KQK76" s="156"/>
      <c r="KQL76" s="156"/>
      <c r="KQM76" s="156"/>
      <c r="KQN76" s="156"/>
      <c r="KQO76" s="156"/>
      <c r="KQP76" s="156"/>
      <c r="KQQ76" s="156"/>
      <c r="KQR76" s="156"/>
      <c r="KQS76" s="156"/>
      <c r="KQT76" s="156"/>
      <c r="KQU76" s="156"/>
      <c r="KQV76" s="156"/>
      <c r="KQW76" s="156"/>
      <c r="KQX76" s="156"/>
      <c r="KQY76" s="156"/>
      <c r="KQZ76" s="156"/>
      <c r="KRA76" s="156"/>
      <c r="KRB76" s="156"/>
      <c r="KRC76" s="156"/>
      <c r="KRD76" s="156"/>
      <c r="KRE76" s="156"/>
      <c r="KRF76" s="156"/>
      <c r="KRG76" s="156"/>
      <c r="KRH76" s="156"/>
      <c r="KRI76" s="156"/>
      <c r="KRJ76" s="156"/>
      <c r="KRK76" s="156"/>
      <c r="KRL76" s="156"/>
      <c r="KRM76" s="156"/>
      <c r="KRN76" s="156"/>
      <c r="KRO76" s="156"/>
      <c r="KRP76" s="156"/>
      <c r="KRQ76" s="156"/>
      <c r="KRR76" s="156"/>
      <c r="KRS76" s="156"/>
      <c r="KRT76" s="156"/>
      <c r="KRU76" s="156"/>
      <c r="KRV76" s="156"/>
      <c r="KRW76" s="156"/>
      <c r="KRX76" s="156"/>
      <c r="KRY76" s="156"/>
      <c r="KRZ76" s="156"/>
      <c r="KSA76" s="156"/>
      <c r="KSB76" s="156"/>
      <c r="KSC76" s="156"/>
      <c r="KSD76" s="156"/>
      <c r="KSE76" s="156"/>
      <c r="KSF76" s="156"/>
      <c r="KSG76" s="156"/>
      <c r="KSH76" s="156"/>
      <c r="KSI76" s="156"/>
      <c r="KSJ76" s="156"/>
      <c r="KSK76" s="156"/>
      <c r="KSL76" s="156"/>
      <c r="KSM76" s="156"/>
      <c r="KSN76" s="156"/>
      <c r="KSO76" s="156"/>
      <c r="KSP76" s="156"/>
      <c r="KSQ76" s="156"/>
      <c r="KSR76" s="156"/>
      <c r="KSS76" s="156"/>
      <c r="KST76" s="156"/>
      <c r="KSU76" s="156"/>
      <c r="KSV76" s="156"/>
      <c r="KSW76" s="156"/>
      <c r="KSX76" s="156"/>
      <c r="KSY76" s="156"/>
      <c r="KSZ76" s="156"/>
      <c r="KTA76" s="156"/>
      <c r="KTB76" s="156"/>
      <c r="KTC76" s="156"/>
      <c r="KTD76" s="156"/>
      <c r="KTE76" s="156"/>
      <c r="KTF76" s="156"/>
      <c r="KTG76" s="156"/>
      <c r="KTH76" s="156"/>
      <c r="KTI76" s="156"/>
      <c r="KTJ76" s="156"/>
      <c r="KTK76" s="156"/>
      <c r="KTL76" s="156"/>
      <c r="KTM76" s="156"/>
      <c r="KTN76" s="156"/>
      <c r="KTO76" s="156"/>
      <c r="KTP76" s="156"/>
      <c r="KTQ76" s="156"/>
      <c r="KTR76" s="156"/>
      <c r="KTS76" s="156"/>
      <c r="KTT76" s="156"/>
      <c r="KTU76" s="156"/>
      <c r="KTV76" s="156"/>
      <c r="KTW76" s="156"/>
      <c r="KTX76" s="156"/>
      <c r="KTY76" s="156"/>
      <c r="KTZ76" s="156"/>
      <c r="KUA76" s="156"/>
      <c r="KUB76" s="156"/>
      <c r="KUC76" s="156"/>
      <c r="KUD76" s="156"/>
      <c r="KUE76" s="156"/>
      <c r="KUF76" s="156"/>
      <c r="KUG76" s="156"/>
      <c r="KUH76" s="156"/>
      <c r="KUI76" s="156"/>
      <c r="KUJ76" s="156"/>
      <c r="KUK76" s="156"/>
      <c r="KUL76" s="156"/>
      <c r="KUM76" s="156"/>
      <c r="KUN76" s="156"/>
      <c r="KUO76" s="156"/>
      <c r="KUP76" s="156"/>
      <c r="KUQ76" s="156"/>
      <c r="KUR76" s="156"/>
      <c r="KUS76" s="156"/>
      <c r="KUT76" s="156"/>
      <c r="KUU76" s="156"/>
      <c r="KUV76" s="156"/>
      <c r="KUW76" s="156"/>
      <c r="KUX76" s="156"/>
      <c r="KUY76" s="156"/>
      <c r="KUZ76" s="156"/>
      <c r="KVA76" s="156"/>
      <c r="KVB76" s="156"/>
      <c r="KVC76" s="156"/>
      <c r="KVD76" s="156"/>
      <c r="KVE76" s="156"/>
      <c r="KVF76" s="156"/>
      <c r="KVG76" s="156"/>
      <c r="KVH76" s="156"/>
      <c r="KVI76" s="156"/>
      <c r="KVJ76" s="156"/>
      <c r="KVK76" s="156"/>
      <c r="KVL76" s="156"/>
      <c r="KVM76" s="156"/>
      <c r="KVN76" s="156"/>
      <c r="KVO76" s="156"/>
      <c r="KVP76" s="156"/>
      <c r="KVQ76" s="156"/>
      <c r="KVR76" s="156"/>
      <c r="KVS76" s="156"/>
      <c r="KVT76" s="156"/>
      <c r="KVU76" s="156"/>
      <c r="KVV76" s="156"/>
      <c r="KVW76" s="156"/>
      <c r="KVX76" s="156"/>
      <c r="KVY76" s="156"/>
      <c r="KVZ76" s="156"/>
      <c r="KWA76" s="156"/>
      <c r="KWB76" s="156"/>
      <c r="KWC76" s="156"/>
      <c r="KWD76" s="156"/>
      <c r="KWE76" s="156"/>
      <c r="KWF76" s="156"/>
      <c r="KWG76" s="156"/>
      <c r="KWH76" s="156"/>
      <c r="KWI76" s="156"/>
      <c r="KWJ76" s="156"/>
      <c r="KWK76" s="156"/>
      <c r="KWL76" s="156"/>
      <c r="KWM76" s="156"/>
      <c r="KWN76" s="156"/>
      <c r="KWO76" s="156"/>
      <c r="KWP76" s="156"/>
      <c r="KWQ76" s="156"/>
      <c r="KWR76" s="156"/>
      <c r="KWS76" s="156"/>
      <c r="KWT76" s="156"/>
      <c r="KWU76" s="156"/>
      <c r="KWV76" s="156"/>
      <c r="KWW76" s="156"/>
      <c r="KWX76" s="156"/>
      <c r="KWY76" s="156"/>
      <c r="KWZ76" s="156"/>
      <c r="KXA76" s="156"/>
      <c r="KXB76" s="156"/>
      <c r="KXC76" s="156"/>
      <c r="KXD76" s="156"/>
      <c r="KXE76" s="156"/>
      <c r="KXF76" s="156"/>
      <c r="KXG76" s="156"/>
      <c r="KXH76" s="156"/>
      <c r="KXI76" s="156"/>
      <c r="KXJ76" s="156"/>
      <c r="KXK76" s="156"/>
      <c r="KXL76" s="156"/>
      <c r="KXM76" s="156"/>
      <c r="KXN76" s="156"/>
      <c r="KXO76" s="156"/>
      <c r="KXP76" s="156"/>
      <c r="KXQ76" s="156"/>
      <c r="KXR76" s="156"/>
      <c r="KXS76" s="156"/>
      <c r="KXT76" s="156"/>
      <c r="KXU76" s="156"/>
      <c r="KXV76" s="156"/>
      <c r="KXW76" s="156"/>
      <c r="KXX76" s="156"/>
      <c r="KXY76" s="156"/>
      <c r="KXZ76" s="156"/>
      <c r="KYA76" s="156"/>
      <c r="KYB76" s="156"/>
      <c r="KYC76" s="156"/>
      <c r="KYD76" s="156"/>
      <c r="KYE76" s="156"/>
      <c r="KYF76" s="156"/>
      <c r="KYG76" s="156"/>
      <c r="KYH76" s="156"/>
      <c r="KYI76" s="156"/>
      <c r="KYJ76" s="156"/>
      <c r="KYK76" s="156"/>
      <c r="KYL76" s="156"/>
      <c r="KYM76" s="156"/>
      <c r="KYN76" s="156"/>
      <c r="KYO76" s="156"/>
      <c r="KYP76" s="156"/>
      <c r="KYQ76" s="156"/>
      <c r="KYR76" s="156"/>
      <c r="KYS76" s="156"/>
      <c r="KYT76" s="156"/>
      <c r="KYU76" s="156"/>
      <c r="KYV76" s="156"/>
      <c r="KYW76" s="156"/>
      <c r="KYX76" s="156"/>
      <c r="KYY76" s="156"/>
      <c r="KYZ76" s="156"/>
      <c r="KZA76" s="156"/>
      <c r="KZB76" s="156"/>
      <c r="KZC76" s="156"/>
      <c r="KZD76" s="156"/>
      <c r="KZE76" s="156"/>
      <c r="KZF76" s="156"/>
      <c r="KZG76" s="156"/>
      <c r="KZH76" s="156"/>
      <c r="KZI76" s="156"/>
      <c r="KZJ76" s="156"/>
      <c r="KZK76" s="156"/>
      <c r="KZL76" s="156"/>
      <c r="KZM76" s="156"/>
      <c r="KZN76" s="156"/>
      <c r="KZO76" s="156"/>
      <c r="KZP76" s="156"/>
      <c r="KZQ76" s="156"/>
      <c r="KZR76" s="156"/>
      <c r="KZS76" s="156"/>
      <c r="KZT76" s="156"/>
      <c r="KZU76" s="156"/>
      <c r="KZV76" s="156"/>
      <c r="KZW76" s="156"/>
      <c r="KZX76" s="156"/>
      <c r="KZY76" s="156"/>
      <c r="KZZ76" s="156"/>
      <c r="LAA76" s="156"/>
      <c r="LAB76" s="156"/>
      <c r="LAC76" s="156"/>
      <c r="LAD76" s="156"/>
      <c r="LAE76" s="156"/>
      <c r="LAF76" s="156"/>
      <c r="LAG76" s="156"/>
      <c r="LAH76" s="156"/>
      <c r="LAI76" s="156"/>
      <c r="LAJ76" s="156"/>
      <c r="LAK76" s="156"/>
      <c r="LAL76" s="156"/>
      <c r="LAM76" s="156"/>
      <c r="LAN76" s="156"/>
      <c r="LAO76" s="156"/>
      <c r="LAP76" s="156"/>
      <c r="LAQ76" s="156"/>
      <c r="LAR76" s="156"/>
      <c r="LAS76" s="156"/>
      <c r="LAT76" s="156"/>
      <c r="LAU76" s="156"/>
      <c r="LAV76" s="156"/>
      <c r="LAW76" s="156"/>
      <c r="LAX76" s="156"/>
      <c r="LAY76" s="156"/>
      <c r="LAZ76" s="156"/>
      <c r="LBA76" s="156"/>
      <c r="LBB76" s="156"/>
      <c r="LBC76" s="156"/>
      <c r="LBD76" s="156"/>
      <c r="LBE76" s="156"/>
      <c r="LBF76" s="156"/>
      <c r="LBG76" s="156"/>
      <c r="LBH76" s="156"/>
      <c r="LBI76" s="156"/>
      <c r="LBJ76" s="156"/>
      <c r="LBK76" s="156"/>
      <c r="LBL76" s="156"/>
      <c r="LBM76" s="156"/>
      <c r="LBN76" s="156"/>
      <c r="LBO76" s="156"/>
      <c r="LBP76" s="156"/>
      <c r="LBQ76" s="156"/>
      <c r="LBR76" s="156"/>
      <c r="LBS76" s="156"/>
      <c r="LBT76" s="156"/>
      <c r="LBU76" s="156"/>
      <c r="LBV76" s="156"/>
      <c r="LBW76" s="156"/>
      <c r="LBX76" s="156"/>
      <c r="LBY76" s="156"/>
      <c r="LBZ76" s="156"/>
      <c r="LCA76" s="156"/>
      <c r="LCB76" s="156"/>
      <c r="LCC76" s="156"/>
      <c r="LCD76" s="156"/>
      <c r="LCE76" s="156"/>
      <c r="LCF76" s="156"/>
      <c r="LCG76" s="156"/>
      <c r="LCH76" s="156"/>
      <c r="LCI76" s="156"/>
      <c r="LCJ76" s="156"/>
      <c r="LCK76" s="156"/>
      <c r="LCL76" s="156"/>
      <c r="LCM76" s="156"/>
      <c r="LCN76" s="156"/>
      <c r="LCO76" s="156"/>
      <c r="LCP76" s="156"/>
      <c r="LCQ76" s="156"/>
      <c r="LCR76" s="156"/>
      <c r="LCS76" s="156"/>
      <c r="LCT76" s="156"/>
      <c r="LCU76" s="156"/>
      <c r="LCV76" s="156"/>
      <c r="LCW76" s="156"/>
      <c r="LCX76" s="156"/>
      <c r="LCY76" s="156"/>
      <c r="LCZ76" s="156"/>
      <c r="LDA76" s="156"/>
      <c r="LDB76" s="156"/>
      <c r="LDC76" s="156"/>
      <c r="LDD76" s="156"/>
      <c r="LDE76" s="156"/>
      <c r="LDF76" s="156"/>
      <c r="LDG76" s="156"/>
      <c r="LDH76" s="156"/>
      <c r="LDI76" s="156"/>
      <c r="LDJ76" s="156"/>
      <c r="LDK76" s="156"/>
      <c r="LDL76" s="156"/>
      <c r="LDM76" s="156"/>
      <c r="LDN76" s="156"/>
      <c r="LDO76" s="156"/>
      <c r="LDP76" s="156"/>
      <c r="LDQ76" s="156"/>
      <c r="LDR76" s="156"/>
      <c r="LDS76" s="156"/>
      <c r="LDT76" s="156"/>
      <c r="LDU76" s="156"/>
      <c r="LDV76" s="156"/>
      <c r="LDW76" s="156"/>
      <c r="LDX76" s="156"/>
      <c r="LDY76" s="156"/>
      <c r="LDZ76" s="156"/>
      <c r="LEA76" s="156"/>
      <c r="LEB76" s="156"/>
      <c r="LEC76" s="156"/>
      <c r="LED76" s="156"/>
      <c r="LEE76" s="156"/>
      <c r="LEF76" s="156"/>
      <c r="LEG76" s="156"/>
      <c r="LEH76" s="156"/>
      <c r="LEI76" s="156"/>
      <c r="LEJ76" s="156"/>
      <c r="LEK76" s="156"/>
      <c r="LEL76" s="156"/>
      <c r="LEM76" s="156"/>
      <c r="LEN76" s="156"/>
      <c r="LEO76" s="156"/>
      <c r="LEP76" s="156"/>
      <c r="LEQ76" s="156"/>
      <c r="LER76" s="156"/>
      <c r="LES76" s="156"/>
      <c r="LET76" s="156"/>
      <c r="LEU76" s="156"/>
      <c r="LEV76" s="156"/>
      <c r="LEW76" s="156"/>
      <c r="LEX76" s="156"/>
      <c r="LEY76" s="156"/>
      <c r="LEZ76" s="156"/>
      <c r="LFA76" s="156"/>
      <c r="LFB76" s="156"/>
      <c r="LFC76" s="156"/>
      <c r="LFD76" s="156"/>
      <c r="LFE76" s="156"/>
      <c r="LFF76" s="156"/>
      <c r="LFG76" s="156"/>
      <c r="LFH76" s="156"/>
      <c r="LFI76" s="156"/>
      <c r="LFJ76" s="156"/>
      <c r="LFK76" s="156"/>
      <c r="LFL76" s="156"/>
      <c r="LFM76" s="156"/>
      <c r="LFN76" s="156"/>
      <c r="LFO76" s="156"/>
      <c r="LFP76" s="156"/>
      <c r="LFQ76" s="156"/>
      <c r="LFR76" s="156"/>
      <c r="LFS76" s="156"/>
      <c r="LFT76" s="156"/>
      <c r="LFU76" s="156"/>
      <c r="LFV76" s="156"/>
      <c r="LFW76" s="156"/>
      <c r="LFX76" s="156"/>
      <c r="LFY76" s="156"/>
      <c r="LFZ76" s="156"/>
      <c r="LGA76" s="156"/>
      <c r="LGB76" s="156"/>
      <c r="LGC76" s="156"/>
      <c r="LGD76" s="156"/>
      <c r="LGE76" s="156"/>
      <c r="LGF76" s="156"/>
      <c r="LGG76" s="156"/>
      <c r="LGH76" s="156"/>
      <c r="LGI76" s="156"/>
      <c r="LGJ76" s="156"/>
      <c r="LGK76" s="156"/>
      <c r="LGL76" s="156"/>
      <c r="LGM76" s="156"/>
      <c r="LGN76" s="156"/>
      <c r="LGO76" s="156"/>
      <c r="LGP76" s="156"/>
      <c r="LGQ76" s="156"/>
      <c r="LGR76" s="156"/>
      <c r="LGS76" s="156"/>
      <c r="LGT76" s="156"/>
      <c r="LGU76" s="156"/>
      <c r="LGV76" s="156"/>
      <c r="LGW76" s="156"/>
      <c r="LGX76" s="156"/>
      <c r="LGY76" s="156"/>
      <c r="LGZ76" s="156"/>
      <c r="LHA76" s="156"/>
      <c r="LHB76" s="156"/>
      <c r="LHC76" s="156"/>
      <c r="LHD76" s="156"/>
      <c r="LHE76" s="156"/>
      <c r="LHF76" s="156"/>
      <c r="LHG76" s="156"/>
      <c r="LHH76" s="156"/>
      <c r="LHI76" s="156"/>
      <c r="LHJ76" s="156"/>
      <c r="LHK76" s="156"/>
      <c r="LHL76" s="156"/>
      <c r="LHM76" s="156"/>
      <c r="LHN76" s="156"/>
      <c r="LHO76" s="156"/>
      <c r="LHP76" s="156"/>
      <c r="LHQ76" s="156"/>
      <c r="LHR76" s="156"/>
      <c r="LHS76" s="156"/>
      <c r="LHT76" s="156"/>
      <c r="LHU76" s="156"/>
      <c r="LHV76" s="156"/>
      <c r="LHW76" s="156"/>
      <c r="LHX76" s="156"/>
      <c r="LHY76" s="156"/>
      <c r="LHZ76" s="156"/>
      <c r="LIA76" s="156"/>
      <c r="LIB76" s="156"/>
      <c r="LIC76" s="156"/>
      <c r="LID76" s="156"/>
      <c r="LIE76" s="156"/>
      <c r="LIF76" s="156"/>
      <c r="LIG76" s="156"/>
      <c r="LIH76" s="156"/>
      <c r="LII76" s="156"/>
      <c r="LIJ76" s="156"/>
      <c r="LIK76" s="156"/>
      <c r="LIL76" s="156"/>
      <c r="LIM76" s="156"/>
      <c r="LIN76" s="156"/>
      <c r="LIO76" s="156"/>
      <c r="LIP76" s="156"/>
      <c r="LIQ76" s="156"/>
      <c r="LIR76" s="156"/>
      <c r="LIS76" s="156"/>
      <c r="LIT76" s="156"/>
      <c r="LIU76" s="156"/>
      <c r="LIV76" s="156"/>
      <c r="LIW76" s="156"/>
      <c r="LIX76" s="156"/>
      <c r="LIY76" s="156"/>
      <c r="LIZ76" s="156"/>
      <c r="LJA76" s="156"/>
      <c r="LJB76" s="156"/>
      <c r="LJC76" s="156"/>
      <c r="LJD76" s="156"/>
      <c r="LJE76" s="156"/>
      <c r="LJF76" s="156"/>
      <c r="LJG76" s="156"/>
      <c r="LJH76" s="156"/>
      <c r="LJI76" s="156"/>
      <c r="LJJ76" s="156"/>
      <c r="LJK76" s="156"/>
      <c r="LJL76" s="156"/>
      <c r="LJM76" s="156"/>
      <c r="LJN76" s="156"/>
      <c r="LJO76" s="156"/>
      <c r="LJP76" s="156"/>
      <c r="LJQ76" s="156"/>
      <c r="LJR76" s="156"/>
      <c r="LJS76" s="156"/>
      <c r="LJT76" s="156"/>
      <c r="LJU76" s="156"/>
      <c r="LJV76" s="156"/>
      <c r="LJW76" s="156"/>
      <c r="LJX76" s="156"/>
      <c r="LJY76" s="156"/>
      <c r="LJZ76" s="156"/>
      <c r="LKA76" s="156"/>
      <c r="LKB76" s="156"/>
      <c r="LKC76" s="156"/>
      <c r="LKD76" s="156"/>
      <c r="LKE76" s="156"/>
      <c r="LKF76" s="156"/>
      <c r="LKG76" s="156"/>
      <c r="LKH76" s="156"/>
      <c r="LKI76" s="156"/>
      <c r="LKJ76" s="156"/>
      <c r="LKK76" s="156"/>
      <c r="LKL76" s="156"/>
      <c r="LKM76" s="156"/>
      <c r="LKN76" s="156"/>
      <c r="LKO76" s="156"/>
      <c r="LKP76" s="156"/>
      <c r="LKQ76" s="156"/>
      <c r="LKR76" s="156"/>
      <c r="LKS76" s="156"/>
      <c r="LKT76" s="156"/>
      <c r="LKU76" s="156"/>
      <c r="LKV76" s="156"/>
      <c r="LKW76" s="156"/>
      <c r="LKX76" s="156"/>
      <c r="LKY76" s="156"/>
      <c r="LKZ76" s="156"/>
      <c r="LLA76" s="156"/>
      <c r="LLB76" s="156"/>
      <c r="LLC76" s="156"/>
      <c r="LLD76" s="156"/>
      <c r="LLE76" s="156"/>
      <c r="LLF76" s="156"/>
      <c r="LLG76" s="156"/>
      <c r="LLH76" s="156"/>
      <c r="LLI76" s="156"/>
      <c r="LLJ76" s="156"/>
      <c r="LLK76" s="156"/>
      <c r="LLL76" s="156"/>
      <c r="LLM76" s="156"/>
      <c r="LLN76" s="156"/>
      <c r="LLO76" s="156"/>
      <c r="LLP76" s="156"/>
      <c r="LLQ76" s="156"/>
      <c r="LLR76" s="156"/>
      <c r="LLS76" s="156"/>
      <c r="LLT76" s="156"/>
      <c r="LLU76" s="156"/>
      <c r="LLV76" s="156"/>
      <c r="LLW76" s="156"/>
      <c r="LLX76" s="156"/>
      <c r="LLY76" s="156"/>
      <c r="LLZ76" s="156"/>
      <c r="LMA76" s="156"/>
      <c r="LMB76" s="156"/>
      <c r="LMC76" s="156"/>
      <c r="LMD76" s="156"/>
      <c r="LME76" s="156"/>
      <c r="LMF76" s="156"/>
      <c r="LMG76" s="156"/>
      <c r="LMH76" s="156"/>
      <c r="LMI76" s="156"/>
      <c r="LMJ76" s="156"/>
      <c r="LMK76" s="156"/>
      <c r="LML76" s="156"/>
      <c r="LMM76" s="156"/>
      <c r="LMN76" s="156"/>
      <c r="LMO76" s="156"/>
      <c r="LMP76" s="156"/>
      <c r="LMQ76" s="156"/>
      <c r="LMR76" s="156"/>
      <c r="LMS76" s="156"/>
      <c r="LMT76" s="156"/>
      <c r="LMU76" s="156"/>
      <c r="LMV76" s="156"/>
      <c r="LMW76" s="156"/>
      <c r="LMX76" s="156"/>
      <c r="LMY76" s="156"/>
      <c r="LMZ76" s="156"/>
      <c r="LNA76" s="156"/>
      <c r="LNB76" s="156"/>
      <c r="LNC76" s="156"/>
      <c r="LND76" s="156"/>
      <c r="LNE76" s="156"/>
      <c r="LNF76" s="156"/>
      <c r="LNG76" s="156"/>
      <c r="LNH76" s="156"/>
      <c r="LNI76" s="156"/>
      <c r="LNJ76" s="156"/>
      <c r="LNK76" s="156"/>
      <c r="LNL76" s="156"/>
      <c r="LNM76" s="156"/>
      <c r="LNN76" s="156"/>
      <c r="LNO76" s="156"/>
      <c r="LNP76" s="156"/>
      <c r="LNQ76" s="156"/>
      <c r="LNR76" s="156"/>
      <c r="LNS76" s="156"/>
      <c r="LNT76" s="156"/>
      <c r="LNU76" s="156"/>
      <c r="LNV76" s="156"/>
      <c r="LNW76" s="156"/>
      <c r="LNX76" s="156"/>
      <c r="LNY76" s="156"/>
      <c r="LNZ76" s="156"/>
      <c r="LOA76" s="156"/>
      <c r="LOB76" s="156"/>
      <c r="LOC76" s="156"/>
      <c r="LOD76" s="156"/>
      <c r="LOE76" s="156"/>
      <c r="LOF76" s="156"/>
      <c r="LOG76" s="156"/>
      <c r="LOH76" s="156"/>
      <c r="LOI76" s="156"/>
      <c r="LOJ76" s="156"/>
      <c r="LOK76" s="156"/>
      <c r="LOL76" s="156"/>
      <c r="LOM76" s="156"/>
      <c r="LON76" s="156"/>
      <c r="LOO76" s="156"/>
      <c r="LOP76" s="156"/>
      <c r="LOQ76" s="156"/>
      <c r="LOR76" s="156"/>
      <c r="LOS76" s="156"/>
      <c r="LOT76" s="156"/>
      <c r="LOU76" s="156"/>
      <c r="LOV76" s="156"/>
      <c r="LOW76" s="156"/>
      <c r="LOX76" s="156"/>
      <c r="LOY76" s="156"/>
      <c r="LOZ76" s="156"/>
      <c r="LPA76" s="156"/>
      <c r="LPB76" s="156"/>
      <c r="LPC76" s="156"/>
      <c r="LPD76" s="156"/>
      <c r="LPE76" s="156"/>
      <c r="LPF76" s="156"/>
      <c r="LPG76" s="156"/>
      <c r="LPH76" s="156"/>
      <c r="LPI76" s="156"/>
      <c r="LPJ76" s="156"/>
      <c r="LPK76" s="156"/>
      <c r="LPL76" s="156"/>
      <c r="LPM76" s="156"/>
      <c r="LPN76" s="156"/>
      <c r="LPO76" s="156"/>
      <c r="LPP76" s="156"/>
      <c r="LPQ76" s="156"/>
      <c r="LPR76" s="156"/>
      <c r="LPS76" s="156"/>
      <c r="LPT76" s="156"/>
      <c r="LPU76" s="156"/>
      <c r="LPV76" s="156"/>
      <c r="LPW76" s="156"/>
      <c r="LPX76" s="156"/>
      <c r="LPY76" s="156"/>
      <c r="LPZ76" s="156"/>
      <c r="LQA76" s="156"/>
      <c r="LQB76" s="156"/>
      <c r="LQC76" s="156"/>
      <c r="LQD76" s="156"/>
      <c r="LQE76" s="156"/>
      <c r="LQF76" s="156"/>
      <c r="LQG76" s="156"/>
      <c r="LQH76" s="156"/>
      <c r="LQI76" s="156"/>
      <c r="LQJ76" s="156"/>
      <c r="LQK76" s="156"/>
      <c r="LQL76" s="156"/>
      <c r="LQM76" s="156"/>
      <c r="LQN76" s="156"/>
      <c r="LQO76" s="156"/>
      <c r="LQP76" s="156"/>
      <c r="LQQ76" s="156"/>
      <c r="LQR76" s="156"/>
      <c r="LQS76" s="156"/>
      <c r="LQT76" s="156"/>
      <c r="LQU76" s="156"/>
      <c r="LQV76" s="156"/>
      <c r="LQW76" s="156"/>
      <c r="LQX76" s="156"/>
      <c r="LQY76" s="156"/>
      <c r="LQZ76" s="156"/>
      <c r="LRA76" s="156"/>
      <c r="LRB76" s="156"/>
      <c r="LRC76" s="156"/>
      <c r="LRD76" s="156"/>
      <c r="LRE76" s="156"/>
      <c r="LRF76" s="156"/>
      <c r="LRG76" s="156"/>
      <c r="LRH76" s="156"/>
      <c r="LRI76" s="156"/>
      <c r="LRJ76" s="156"/>
      <c r="LRK76" s="156"/>
      <c r="LRL76" s="156"/>
      <c r="LRM76" s="156"/>
      <c r="LRN76" s="156"/>
      <c r="LRO76" s="156"/>
      <c r="LRP76" s="156"/>
      <c r="LRQ76" s="156"/>
      <c r="LRR76" s="156"/>
      <c r="LRS76" s="156"/>
      <c r="LRT76" s="156"/>
      <c r="LRU76" s="156"/>
      <c r="LRV76" s="156"/>
      <c r="LRW76" s="156"/>
      <c r="LRX76" s="156"/>
      <c r="LRY76" s="156"/>
      <c r="LRZ76" s="156"/>
      <c r="LSA76" s="156"/>
      <c r="LSB76" s="156"/>
      <c r="LSC76" s="156"/>
      <c r="LSD76" s="156"/>
      <c r="LSE76" s="156"/>
      <c r="LSF76" s="156"/>
      <c r="LSG76" s="156"/>
      <c r="LSH76" s="156"/>
      <c r="LSI76" s="156"/>
      <c r="LSJ76" s="156"/>
      <c r="LSK76" s="156"/>
      <c r="LSL76" s="156"/>
      <c r="LSM76" s="156"/>
      <c r="LSN76" s="156"/>
      <c r="LSO76" s="156"/>
      <c r="LSP76" s="156"/>
      <c r="LSQ76" s="156"/>
      <c r="LSR76" s="156"/>
      <c r="LSS76" s="156"/>
      <c r="LST76" s="156"/>
      <c r="LSU76" s="156"/>
      <c r="LSV76" s="156"/>
      <c r="LSW76" s="156"/>
      <c r="LSX76" s="156"/>
      <c r="LSY76" s="156"/>
      <c r="LSZ76" s="156"/>
      <c r="LTA76" s="156"/>
      <c r="LTB76" s="156"/>
      <c r="LTC76" s="156"/>
      <c r="LTD76" s="156"/>
      <c r="LTE76" s="156"/>
      <c r="LTF76" s="156"/>
      <c r="LTG76" s="156"/>
      <c r="LTH76" s="156"/>
      <c r="LTI76" s="156"/>
      <c r="LTJ76" s="156"/>
      <c r="LTK76" s="156"/>
      <c r="LTL76" s="156"/>
      <c r="LTM76" s="156"/>
      <c r="LTN76" s="156"/>
      <c r="LTO76" s="156"/>
      <c r="LTP76" s="156"/>
      <c r="LTQ76" s="156"/>
      <c r="LTR76" s="156"/>
      <c r="LTS76" s="156"/>
      <c r="LTT76" s="156"/>
      <c r="LTU76" s="156"/>
      <c r="LTV76" s="156"/>
      <c r="LTW76" s="156"/>
      <c r="LTX76" s="156"/>
      <c r="LTY76" s="156"/>
      <c r="LTZ76" s="156"/>
      <c r="LUA76" s="156"/>
      <c r="LUB76" s="156"/>
      <c r="LUC76" s="156"/>
      <c r="LUD76" s="156"/>
      <c r="LUE76" s="156"/>
      <c r="LUF76" s="156"/>
      <c r="LUG76" s="156"/>
      <c r="LUH76" s="156"/>
      <c r="LUI76" s="156"/>
      <c r="LUJ76" s="156"/>
      <c r="LUK76" s="156"/>
      <c r="LUL76" s="156"/>
      <c r="LUM76" s="156"/>
      <c r="LUN76" s="156"/>
      <c r="LUO76" s="156"/>
      <c r="LUP76" s="156"/>
      <c r="LUQ76" s="156"/>
      <c r="LUR76" s="156"/>
      <c r="LUS76" s="156"/>
      <c r="LUT76" s="156"/>
      <c r="LUU76" s="156"/>
      <c r="LUV76" s="156"/>
      <c r="LUW76" s="156"/>
      <c r="LUX76" s="156"/>
      <c r="LUY76" s="156"/>
      <c r="LUZ76" s="156"/>
      <c r="LVA76" s="156"/>
      <c r="LVB76" s="156"/>
      <c r="LVC76" s="156"/>
      <c r="LVD76" s="156"/>
      <c r="LVE76" s="156"/>
      <c r="LVF76" s="156"/>
      <c r="LVG76" s="156"/>
      <c r="LVH76" s="156"/>
      <c r="LVI76" s="156"/>
      <c r="LVJ76" s="156"/>
      <c r="LVK76" s="156"/>
      <c r="LVL76" s="156"/>
      <c r="LVM76" s="156"/>
      <c r="LVN76" s="156"/>
      <c r="LVO76" s="156"/>
      <c r="LVP76" s="156"/>
      <c r="LVQ76" s="156"/>
      <c r="LVR76" s="156"/>
      <c r="LVS76" s="156"/>
      <c r="LVT76" s="156"/>
      <c r="LVU76" s="156"/>
      <c r="LVV76" s="156"/>
      <c r="LVW76" s="156"/>
      <c r="LVX76" s="156"/>
      <c r="LVY76" s="156"/>
      <c r="LVZ76" s="156"/>
      <c r="LWA76" s="156"/>
      <c r="LWB76" s="156"/>
      <c r="LWC76" s="156"/>
      <c r="LWD76" s="156"/>
      <c r="LWE76" s="156"/>
      <c r="LWF76" s="156"/>
      <c r="LWG76" s="156"/>
      <c r="LWH76" s="156"/>
      <c r="LWI76" s="156"/>
      <c r="LWJ76" s="156"/>
      <c r="LWK76" s="156"/>
      <c r="LWL76" s="156"/>
      <c r="LWM76" s="156"/>
      <c r="LWN76" s="156"/>
      <c r="LWO76" s="156"/>
      <c r="LWP76" s="156"/>
      <c r="LWQ76" s="156"/>
      <c r="LWR76" s="156"/>
      <c r="LWS76" s="156"/>
      <c r="LWT76" s="156"/>
      <c r="LWU76" s="156"/>
      <c r="LWV76" s="156"/>
      <c r="LWW76" s="156"/>
      <c r="LWX76" s="156"/>
      <c r="LWY76" s="156"/>
      <c r="LWZ76" s="156"/>
      <c r="LXA76" s="156"/>
      <c r="LXB76" s="156"/>
      <c r="LXC76" s="156"/>
      <c r="LXD76" s="156"/>
      <c r="LXE76" s="156"/>
      <c r="LXF76" s="156"/>
      <c r="LXG76" s="156"/>
      <c r="LXH76" s="156"/>
      <c r="LXI76" s="156"/>
      <c r="LXJ76" s="156"/>
      <c r="LXK76" s="156"/>
      <c r="LXL76" s="156"/>
      <c r="LXM76" s="156"/>
      <c r="LXN76" s="156"/>
      <c r="LXO76" s="156"/>
      <c r="LXP76" s="156"/>
      <c r="LXQ76" s="156"/>
      <c r="LXR76" s="156"/>
      <c r="LXS76" s="156"/>
      <c r="LXT76" s="156"/>
      <c r="LXU76" s="156"/>
      <c r="LXV76" s="156"/>
      <c r="LXW76" s="156"/>
      <c r="LXX76" s="156"/>
      <c r="LXY76" s="156"/>
      <c r="LXZ76" s="156"/>
      <c r="LYA76" s="156"/>
      <c r="LYB76" s="156"/>
      <c r="LYC76" s="156"/>
      <c r="LYD76" s="156"/>
      <c r="LYE76" s="156"/>
      <c r="LYF76" s="156"/>
      <c r="LYG76" s="156"/>
      <c r="LYH76" s="156"/>
      <c r="LYI76" s="156"/>
      <c r="LYJ76" s="156"/>
      <c r="LYK76" s="156"/>
      <c r="LYL76" s="156"/>
      <c r="LYM76" s="156"/>
      <c r="LYN76" s="156"/>
      <c r="LYO76" s="156"/>
      <c r="LYP76" s="156"/>
      <c r="LYQ76" s="156"/>
      <c r="LYR76" s="156"/>
      <c r="LYS76" s="156"/>
      <c r="LYT76" s="156"/>
      <c r="LYU76" s="156"/>
      <c r="LYV76" s="156"/>
      <c r="LYW76" s="156"/>
      <c r="LYX76" s="156"/>
      <c r="LYY76" s="156"/>
      <c r="LYZ76" s="156"/>
      <c r="LZA76" s="156"/>
      <c r="LZB76" s="156"/>
      <c r="LZC76" s="156"/>
      <c r="LZD76" s="156"/>
      <c r="LZE76" s="156"/>
      <c r="LZF76" s="156"/>
      <c r="LZG76" s="156"/>
      <c r="LZH76" s="156"/>
      <c r="LZI76" s="156"/>
      <c r="LZJ76" s="156"/>
      <c r="LZK76" s="156"/>
      <c r="LZL76" s="156"/>
      <c r="LZM76" s="156"/>
      <c r="LZN76" s="156"/>
      <c r="LZO76" s="156"/>
      <c r="LZP76" s="156"/>
      <c r="LZQ76" s="156"/>
      <c r="LZR76" s="156"/>
      <c r="LZS76" s="156"/>
      <c r="LZT76" s="156"/>
      <c r="LZU76" s="156"/>
      <c r="LZV76" s="156"/>
      <c r="LZW76" s="156"/>
      <c r="LZX76" s="156"/>
      <c r="LZY76" s="156"/>
      <c r="LZZ76" s="156"/>
      <c r="MAA76" s="156"/>
      <c r="MAB76" s="156"/>
      <c r="MAC76" s="156"/>
      <c r="MAD76" s="156"/>
      <c r="MAE76" s="156"/>
      <c r="MAF76" s="156"/>
      <c r="MAG76" s="156"/>
      <c r="MAH76" s="156"/>
      <c r="MAI76" s="156"/>
      <c r="MAJ76" s="156"/>
      <c r="MAK76" s="156"/>
      <c r="MAL76" s="156"/>
      <c r="MAM76" s="156"/>
      <c r="MAN76" s="156"/>
      <c r="MAO76" s="156"/>
      <c r="MAP76" s="156"/>
      <c r="MAQ76" s="156"/>
      <c r="MAR76" s="156"/>
      <c r="MAS76" s="156"/>
      <c r="MAT76" s="156"/>
      <c r="MAU76" s="156"/>
      <c r="MAV76" s="156"/>
      <c r="MAW76" s="156"/>
      <c r="MAX76" s="156"/>
      <c r="MAY76" s="156"/>
      <c r="MAZ76" s="156"/>
      <c r="MBA76" s="156"/>
      <c r="MBB76" s="156"/>
      <c r="MBC76" s="156"/>
      <c r="MBD76" s="156"/>
      <c r="MBE76" s="156"/>
      <c r="MBF76" s="156"/>
      <c r="MBG76" s="156"/>
      <c r="MBH76" s="156"/>
      <c r="MBI76" s="156"/>
      <c r="MBJ76" s="156"/>
      <c r="MBK76" s="156"/>
      <c r="MBL76" s="156"/>
      <c r="MBM76" s="156"/>
      <c r="MBN76" s="156"/>
      <c r="MBO76" s="156"/>
      <c r="MBP76" s="156"/>
      <c r="MBQ76" s="156"/>
      <c r="MBR76" s="156"/>
      <c r="MBS76" s="156"/>
      <c r="MBT76" s="156"/>
      <c r="MBU76" s="156"/>
      <c r="MBV76" s="156"/>
      <c r="MBW76" s="156"/>
      <c r="MBX76" s="156"/>
      <c r="MBY76" s="156"/>
      <c r="MBZ76" s="156"/>
      <c r="MCA76" s="156"/>
      <c r="MCB76" s="156"/>
      <c r="MCC76" s="156"/>
      <c r="MCD76" s="156"/>
      <c r="MCE76" s="156"/>
      <c r="MCF76" s="156"/>
      <c r="MCG76" s="156"/>
      <c r="MCH76" s="156"/>
      <c r="MCI76" s="156"/>
      <c r="MCJ76" s="156"/>
      <c r="MCK76" s="156"/>
      <c r="MCL76" s="156"/>
      <c r="MCM76" s="156"/>
      <c r="MCN76" s="156"/>
      <c r="MCO76" s="156"/>
      <c r="MCP76" s="156"/>
      <c r="MCQ76" s="156"/>
      <c r="MCR76" s="156"/>
      <c r="MCS76" s="156"/>
      <c r="MCT76" s="156"/>
      <c r="MCU76" s="156"/>
      <c r="MCV76" s="156"/>
      <c r="MCW76" s="156"/>
      <c r="MCX76" s="156"/>
      <c r="MCY76" s="156"/>
      <c r="MCZ76" s="156"/>
      <c r="MDA76" s="156"/>
      <c r="MDB76" s="156"/>
      <c r="MDC76" s="156"/>
      <c r="MDD76" s="156"/>
      <c r="MDE76" s="156"/>
      <c r="MDF76" s="156"/>
      <c r="MDG76" s="156"/>
      <c r="MDH76" s="156"/>
      <c r="MDI76" s="156"/>
      <c r="MDJ76" s="156"/>
      <c r="MDK76" s="156"/>
      <c r="MDL76" s="156"/>
      <c r="MDM76" s="156"/>
      <c r="MDN76" s="156"/>
      <c r="MDO76" s="156"/>
      <c r="MDP76" s="156"/>
      <c r="MDQ76" s="156"/>
      <c r="MDR76" s="156"/>
      <c r="MDS76" s="156"/>
      <c r="MDT76" s="156"/>
      <c r="MDU76" s="156"/>
      <c r="MDV76" s="156"/>
      <c r="MDW76" s="156"/>
      <c r="MDX76" s="156"/>
      <c r="MDY76" s="156"/>
      <c r="MDZ76" s="156"/>
      <c r="MEA76" s="156"/>
      <c r="MEB76" s="156"/>
      <c r="MEC76" s="156"/>
      <c r="MED76" s="156"/>
      <c r="MEE76" s="156"/>
      <c r="MEF76" s="156"/>
      <c r="MEG76" s="156"/>
      <c r="MEH76" s="156"/>
      <c r="MEI76" s="156"/>
      <c r="MEJ76" s="156"/>
      <c r="MEK76" s="156"/>
      <c r="MEL76" s="156"/>
      <c r="MEM76" s="156"/>
      <c r="MEN76" s="156"/>
      <c r="MEO76" s="156"/>
      <c r="MEP76" s="156"/>
      <c r="MEQ76" s="156"/>
      <c r="MER76" s="156"/>
      <c r="MES76" s="156"/>
      <c r="MET76" s="156"/>
      <c r="MEU76" s="156"/>
      <c r="MEV76" s="156"/>
      <c r="MEW76" s="156"/>
      <c r="MEX76" s="156"/>
      <c r="MEY76" s="156"/>
      <c r="MEZ76" s="156"/>
      <c r="MFA76" s="156"/>
      <c r="MFB76" s="156"/>
      <c r="MFC76" s="156"/>
      <c r="MFD76" s="156"/>
      <c r="MFE76" s="156"/>
      <c r="MFF76" s="156"/>
      <c r="MFG76" s="156"/>
      <c r="MFH76" s="156"/>
      <c r="MFI76" s="156"/>
      <c r="MFJ76" s="156"/>
      <c r="MFK76" s="156"/>
      <c r="MFL76" s="156"/>
      <c r="MFM76" s="156"/>
      <c r="MFN76" s="156"/>
      <c r="MFO76" s="156"/>
      <c r="MFP76" s="156"/>
      <c r="MFQ76" s="156"/>
      <c r="MFR76" s="156"/>
      <c r="MFS76" s="156"/>
      <c r="MFT76" s="156"/>
      <c r="MFU76" s="156"/>
      <c r="MFV76" s="156"/>
      <c r="MFW76" s="156"/>
      <c r="MFX76" s="156"/>
      <c r="MFY76" s="156"/>
      <c r="MFZ76" s="156"/>
      <c r="MGA76" s="156"/>
      <c r="MGB76" s="156"/>
      <c r="MGC76" s="156"/>
      <c r="MGD76" s="156"/>
      <c r="MGE76" s="156"/>
      <c r="MGF76" s="156"/>
      <c r="MGG76" s="156"/>
      <c r="MGH76" s="156"/>
      <c r="MGI76" s="156"/>
      <c r="MGJ76" s="156"/>
      <c r="MGK76" s="156"/>
      <c r="MGL76" s="156"/>
      <c r="MGM76" s="156"/>
      <c r="MGN76" s="156"/>
      <c r="MGO76" s="156"/>
      <c r="MGP76" s="156"/>
      <c r="MGQ76" s="156"/>
      <c r="MGR76" s="156"/>
      <c r="MGS76" s="156"/>
      <c r="MGT76" s="156"/>
      <c r="MGU76" s="156"/>
      <c r="MGV76" s="156"/>
      <c r="MGW76" s="156"/>
      <c r="MGX76" s="156"/>
      <c r="MGY76" s="156"/>
      <c r="MGZ76" s="156"/>
      <c r="MHA76" s="156"/>
      <c r="MHB76" s="156"/>
      <c r="MHC76" s="156"/>
      <c r="MHD76" s="156"/>
      <c r="MHE76" s="156"/>
      <c r="MHF76" s="156"/>
      <c r="MHG76" s="156"/>
      <c r="MHH76" s="156"/>
      <c r="MHI76" s="156"/>
      <c r="MHJ76" s="156"/>
      <c r="MHK76" s="156"/>
      <c r="MHL76" s="156"/>
      <c r="MHM76" s="156"/>
      <c r="MHN76" s="156"/>
      <c r="MHO76" s="156"/>
      <c r="MHP76" s="156"/>
      <c r="MHQ76" s="156"/>
      <c r="MHR76" s="156"/>
      <c r="MHS76" s="156"/>
      <c r="MHT76" s="156"/>
      <c r="MHU76" s="156"/>
      <c r="MHV76" s="156"/>
      <c r="MHW76" s="156"/>
      <c r="MHX76" s="156"/>
      <c r="MHY76" s="156"/>
      <c r="MHZ76" s="156"/>
      <c r="MIA76" s="156"/>
      <c r="MIB76" s="156"/>
      <c r="MIC76" s="156"/>
      <c r="MID76" s="156"/>
      <c r="MIE76" s="156"/>
      <c r="MIF76" s="156"/>
      <c r="MIG76" s="156"/>
      <c r="MIH76" s="156"/>
      <c r="MII76" s="156"/>
      <c r="MIJ76" s="156"/>
      <c r="MIK76" s="156"/>
      <c r="MIL76" s="156"/>
      <c r="MIM76" s="156"/>
      <c r="MIN76" s="156"/>
      <c r="MIO76" s="156"/>
      <c r="MIP76" s="156"/>
      <c r="MIQ76" s="156"/>
      <c r="MIR76" s="156"/>
      <c r="MIS76" s="156"/>
      <c r="MIT76" s="156"/>
      <c r="MIU76" s="156"/>
      <c r="MIV76" s="156"/>
      <c r="MIW76" s="156"/>
      <c r="MIX76" s="156"/>
      <c r="MIY76" s="156"/>
      <c r="MIZ76" s="156"/>
      <c r="MJA76" s="156"/>
      <c r="MJB76" s="156"/>
      <c r="MJC76" s="156"/>
      <c r="MJD76" s="156"/>
      <c r="MJE76" s="156"/>
      <c r="MJF76" s="156"/>
      <c r="MJG76" s="156"/>
      <c r="MJH76" s="156"/>
      <c r="MJI76" s="156"/>
      <c r="MJJ76" s="156"/>
      <c r="MJK76" s="156"/>
      <c r="MJL76" s="156"/>
      <c r="MJM76" s="156"/>
      <c r="MJN76" s="156"/>
      <c r="MJO76" s="156"/>
      <c r="MJP76" s="156"/>
      <c r="MJQ76" s="156"/>
      <c r="MJR76" s="156"/>
      <c r="MJS76" s="156"/>
      <c r="MJT76" s="156"/>
      <c r="MJU76" s="156"/>
      <c r="MJV76" s="156"/>
      <c r="MJW76" s="156"/>
      <c r="MJX76" s="156"/>
      <c r="MJY76" s="156"/>
      <c r="MJZ76" s="156"/>
      <c r="MKA76" s="156"/>
      <c r="MKB76" s="156"/>
      <c r="MKC76" s="156"/>
      <c r="MKD76" s="156"/>
      <c r="MKE76" s="156"/>
      <c r="MKF76" s="156"/>
      <c r="MKG76" s="156"/>
      <c r="MKH76" s="156"/>
      <c r="MKI76" s="156"/>
      <c r="MKJ76" s="156"/>
      <c r="MKK76" s="156"/>
      <c r="MKL76" s="156"/>
      <c r="MKM76" s="156"/>
      <c r="MKN76" s="156"/>
      <c r="MKO76" s="156"/>
      <c r="MKP76" s="156"/>
      <c r="MKQ76" s="156"/>
      <c r="MKR76" s="156"/>
      <c r="MKS76" s="156"/>
      <c r="MKT76" s="156"/>
      <c r="MKU76" s="156"/>
      <c r="MKV76" s="156"/>
      <c r="MKW76" s="156"/>
      <c r="MKX76" s="156"/>
      <c r="MKY76" s="156"/>
      <c r="MKZ76" s="156"/>
      <c r="MLA76" s="156"/>
      <c r="MLB76" s="156"/>
      <c r="MLC76" s="156"/>
      <c r="MLD76" s="156"/>
      <c r="MLE76" s="156"/>
      <c r="MLF76" s="156"/>
      <c r="MLG76" s="156"/>
      <c r="MLH76" s="156"/>
      <c r="MLI76" s="156"/>
      <c r="MLJ76" s="156"/>
      <c r="MLK76" s="156"/>
      <c r="MLL76" s="156"/>
      <c r="MLM76" s="156"/>
      <c r="MLN76" s="156"/>
      <c r="MLO76" s="156"/>
      <c r="MLP76" s="156"/>
      <c r="MLQ76" s="156"/>
      <c r="MLR76" s="156"/>
      <c r="MLS76" s="156"/>
      <c r="MLT76" s="156"/>
      <c r="MLU76" s="156"/>
      <c r="MLV76" s="156"/>
      <c r="MLW76" s="156"/>
      <c r="MLX76" s="156"/>
      <c r="MLY76" s="156"/>
      <c r="MLZ76" s="156"/>
      <c r="MMA76" s="156"/>
      <c r="MMB76" s="156"/>
      <c r="MMC76" s="156"/>
      <c r="MMD76" s="156"/>
      <c r="MME76" s="156"/>
      <c r="MMF76" s="156"/>
      <c r="MMG76" s="156"/>
      <c r="MMH76" s="156"/>
      <c r="MMI76" s="156"/>
      <c r="MMJ76" s="156"/>
      <c r="MMK76" s="156"/>
      <c r="MML76" s="156"/>
      <c r="MMM76" s="156"/>
      <c r="MMN76" s="156"/>
      <c r="MMO76" s="156"/>
      <c r="MMP76" s="156"/>
      <c r="MMQ76" s="156"/>
      <c r="MMR76" s="156"/>
      <c r="MMS76" s="156"/>
      <c r="MMT76" s="156"/>
      <c r="MMU76" s="156"/>
      <c r="MMV76" s="156"/>
      <c r="MMW76" s="156"/>
      <c r="MMX76" s="156"/>
      <c r="MMY76" s="156"/>
      <c r="MMZ76" s="156"/>
      <c r="MNA76" s="156"/>
      <c r="MNB76" s="156"/>
      <c r="MNC76" s="156"/>
      <c r="MND76" s="156"/>
      <c r="MNE76" s="156"/>
      <c r="MNF76" s="156"/>
      <c r="MNG76" s="156"/>
      <c r="MNH76" s="156"/>
      <c r="MNI76" s="156"/>
      <c r="MNJ76" s="156"/>
      <c r="MNK76" s="156"/>
      <c r="MNL76" s="156"/>
      <c r="MNM76" s="156"/>
      <c r="MNN76" s="156"/>
      <c r="MNO76" s="156"/>
      <c r="MNP76" s="156"/>
      <c r="MNQ76" s="156"/>
      <c r="MNR76" s="156"/>
      <c r="MNS76" s="156"/>
      <c r="MNT76" s="156"/>
      <c r="MNU76" s="156"/>
      <c r="MNV76" s="156"/>
      <c r="MNW76" s="156"/>
      <c r="MNX76" s="156"/>
      <c r="MNY76" s="156"/>
      <c r="MNZ76" s="156"/>
      <c r="MOA76" s="156"/>
      <c r="MOB76" s="156"/>
      <c r="MOC76" s="156"/>
      <c r="MOD76" s="156"/>
      <c r="MOE76" s="156"/>
      <c r="MOF76" s="156"/>
      <c r="MOG76" s="156"/>
      <c r="MOH76" s="156"/>
      <c r="MOI76" s="156"/>
      <c r="MOJ76" s="156"/>
      <c r="MOK76" s="156"/>
      <c r="MOL76" s="156"/>
      <c r="MOM76" s="156"/>
      <c r="MON76" s="156"/>
      <c r="MOO76" s="156"/>
      <c r="MOP76" s="156"/>
      <c r="MOQ76" s="156"/>
      <c r="MOR76" s="156"/>
      <c r="MOS76" s="156"/>
      <c r="MOT76" s="156"/>
      <c r="MOU76" s="156"/>
      <c r="MOV76" s="156"/>
      <c r="MOW76" s="156"/>
      <c r="MOX76" s="156"/>
      <c r="MOY76" s="156"/>
      <c r="MOZ76" s="156"/>
      <c r="MPA76" s="156"/>
      <c r="MPB76" s="156"/>
      <c r="MPC76" s="156"/>
      <c r="MPD76" s="156"/>
      <c r="MPE76" s="156"/>
      <c r="MPF76" s="156"/>
      <c r="MPG76" s="156"/>
      <c r="MPH76" s="156"/>
      <c r="MPI76" s="156"/>
      <c r="MPJ76" s="156"/>
      <c r="MPK76" s="156"/>
      <c r="MPL76" s="156"/>
      <c r="MPM76" s="156"/>
      <c r="MPN76" s="156"/>
      <c r="MPO76" s="156"/>
      <c r="MPP76" s="156"/>
      <c r="MPQ76" s="156"/>
      <c r="MPR76" s="156"/>
      <c r="MPS76" s="156"/>
      <c r="MPT76" s="156"/>
      <c r="MPU76" s="156"/>
      <c r="MPV76" s="156"/>
      <c r="MPW76" s="156"/>
      <c r="MPX76" s="156"/>
      <c r="MPY76" s="156"/>
      <c r="MPZ76" s="156"/>
      <c r="MQA76" s="156"/>
      <c r="MQB76" s="156"/>
      <c r="MQC76" s="156"/>
      <c r="MQD76" s="156"/>
      <c r="MQE76" s="156"/>
      <c r="MQF76" s="156"/>
      <c r="MQG76" s="156"/>
      <c r="MQH76" s="156"/>
      <c r="MQI76" s="156"/>
      <c r="MQJ76" s="156"/>
      <c r="MQK76" s="156"/>
      <c r="MQL76" s="156"/>
      <c r="MQM76" s="156"/>
      <c r="MQN76" s="156"/>
      <c r="MQO76" s="156"/>
      <c r="MQP76" s="156"/>
      <c r="MQQ76" s="156"/>
      <c r="MQR76" s="156"/>
      <c r="MQS76" s="156"/>
      <c r="MQT76" s="156"/>
      <c r="MQU76" s="156"/>
      <c r="MQV76" s="156"/>
      <c r="MQW76" s="156"/>
      <c r="MQX76" s="156"/>
      <c r="MQY76" s="156"/>
      <c r="MQZ76" s="156"/>
      <c r="MRA76" s="156"/>
      <c r="MRB76" s="156"/>
      <c r="MRC76" s="156"/>
      <c r="MRD76" s="156"/>
      <c r="MRE76" s="156"/>
      <c r="MRF76" s="156"/>
      <c r="MRG76" s="156"/>
      <c r="MRH76" s="156"/>
      <c r="MRI76" s="156"/>
      <c r="MRJ76" s="156"/>
      <c r="MRK76" s="156"/>
      <c r="MRL76" s="156"/>
      <c r="MRM76" s="156"/>
      <c r="MRN76" s="156"/>
      <c r="MRO76" s="156"/>
      <c r="MRP76" s="156"/>
      <c r="MRQ76" s="156"/>
      <c r="MRR76" s="156"/>
      <c r="MRS76" s="156"/>
      <c r="MRT76" s="156"/>
      <c r="MRU76" s="156"/>
      <c r="MRV76" s="156"/>
      <c r="MRW76" s="156"/>
      <c r="MRX76" s="156"/>
      <c r="MRY76" s="156"/>
      <c r="MRZ76" s="156"/>
      <c r="MSA76" s="156"/>
      <c r="MSB76" s="156"/>
      <c r="MSC76" s="156"/>
      <c r="MSD76" s="156"/>
      <c r="MSE76" s="156"/>
      <c r="MSF76" s="156"/>
      <c r="MSG76" s="156"/>
      <c r="MSH76" s="156"/>
      <c r="MSI76" s="156"/>
      <c r="MSJ76" s="156"/>
      <c r="MSK76" s="156"/>
      <c r="MSL76" s="156"/>
      <c r="MSM76" s="156"/>
      <c r="MSN76" s="156"/>
      <c r="MSO76" s="156"/>
      <c r="MSP76" s="156"/>
      <c r="MSQ76" s="156"/>
      <c r="MSR76" s="156"/>
      <c r="MSS76" s="156"/>
      <c r="MST76" s="156"/>
      <c r="MSU76" s="156"/>
      <c r="MSV76" s="156"/>
      <c r="MSW76" s="156"/>
      <c r="MSX76" s="156"/>
      <c r="MSY76" s="156"/>
      <c r="MSZ76" s="156"/>
      <c r="MTA76" s="156"/>
      <c r="MTB76" s="156"/>
      <c r="MTC76" s="156"/>
      <c r="MTD76" s="156"/>
      <c r="MTE76" s="156"/>
      <c r="MTF76" s="156"/>
      <c r="MTG76" s="156"/>
      <c r="MTH76" s="156"/>
      <c r="MTI76" s="156"/>
      <c r="MTJ76" s="156"/>
      <c r="MTK76" s="156"/>
      <c r="MTL76" s="156"/>
      <c r="MTM76" s="156"/>
      <c r="MTN76" s="156"/>
      <c r="MTO76" s="156"/>
      <c r="MTP76" s="156"/>
      <c r="MTQ76" s="156"/>
      <c r="MTR76" s="156"/>
      <c r="MTS76" s="156"/>
      <c r="MTT76" s="156"/>
      <c r="MTU76" s="156"/>
      <c r="MTV76" s="156"/>
      <c r="MTW76" s="156"/>
      <c r="MTX76" s="156"/>
      <c r="MTY76" s="156"/>
      <c r="MTZ76" s="156"/>
      <c r="MUA76" s="156"/>
      <c r="MUB76" s="156"/>
      <c r="MUC76" s="156"/>
      <c r="MUD76" s="156"/>
      <c r="MUE76" s="156"/>
      <c r="MUF76" s="156"/>
      <c r="MUG76" s="156"/>
      <c r="MUH76" s="156"/>
      <c r="MUI76" s="156"/>
      <c r="MUJ76" s="156"/>
      <c r="MUK76" s="156"/>
      <c r="MUL76" s="156"/>
      <c r="MUM76" s="156"/>
      <c r="MUN76" s="156"/>
      <c r="MUO76" s="156"/>
      <c r="MUP76" s="156"/>
      <c r="MUQ76" s="156"/>
      <c r="MUR76" s="156"/>
      <c r="MUS76" s="156"/>
      <c r="MUT76" s="156"/>
      <c r="MUU76" s="156"/>
      <c r="MUV76" s="156"/>
      <c r="MUW76" s="156"/>
      <c r="MUX76" s="156"/>
      <c r="MUY76" s="156"/>
      <c r="MUZ76" s="156"/>
      <c r="MVA76" s="156"/>
      <c r="MVB76" s="156"/>
      <c r="MVC76" s="156"/>
      <c r="MVD76" s="156"/>
      <c r="MVE76" s="156"/>
      <c r="MVF76" s="156"/>
      <c r="MVG76" s="156"/>
      <c r="MVH76" s="156"/>
      <c r="MVI76" s="156"/>
      <c r="MVJ76" s="156"/>
      <c r="MVK76" s="156"/>
      <c r="MVL76" s="156"/>
      <c r="MVM76" s="156"/>
      <c r="MVN76" s="156"/>
      <c r="MVO76" s="156"/>
      <c r="MVP76" s="156"/>
      <c r="MVQ76" s="156"/>
      <c r="MVR76" s="156"/>
      <c r="MVS76" s="156"/>
      <c r="MVT76" s="156"/>
      <c r="MVU76" s="156"/>
      <c r="MVV76" s="156"/>
      <c r="MVW76" s="156"/>
      <c r="MVX76" s="156"/>
      <c r="MVY76" s="156"/>
      <c r="MVZ76" s="156"/>
      <c r="MWA76" s="156"/>
      <c r="MWB76" s="156"/>
      <c r="MWC76" s="156"/>
      <c r="MWD76" s="156"/>
      <c r="MWE76" s="156"/>
      <c r="MWF76" s="156"/>
      <c r="MWG76" s="156"/>
      <c r="MWH76" s="156"/>
      <c r="MWI76" s="156"/>
      <c r="MWJ76" s="156"/>
      <c r="MWK76" s="156"/>
      <c r="MWL76" s="156"/>
      <c r="MWM76" s="156"/>
      <c r="MWN76" s="156"/>
      <c r="MWO76" s="156"/>
      <c r="MWP76" s="156"/>
      <c r="MWQ76" s="156"/>
      <c r="MWR76" s="156"/>
      <c r="MWS76" s="156"/>
      <c r="MWT76" s="156"/>
      <c r="MWU76" s="156"/>
      <c r="MWV76" s="156"/>
      <c r="MWW76" s="156"/>
      <c r="MWX76" s="156"/>
      <c r="MWY76" s="156"/>
      <c r="MWZ76" s="156"/>
      <c r="MXA76" s="156"/>
      <c r="MXB76" s="156"/>
      <c r="MXC76" s="156"/>
      <c r="MXD76" s="156"/>
      <c r="MXE76" s="156"/>
      <c r="MXF76" s="156"/>
      <c r="MXG76" s="156"/>
      <c r="MXH76" s="156"/>
      <c r="MXI76" s="156"/>
      <c r="MXJ76" s="156"/>
      <c r="MXK76" s="156"/>
      <c r="MXL76" s="156"/>
      <c r="MXM76" s="156"/>
      <c r="MXN76" s="156"/>
      <c r="MXO76" s="156"/>
      <c r="MXP76" s="156"/>
      <c r="MXQ76" s="156"/>
      <c r="MXR76" s="156"/>
      <c r="MXS76" s="156"/>
      <c r="MXT76" s="156"/>
      <c r="MXU76" s="156"/>
      <c r="MXV76" s="156"/>
      <c r="MXW76" s="156"/>
      <c r="MXX76" s="156"/>
      <c r="MXY76" s="156"/>
      <c r="MXZ76" s="156"/>
      <c r="MYA76" s="156"/>
      <c r="MYB76" s="156"/>
      <c r="MYC76" s="156"/>
      <c r="MYD76" s="156"/>
      <c r="MYE76" s="156"/>
      <c r="MYF76" s="156"/>
      <c r="MYG76" s="156"/>
      <c r="MYH76" s="156"/>
      <c r="MYI76" s="156"/>
      <c r="MYJ76" s="156"/>
      <c r="MYK76" s="156"/>
      <c r="MYL76" s="156"/>
      <c r="MYM76" s="156"/>
      <c r="MYN76" s="156"/>
      <c r="MYO76" s="156"/>
      <c r="MYP76" s="156"/>
      <c r="MYQ76" s="156"/>
      <c r="MYR76" s="156"/>
      <c r="MYS76" s="156"/>
      <c r="MYT76" s="156"/>
      <c r="MYU76" s="156"/>
      <c r="MYV76" s="156"/>
      <c r="MYW76" s="156"/>
      <c r="MYX76" s="156"/>
      <c r="MYY76" s="156"/>
      <c r="MYZ76" s="156"/>
      <c r="MZA76" s="156"/>
      <c r="MZB76" s="156"/>
      <c r="MZC76" s="156"/>
      <c r="MZD76" s="156"/>
      <c r="MZE76" s="156"/>
      <c r="MZF76" s="156"/>
      <c r="MZG76" s="156"/>
      <c r="MZH76" s="156"/>
      <c r="MZI76" s="156"/>
      <c r="MZJ76" s="156"/>
      <c r="MZK76" s="156"/>
      <c r="MZL76" s="156"/>
      <c r="MZM76" s="156"/>
      <c r="MZN76" s="156"/>
      <c r="MZO76" s="156"/>
      <c r="MZP76" s="156"/>
      <c r="MZQ76" s="156"/>
      <c r="MZR76" s="156"/>
      <c r="MZS76" s="156"/>
      <c r="MZT76" s="156"/>
      <c r="MZU76" s="156"/>
      <c r="MZV76" s="156"/>
      <c r="MZW76" s="156"/>
      <c r="MZX76" s="156"/>
      <c r="MZY76" s="156"/>
      <c r="MZZ76" s="156"/>
      <c r="NAA76" s="156"/>
      <c r="NAB76" s="156"/>
      <c r="NAC76" s="156"/>
      <c r="NAD76" s="156"/>
      <c r="NAE76" s="156"/>
      <c r="NAF76" s="156"/>
      <c r="NAG76" s="156"/>
      <c r="NAH76" s="156"/>
      <c r="NAI76" s="156"/>
      <c r="NAJ76" s="156"/>
      <c r="NAK76" s="156"/>
      <c r="NAL76" s="156"/>
      <c r="NAM76" s="156"/>
      <c r="NAN76" s="156"/>
      <c r="NAO76" s="156"/>
      <c r="NAP76" s="156"/>
      <c r="NAQ76" s="156"/>
      <c r="NAR76" s="156"/>
      <c r="NAS76" s="156"/>
      <c r="NAT76" s="156"/>
      <c r="NAU76" s="156"/>
      <c r="NAV76" s="156"/>
      <c r="NAW76" s="156"/>
      <c r="NAX76" s="156"/>
      <c r="NAY76" s="156"/>
      <c r="NAZ76" s="156"/>
      <c r="NBA76" s="156"/>
      <c r="NBB76" s="156"/>
      <c r="NBC76" s="156"/>
      <c r="NBD76" s="156"/>
      <c r="NBE76" s="156"/>
      <c r="NBF76" s="156"/>
      <c r="NBG76" s="156"/>
      <c r="NBH76" s="156"/>
      <c r="NBI76" s="156"/>
      <c r="NBJ76" s="156"/>
      <c r="NBK76" s="156"/>
      <c r="NBL76" s="156"/>
      <c r="NBM76" s="156"/>
      <c r="NBN76" s="156"/>
      <c r="NBO76" s="156"/>
      <c r="NBP76" s="156"/>
      <c r="NBQ76" s="156"/>
      <c r="NBR76" s="156"/>
      <c r="NBS76" s="156"/>
      <c r="NBT76" s="156"/>
      <c r="NBU76" s="156"/>
      <c r="NBV76" s="156"/>
      <c r="NBW76" s="156"/>
      <c r="NBX76" s="156"/>
      <c r="NBY76" s="156"/>
      <c r="NBZ76" s="156"/>
      <c r="NCA76" s="156"/>
      <c r="NCB76" s="156"/>
      <c r="NCC76" s="156"/>
      <c r="NCD76" s="156"/>
      <c r="NCE76" s="156"/>
      <c r="NCF76" s="156"/>
      <c r="NCG76" s="156"/>
      <c r="NCH76" s="156"/>
      <c r="NCI76" s="156"/>
      <c r="NCJ76" s="156"/>
      <c r="NCK76" s="156"/>
      <c r="NCL76" s="156"/>
      <c r="NCM76" s="156"/>
      <c r="NCN76" s="156"/>
      <c r="NCO76" s="156"/>
      <c r="NCP76" s="156"/>
      <c r="NCQ76" s="156"/>
      <c r="NCR76" s="156"/>
      <c r="NCS76" s="156"/>
      <c r="NCT76" s="156"/>
      <c r="NCU76" s="156"/>
      <c r="NCV76" s="156"/>
      <c r="NCW76" s="156"/>
      <c r="NCX76" s="156"/>
      <c r="NCY76" s="156"/>
      <c r="NCZ76" s="156"/>
      <c r="NDA76" s="156"/>
      <c r="NDB76" s="156"/>
      <c r="NDC76" s="156"/>
      <c r="NDD76" s="156"/>
      <c r="NDE76" s="156"/>
      <c r="NDF76" s="156"/>
      <c r="NDG76" s="156"/>
      <c r="NDH76" s="156"/>
      <c r="NDI76" s="156"/>
      <c r="NDJ76" s="156"/>
      <c r="NDK76" s="156"/>
      <c r="NDL76" s="156"/>
      <c r="NDM76" s="156"/>
      <c r="NDN76" s="156"/>
      <c r="NDO76" s="156"/>
      <c r="NDP76" s="156"/>
      <c r="NDQ76" s="156"/>
      <c r="NDR76" s="156"/>
      <c r="NDS76" s="156"/>
      <c r="NDT76" s="156"/>
      <c r="NDU76" s="156"/>
      <c r="NDV76" s="156"/>
      <c r="NDW76" s="156"/>
      <c r="NDX76" s="156"/>
      <c r="NDY76" s="156"/>
      <c r="NDZ76" s="156"/>
      <c r="NEA76" s="156"/>
      <c r="NEB76" s="156"/>
      <c r="NEC76" s="156"/>
      <c r="NED76" s="156"/>
      <c r="NEE76" s="156"/>
      <c r="NEF76" s="156"/>
      <c r="NEG76" s="156"/>
      <c r="NEH76" s="156"/>
      <c r="NEI76" s="156"/>
      <c r="NEJ76" s="156"/>
      <c r="NEK76" s="156"/>
      <c r="NEL76" s="156"/>
      <c r="NEM76" s="156"/>
      <c r="NEN76" s="156"/>
      <c r="NEO76" s="156"/>
      <c r="NEP76" s="156"/>
      <c r="NEQ76" s="156"/>
      <c r="NER76" s="156"/>
      <c r="NES76" s="156"/>
      <c r="NET76" s="156"/>
      <c r="NEU76" s="156"/>
      <c r="NEV76" s="156"/>
      <c r="NEW76" s="156"/>
      <c r="NEX76" s="156"/>
      <c r="NEY76" s="156"/>
      <c r="NEZ76" s="156"/>
      <c r="NFA76" s="156"/>
      <c r="NFB76" s="156"/>
      <c r="NFC76" s="156"/>
      <c r="NFD76" s="156"/>
      <c r="NFE76" s="156"/>
      <c r="NFF76" s="156"/>
      <c r="NFG76" s="156"/>
      <c r="NFH76" s="156"/>
      <c r="NFI76" s="156"/>
      <c r="NFJ76" s="156"/>
      <c r="NFK76" s="156"/>
      <c r="NFL76" s="156"/>
      <c r="NFM76" s="156"/>
      <c r="NFN76" s="156"/>
      <c r="NFO76" s="156"/>
      <c r="NFP76" s="156"/>
      <c r="NFQ76" s="156"/>
      <c r="NFR76" s="156"/>
      <c r="NFS76" s="156"/>
      <c r="NFT76" s="156"/>
      <c r="NFU76" s="156"/>
      <c r="NFV76" s="156"/>
      <c r="NFW76" s="156"/>
      <c r="NFX76" s="156"/>
      <c r="NFY76" s="156"/>
      <c r="NFZ76" s="156"/>
      <c r="NGA76" s="156"/>
      <c r="NGB76" s="156"/>
      <c r="NGC76" s="156"/>
      <c r="NGD76" s="156"/>
      <c r="NGE76" s="156"/>
      <c r="NGF76" s="156"/>
      <c r="NGG76" s="156"/>
      <c r="NGH76" s="156"/>
      <c r="NGI76" s="156"/>
      <c r="NGJ76" s="156"/>
      <c r="NGK76" s="156"/>
      <c r="NGL76" s="156"/>
      <c r="NGM76" s="156"/>
      <c r="NGN76" s="156"/>
      <c r="NGO76" s="156"/>
      <c r="NGP76" s="156"/>
      <c r="NGQ76" s="156"/>
      <c r="NGR76" s="156"/>
      <c r="NGS76" s="156"/>
      <c r="NGT76" s="156"/>
      <c r="NGU76" s="156"/>
      <c r="NGV76" s="156"/>
      <c r="NGW76" s="156"/>
      <c r="NGX76" s="156"/>
      <c r="NGY76" s="156"/>
      <c r="NGZ76" s="156"/>
      <c r="NHA76" s="156"/>
      <c r="NHB76" s="156"/>
      <c r="NHC76" s="156"/>
      <c r="NHD76" s="156"/>
      <c r="NHE76" s="156"/>
      <c r="NHF76" s="156"/>
      <c r="NHG76" s="156"/>
      <c r="NHH76" s="156"/>
      <c r="NHI76" s="156"/>
      <c r="NHJ76" s="156"/>
      <c r="NHK76" s="156"/>
      <c r="NHL76" s="156"/>
      <c r="NHM76" s="156"/>
      <c r="NHN76" s="156"/>
      <c r="NHO76" s="156"/>
      <c r="NHP76" s="156"/>
      <c r="NHQ76" s="156"/>
      <c r="NHR76" s="156"/>
      <c r="NHS76" s="156"/>
      <c r="NHT76" s="156"/>
      <c r="NHU76" s="156"/>
      <c r="NHV76" s="156"/>
      <c r="NHW76" s="156"/>
      <c r="NHX76" s="156"/>
      <c r="NHY76" s="156"/>
      <c r="NHZ76" s="156"/>
      <c r="NIA76" s="156"/>
      <c r="NIB76" s="156"/>
      <c r="NIC76" s="156"/>
      <c r="NID76" s="156"/>
      <c r="NIE76" s="156"/>
      <c r="NIF76" s="156"/>
      <c r="NIG76" s="156"/>
      <c r="NIH76" s="156"/>
      <c r="NII76" s="156"/>
      <c r="NIJ76" s="156"/>
      <c r="NIK76" s="156"/>
      <c r="NIL76" s="156"/>
      <c r="NIM76" s="156"/>
      <c r="NIN76" s="156"/>
      <c r="NIO76" s="156"/>
      <c r="NIP76" s="156"/>
      <c r="NIQ76" s="156"/>
      <c r="NIR76" s="156"/>
      <c r="NIS76" s="156"/>
      <c r="NIT76" s="156"/>
      <c r="NIU76" s="156"/>
      <c r="NIV76" s="156"/>
      <c r="NIW76" s="156"/>
      <c r="NIX76" s="156"/>
      <c r="NIY76" s="156"/>
      <c r="NIZ76" s="156"/>
      <c r="NJA76" s="156"/>
      <c r="NJB76" s="156"/>
      <c r="NJC76" s="156"/>
      <c r="NJD76" s="156"/>
      <c r="NJE76" s="156"/>
      <c r="NJF76" s="156"/>
      <c r="NJG76" s="156"/>
      <c r="NJH76" s="156"/>
      <c r="NJI76" s="156"/>
      <c r="NJJ76" s="156"/>
      <c r="NJK76" s="156"/>
      <c r="NJL76" s="156"/>
      <c r="NJM76" s="156"/>
      <c r="NJN76" s="156"/>
      <c r="NJO76" s="156"/>
      <c r="NJP76" s="156"/>
      <c r="NJQ76" s="156"/>
      <c r="NJR76" s="156"/>
      <c r="NJS76" s="156"/>
      <c r="NJT76" s="156"/>
      <c r="NJU76" s="156"/>
      <c r="NJV76" s="156"/>
      <c r="NJW76" s="156"/>
      <c r="NJX76" s="156"/>
      <c r="NJY76" s="156"/>
      <c r="NJZ76" s="156"/>
      <c r="NKA76" s="156"/>
      <c r="NKB76" s="156"/>
      <c r="NKC76" s="156"/>
      <c r="NKD76" s="156"/>
      <c r="NKE76" s="156"/>
      <c r="NKF76" s="156"/>
      <c r="NKG76" s="156"/>
      <c r="NKH76" s="156"/>
      <c r="NKI76" s="156"/>
      <c r="NKJ76" s="156"/>
      <c r="NKK76" s="156"/>
      <c r="NKL76" s="156"/>
      <c r="NKM76" s="156"/>
      <c r="NKN76" s="156"/>
      <c r="NKO76" s="156"/>
      <c r="NKP76" s="156"/>
      <c r="NKQ76" s="156"/>
      <c r="NKR76" s="156"/>
      <c r="NKS76" s="156"/>
      <c r="NKT76" s="156"/>
      <c r="NKU76" s="156"/>
      <c r="NKV76" s="156"/>
      <c r="NKW76" s="156"/>
      <c r="NKX76" s="156"/>
      <c r="NKY76" s="156"/>
      <c r="NKZ76" s="156"/>
      <c r="NLA76" s="156"/>
      <c r="NLB76" s="156"/>
      <c r="NLC76" s="156"/>
      <c r="NLD76" s="156"/>
      <c r="NLE76" s="156"/>
      <c r="NLF76" s="156"/>
      <c r="NLG76" s="156"/>
      <c r="NLH76" s="156"/>
      <c r="NLI76" s="156"/>
      <c r="NLJ76" s="156"/>
      <c r="NLK76" s="156"/>
      <c r="NLL76" s="156"/>
      <c r="NLM76" s="156"/>
      <c r="NLN76" s="156"/>
      <c r="NLO76" s="156"/>
      <c r="NLP76" s="156"/>
      <c r="NLQ76" s="156"/>
      <c r="NLR76" s="156"/>
      <c r="NLS76" s="156"/>
      <c r="NLT76" s="156"/>
      <c r="NLU76" s="156"/>
      <c r="NLV76" s="156"/>
      <c r="NLW76" s="156"/>
      <c r="NLX76" s="156"/>
      <c r="NLY76" s="156"/>
      <c r="NLZ76" s="156"/>
      <c r="NMA76" s="156"/>
      <c r="NMB76" s="156"/>
      <c r="NMC76" s="156"/>
      <c r="NMD76" s="156"/>
      <c r="NME76" s="156"/>
      <c r="NMF76" s="156"/>
      <c r="NMG76" s="156"/>
      <c r="NMH76" s="156"/>
      <c r="NMI76" s="156"/>
      <c r="NMJ76" s="156"/>
      <c r="NMK76" s="156"/>
      <c r="NML76" s="156"/>
      <c r="NMM76" s="156"/>
      <c r="NMN76" s="156"/>
      <c r="NMO76" s="156"/>
      <c r="NMP76" s="156"/>
      <c r="NMQ76" s="156"/>
      <c r="NMR76" s="156"/>
      <c r="NMS76" s="156"/>
      <c r="NMT76" s="156"/>
      <c r="NMU76" s="156"/>
      <c r="NMV76" s="156"/>
      <c r="NMW76" s="156"/>
      <c r="NMX76" s="156"/>
      <c r="NMY76" s="156"/>
      <c r="NMZ76" s="156"/>
      <c r="NNA76" s="156"/>
      <c r="NNB76" s="156"/>
      <c r="NNC76" s="156"/>
      <c r="NND76" s="156"/>
      <c r="NNE76" s="156"/>
      <c r="NNF76" s="156"/>
      <c r="NNG76" s="156"/>
      <c r="NNH76" s="156"/>
      <c r="NNI76" s="156"/>
      <c r="NNJ76" s="156"/>
      <c r="NNK76" s="156"/>
      <c r="NNL76" s="156"/>
      <c r="NNM76" s="156"/>
      <c r="NNN76" s="156"/>
      <c r="NNO76" s="156"/>
      <c r="NNP76" s="156"/>
      <c r="NNQ76" s="156"/>
      <c r="NNR76" s="156"/>
      <c r="NNS76" s="156"/>
      <c r="NNT76" s="156"/>
      <c r="NNU76" s="156"/>
      <c r="NNV76" s="156"/>
      <c r="NNW76" s="156"/>
      <c r="NNX76" s="156"/>
      <c r="NNY76" s="156"/>
      <c r="NNZ76" s="156"/>
      <c r="NOA76" s="156"/>
      <c r="NOB76" s="156"/>
      <c r="NOC76" s="156"/>
      <c r="NOD76" s="156"/>
      <c r="NOE76" s="156"/>
      <c r="NOF76" s="156"/>
      <c r="NOG76" s="156"/>
      <c r="NOH76" s="156"/>
      <c r="NOI76" s="156"/>
      <c r="NOJ76" s="156"/>
      <c r="NOK76" s="156"/>
      <c r="NOL76" s="156"/>
      <c r="NOM76" s="156"/>
      <c r="NON76" s="156"/>
      <c r="NOO76" s="156"/>
      <c r="NOP76" s="156"/>
      <c r="NOQ76" s="156"/>
      <c r="NOR76" s="156"/>
      <c r="NOS76" s="156"/>
      <c r="NOT76" s="156"/>
      <c r="NOU76" s="156"/>
      <c r="NOV76" s="156"/>
      <c r="NOW76" s="156"/>
      <c r="NOX76" s="156"/>
      <c r="NOY76" s="156"/>
      <c r="NOZ76" s="156"/>
      <c r="NPA76" s="156"/>
      <c r="NPB76" s="156"/>
      <c r="NPC76" s="156"/>
      <c r="NPD76" s="156"/>
      <c r="NPE76" s="156"/>
      <c r="NPF76" s="156"/>
      <c r="NPG76" s="156"/>
      <c r="NPH76" s="156"/>
      <c r="NPI76" s="156"/>
      <c r="NPJ76" s="156"/>
      <c r="NPK76" s="156"/>
      <c r="NPL76" s="156"/>
      <c r="NPM76" s="156"/>
      <c r="NPN76" s="156"/>
      <c r="NPO76" s="156"/>
      <c r="NPP76" s="156"/>
      <c r="NPQ76" s="156"/>
      <c r="NPR76" s="156"/>
      <c r="NPS76" s="156"/>
      <c r="NPT76" s="156"/>
      <c r="NPU76" s="156"/>
      <c r="NPV76" s="156"/>
      <c r="NPW76" s="156"/>
      <c r="NPX76" s="156"/>
      <c r="NPY76" s="156"/>
      <c r="NPZ76" s="156"/>
      <c r="NQA76" s="156"/>
      <c r="NQB76" s="156"/>
      <c r="NQC76" s="156"/>
      <c r="NQD76" s="156"/>
      <c r="NQE76" s="156"/>
      <c r="NQF76" s="156"/>
      <c r="NQG76" s="156"/>
      <c r="NQH76" s="156"/>
      <c r="NQI76" s="156"/>
      <c r="NQJ76" s="156"/>
      <c r="NQK76" s="156"/>
      <c r="NQL76" s="156"/>
      <c r="NQM76" s="156"/>
      <c r="NQN76" s="156"/>
      <c r="NQO76" s="156"/>
      <c r="NQP76" s="156"/>
      <c r="NQQ76" s="156"/>
      <c r="NQR76" s="156"/>
      <c r="NQS76" s="156"/>
      <c r="NQT76" s="156"/>
      <c r="NQU76" s="156"/>
      <c r="NQV76" s="156"/>
      <c r="NQW76" s="156"/>
      <c r="NQX76" s="156"/>
      <c r="NQY76" s="156"/>
      <c r="NQZ76" s="156"/>
      <c r="NRA76" s="156"/>
      <c r="NRB76" s="156"/>
      <c r="NRC76" s="156"/>
      <c r="NRD76" s="156"/>
      <c r="NRE76" s="156"/>
      <c r="NRF76" s="156"/>
      <c r="NRG76" s="156"/>
      <c r="NRH76" s="156"/>
      <c r="NRI76" s="156"/>
      <c r="NRJ76" s="156"/>
      <c r="NRK76" s="156"/>
      <c r="NRL76" s="156"/>
      <c r="NRM76" s="156"/>
      <c r="NRN76" s="156"/>
      <c r="NRO76" s="156"/>
      <c r="NRP76" s="156"/>
      <c r="NRQ76" s="156"/>
      <c r="NRR76" s="156"/>
      <c r="NRS76" s="156"/>
      <c r="NRT76" s="156"/>
      <c r="NRU76" s="156"/>
      <c r="NRV76" s="156"/>
      <c r="NRW76" s="156"/>
      <c r="NRX76" s="156"/>
      <c r="NRY76" s="156"/>
      <c r="NRZ76" s="156"/>
      <c r="NSA76" s="156"/>
      <c r="NSB76" s="156"/>
      <c r="NSC76" s="156"/>
      <c r="NSD76" s="156"/>
      <c r="NSE76" s="156"/>
      <c r="NSF76" s="156"/>
      <c r="NSG76" s="156"/>
      <c r="NSH76" s="156"/>
      <c r="NSI76" s="156"/>
      <c r="NSJ76" s="156"/>
      <c r="NSK76" s="156"/>
      <c r="NSL76" s="156"/>
      <c r="NSM76" s="156"/>
      <c r="NSN76" s="156"/>
      <c r="NSO76" s="156"/>
      <c r="NSP76" s="156"/>
      <c r="NSQ76" s="156"/>
      <c r="NSR76" s="156"/>
      <c r="NSS76" s="156"/>
      <c r="NST76" s="156"/>
      <c r="NSU76" s="156"/>
      <c r="NSV76" s="156"/>
      <c r="NSW76" s="156"/>
      <c r="NSX76" s="156"/>
      <c r="NSY76" s="156"/>
      <c r="NSZ76" s="156"/>
      <c r="NTA76" s="156"/>
      <c r="NTB76" s="156"/>
      <c r="NTC76" s="156"/>
      <c r="NTD76" s="156"/>
      <c r="NTE76" s="156"/>
      <c r="NTF76" s="156"/>
      <c r="NTG76" s="156"/>
      <c r="NTH76" s="156"/>
      <c r="NTI76" s="156"/>
      <c r="NTJ76" s="156"/>
      <c r="NTK76" s="156"/>
      <c r="NTL76" s="156"/>
      <c r="NTM76" s="156"/>
      <c r="NTN76" s="156"/>
      <c r="NTO76" s="156"/>
      <c r="NTP76" s="156"/>
      <c r="NTQ76" s="156"/>
      <c r="NTR76" s="156"/>
      <c r="NTS76" s="156"/>
      <c r="NTT76" s="156"/>
      <c r="NTU76" s="156"/>
      <c r="NTV76" s="156"/>
      <c r="NTW76" s="156"/>
      <c r="NTX76" s="156"/>
      <c r="NTY76" s="156"/>
      <c r="NTZ76" s="156"/>
      <c r="NUA76" s="156"/>
      <c r="NUB76" s="156"/>
      <c r="NUC76" s="156"/>
      <c r="NUD76" s="156"/>
      <c r="NUE76" s="156"/>
      <c r="NUF76" s="156"/>
      <c r="NUG76" s="156"/>
      <c r="NUH76" s="156"/>
      <c r="NUI76" s="156"/>
      <c r="NUJ76" s="156"/>
      <c r="NUK76" s="156"/>
      <c r="NUL76" s="156"/>
      <c r="NUM76" s="156"/>
      <c r="NUN76" s="156"/>
      <c r="NUO76" s="156"/>
      <c r="NUP76" s="156"/>
      <c r="NUQ76" s="156"/>
      <c r="NUR76" s="156"/>
      <c r="NUS76" s="156"/>
      <c r="NUT76" s="156"/>
      <c r="NUU76" s="156"/>
      <c r="NUV76" s="156"/>
      <c r="NUW76" s="156"/>
      <c r="NUX76" s="156"/>
      <c r="NUY76" s="156"/>
      <c r="NUZ76" s="156"/>
      <c r="NVA76" s="156"/>
      <c r="NVB76" s="156"/>
      <c r="NVC76" s="156"/>
      <c r="NVD76" s="156"/>
      <c r="NVE76" s="156"/>
      <c r="NVF76" s="156"/>
      <c r="NVG76" s="156"/>
      <c r="NVH76" s="156"/>
      <c r="NVI76" s="156"/>
      <c r="NVJ76" s="156"/>
      <c r="NVK76" s="156"/>
      <c r="NVL76" s="156"/>
      <c r="NVM76" s="156"/>
      <c r="NVN76" s="156"/>
      <c r="NVO76" s="156"/>
      <c r="NVP76" s="156"/>
      <c r="NVQ76" s="156"/>
      <c r="NVR76" s="156"/>
      <c r="NVS76" s="156"/>
      <c r="NVT76" s="156"/>
      <c r="NVU76" s="156"/>
      <c r="NVV76" s="156"/>
      <c r="NVW76" s="156"/>
      <c r="NVX76" s="156"/>
      <c r="NVY76" s="156"/>
      <c r="NVZ76" s="156"/>
      <c r="NWA76" s="156"/>
      <c r="NWB76" s="156"/>
      <c r="NWC76" s="156"/>
      <c r="NWD76" s="156"/>
      <c r="NWE76" s="156"/>
      <c r="NWF76" s="156"/>
      <c r="NWG76" s="156"/>
      <c r="NWH76" s="156"/>
      <c r="NWI76" s="156"/>
      <c r="NWJ76" s="156"/>
      <c r="NWK76" s="156"/>
      <c r="NWL76" s="156"/>
      <c r="NWM76" s="156"/>
      <c r="NWN76" s="156"/>
      <c r="NWO76" s="156"/>
      <c r="NWP76" s="156"/>
      <c r="NWQ76" s="156"/>
      <c r="NWR76" s="156"/>
      <c r="NWS76" s="156"/>
      <c r="NWT76" s="156"/>
      <c r="NWU76" s="156"/>
      <c r="NWV76" s="156"/>
      <c r="NWW76" s="156"/>
      <c r="NWX76" s="156"/>
      <c r="NWY76" s="156"/>
      <c r="NWZ76" s="156"/>
      <c r="NXA76" s="156"/>
      <c r="NXB76" s="156"/>
      <c r="NXC76" s="156"/>
      <c r="NXD76" s="156"/>
      <c r="NXE76" s="156"/>
      <c r="NXF76" s="156"/>
      <c r="NXG76" s="156"/>
      <c r="NXH76" s="156"/>
      <c r="NXI76" s="156"/>
      <c r="NXJ76" s="156"/>
      <c r="NXK76" s="156"/>
      <c r="NXL76" s="156"/>
      <c r="NXM76" s="156"/>
      <c r="NXN76" s="156"/>
      <c r="NXO76" s="156"/>
      <c r="NXP76" s="156"/>
      <c r="NXQ76" s="156"/>
      <c r="NXR76" s="156"/>
      <c r="NXS76" s="156"/>
      <c r="NXT76" s="156"/>
      <c r="NXU76" s="156"/>
      <c r="NXV76" s="156"/>
      <c r="NXW76" s="156"/>
      <c r="NXX76" s="156"/>
      <c r="NXY76" s="156"/>
      <c r="NXZ76" s="156"/>
      <c r="NYA76" s="156"/>
      <c r="NYB76" s="156"/>
      <c r="NYC76" s="156"/>
      <c r="NYD76" s="156"/>
      <c r="NYE76" s="156"/>
      <c r="NYF76" s="156"/>
      <c r="NYG76" s="156"/>
      <c r="NYH76" s="156"/>
      <c r="NYI76" s="156"/>
      <c r="NYJ76" s="156"/>
      <c r="NYK76" s="156"/>
      <c r="NYL76" s="156"/>
      <c r="NYM76" s="156"/>
      <c r="NYN76" s="156"/>
      <c r="NYO76" s="156"/>
      <c r="NYP76" s="156"/>
      <c r="NYQ76" s="156"/>
      <c r="NYR76" s="156"/>
      <c r="NYS76" s="156"/>
      <c r="NYT76" s="156"/>
      <c r="NYU76" s="156"/>
      <c r="NYV76" s="156"/>
      <c r="NYW76" s="156"/>
      <c r="NYX76" s="156"/>
      <c r="NYY76" s="156"/>
      <c r="NYZ76" s="156"/>
      <c r="NZA76" s="156"/>
      <c r="NZB76" s="156"/>
      <c r="NZC76" s="156"/>
      <c r="NZD76" s="156"/>
      <c r="NZE76" s="156"/>
      <c r="NZF76" s="156"/>
      <c r="NZG76" s="156"/>
      <c r="NZH76" s="156"/>
      <c r="NZI76" s="156"/>
      <c r="NZJ76" s="156"/>
      <c r="NZK76" s="156"/>
      <c r="NZL76" s="156"/>
      <c r="NZM76" s="156"/>
      <c r="NZN76" s="156"/>
      <c r="NZO76" s="156"/>
      <c r="NZP76" s="156"/>
      <c r="NZQ76" s="156"/>
      <c r="NZR76" s="156"/>
      <c r="NZS76" s="156"/>
      <c r="NZT76" s="156"/>
      <c r="NZU76" s="156"/>
      <c r="NZV76" s="156"/>
      <c r="NZW76" s="156"/>
      <c r="NZX76" s="156"/>
      <c r="NZY76" s="156"/>
      <c r="NZZ76" s="156"/>
      <c r="OAA76" s="156"/>
      <c r="OAB76" s="156"/>
      <c r="OAC76" s="156"/>
      <c r="OAD76" s="156"/>
      <c r="OAE76" s="156"/>
      <c r="OAF76" s="156"/>
      <c r="OAG76" s="156"/>
      <c r="OAH76" s="156"/>
      <c r="OAI76" s="156"/>
      <c r="OAJ76" s="156"/>
      <c r="OAK76" s="156"/>
      <c r="OAL76" s="156"/>
      <c r="OAM76" s="156"/>
      <c r="OAN76" s="156"/>
      <c r="OAO76" s="156"/>
      <c r="OAP76" s="156"/>
      <c r="OAQ76" s="156"/>
      <c r="OAR76" s="156"/>
      <c r="OAS76" s="156"/>
      <c r="OAT76" s="156"/>
      <c r="OAU76" s="156"/>
      <c r="OAV76" s="156"/>
      <c r="OAW76" s="156"/>
      <c r="OAX76" s="156"/>
      <c r="OAY76" s="156"/>
      <c r="OAZ76" s="156"/>
      <c r="OBA76" s="156"/>
      <c r="OBB76" s="156"/>
      <c r="OBC76" s="156"/>
      <c r="OBD76" s="156"/>
      <c r="OBE76" s="156"/>
      <c r="OBF76" s="156"/>
      <c r="OBG76" s="156"/>
      <c r="OBH76" s="156"/>
      <c r="OBI76" s="156"/>
      <c r="OBJ76" s="156"/>
      <c r="OBK76" s="156"/>
      <c r="OBL76" s="156"/>
      <c r="OBM76" s="156"/>
      <c r="OBN76" s="156"/>
      <c r="OBO76" s="156"/>
      <c r="OBP76" s="156"/>
      <c r="OBQ76" s="156"/>
      <c r="OBR76" s="156"/>
      <c r="OBS76" s="156"/>
      <c r="OBT76" s="156"/>
      <c r="OBU76" s="156"/>
      <c r="OBV76" s="156"/>
      <c r="OBW76" s="156"/>
      <c r="OBX76" s="156"/>
      <c r="OBY76" s="156"/>
      <c r="OBZ76" s="156"/>
      <c r="OCA76" s="156"/>
      <c r="OCB76" s="156"/>
      <c r="OCC76" s="156"/>
      <c r="OCD76" s="156"/>
      <c r="OCE76" s="156"/>
      <c r="OCF76" s="156"/>
      <c r="OCG76" s="156"/>
      <c r="OCH76" s="156"/>
      <c r="OCI76" s="156"/>
      <c r="OCJ76" s="156"/>
      <c r="OCK76" s="156"/>
      <c r="OCL76" s="156"/>
      <c r="OCM76" s="156"/>
      <c r="OCN76" s="156"/>
      <c r="OCO76" s="156"/>
      <c r="OCP76" s="156"/>
      <c r="OCQ76" s="156"/>
      <c r="OCR76" s="156"/>
      <c r="OCS76" s="156"/>
      <c r="OCT76" s="156"/>
      <c r="OCU76" s="156"/>
      <c r="OCV76" s="156"/>
      <c r="OCW76" s="156"/>
      <c r="OCX76" s="156"/>
      <c r="OCY76" s="156"/>
      <c r="OCZ76" s="156"/>
      <c r="ODA76" s="156"/>
      <c r="ODB76" s="156"/>
      <c r="ODC76" s="156"/>
      <c r="ODD76" s="156"/>
      <c r="ODE76" s="156"/>
      <c r="ODF76" s="156"/>
      <c r="ODG76" s="156"/>
      <c r="ODH76" s="156"/>
      <c r="ODI76" s="156"/>
      <c r="ODJ76" s="156"/>
      <c r="ODK76" s="156"/>
      <c r="ODL76" s="156"/>
      <c r="ODM76" s="156"/>
      <c r="ODN76" s="156"/>
      <c r="ODO76" s="156"/>
      <c r="ODP76" s="156"/>
      <c r="ODQ76" s="156"/>
      <c r="ODR76" s="156"/>
      <c r="ODS76" s="156"/>
      <c r="ODT76" s="156"/>
      <c r="ODU76" s="156"/>
      <c r="ODV76" s="156"/>
      <c r="ODW76" s="156"/>
      <c r="ODX76" s="156"/>
      <c r="ODY76" s="156"/>
      <c r="ODZ76" s="156"/>
      <c r="OEA76" s="156"/>
      <c r="OEB76" s="156"/>
      <c r="OEC76" s="156"/>
      <c r="OED76" s="156"/>
      <c r="OEE76" s="156"/>
      <c r="OEF76" s="156"/>
      <c r="OEG76" s="156"/>
      <c r="OEH76" s="156"/>
      <c r="OEI76" s="156"/>
      <c r="OEJ76" s="156"/>
      <c r="OEK76" s="156"/>
      <c r="OEL76" s="156"/>
      <c r="OEM76" s="156"/>
      <c r="OEN76" s="156"/>
      <c r="OEO76" s="156"/>
      <c r="OEP76" s="156"/>
      <c r="OEQ76" s="156"/>
      <c r="OER76" s="156"/>
      <c r="OES76" s="156"/>
      <c r="OET76" s="156"/>
      <c r="OEU76" s="156"/>
      <c r="OEV76" s="156"/>
      <c r="OEW76" s="156"/>
      <c r="OEX76" s="156"/>
      <c r="OEY76" s="156"/>
      <c r="OEZ76" s="156"/>
      <c r="OFA76" s="156"/>
      <c r="OFB76" s="156"/>
      <c r="OFC76" s="156"/>
      <c r="OFD76" s="156"/>
      <c r="OFE76" s="156"/>
      <c r="OFF76" s="156"/>
      <c r="OFG76" s="156"/>
      <c r="OFH76" s="156"/>
      <c r="OFI76" s="156"/>
      <c r="OFJ76" s="156"/>
      <c r="OFK76" s="156"/>
      <c r="OFL76" s="156"/>
      <c r="OFM76" s="156"/>
      <c r="OFN76" s="156"/>
      <c r="OFO76" s="156"/>
      <c r="OFP76" s="156"/>
      <c r="OFQ76" s="156"/>
      <c r="OFR76" s="156"/>
      <c r="OFS76" s="156"/>
      <c r="OFT76" s="156"/>
      <c r="OFU76" s="156"/>
      <c r="OFV76" s="156"/>
      <c r="OFW76" s="156"/>
      <c r="OFX76" s="156"/>
      <c r="OFY76" s="156"/>
      <c r="OFZ76" s="156"/>
      <c r="OGA76" s="156"/>
      <c r="OGB76" s="156"/>
      <c r="OGC76" s="156"/>
      <c r="OGD76" s="156"/>
      <c r="OGE76" s="156"/>
      <c r="OGF76" s="156"/>
      <c r="OGG76" s="156"/>
      <c r="OGH76" s="156"/>
      <c r="OGI76" s="156"/>
      <c r="OGJ76" s="156"/>
      <c r="OGK76" s="156"/>
      <c r="OGL76" s="156"/>
      <c r="OGM76" s="156"/>
      <c r="OGN76" s="156"/>
      <c r="OGO76" s="156"/>
      <c r="OGP76" s="156"/>
      <c r="OGQ76" s="156"/>
      <c r="OGR76" s="156"/>
      <c r="OGS76" s="156"/>
      <c r="OGT76" s="156"/>
      <c r="OGU76" s="156"/>
      <c r="OGV76" s="156"/>
      <c r="OGW76" s="156"/>
      <c r="OGX76" s="156"/>
      <c r="OGY76" s="156"/>
      <c r="OGZ76" s="156"/>
      <c r="OHA76" s="156"/>
      <c r="OHB76" s="156"/>
      <c r="OHC76" s="156"/>
      <c r="OHD76" s="156"/>
      <c r="OHE76" s="156"/>
      <c r="OHF76" s="156"/>
      <c r="OHG76" s="156"/>
      <c r="OHH76" s="156"/>
      <c r="OHI76" s="156"/>
      <c r="OHJ76" s="156"/>
      <c r="OHK76" s="156"/>
      <c r="OHL76" s="156"/>
      <c r="OHM76" s="156"/>
      <c r="OHN76" s="156"/>
      <c r="OHO76" s="156"/>
      <c r="OHP76" s="156"/>
      <c r="OHQ76" s="156"/>
      <c r="OHR76" s="156"/>
      <c r="OHS76" s="156"/>
      <c r="OHT76" s="156"/>
      <c r="OHU76" s="156"/>
      <c r="OHV76" s="156"/>
      <c r="OHW76" s="156"/>
      <c r="OHX76" s="156"/>
      <c r="OHY76" s="156"/>
      <c r="OHZ76" s="156"/>
      <c r="OIA76" s="156"/>
      <c r="OIB76" s="156"/>
      <c r="OIC76" s="156"/>
      <c r="OID76" s="156"/>
      <c r="OIE76" s="156"/>
      <c r="OIF76" s="156"/>
      <c r="OIG76" s="156"/>
      <c r="OIH76" s="156"/>
      <c r="OII76" s="156"/>
      <c r="OIJ76" s="156"/>
      <c r="OIK76" s="156"/>
      <c r="OIL76" s="156"/>
      <c r="OIM76" s="156"/>
      <c r="OIN76" s="156"/>
      <c r="OIO76" s="156"/>
      <c r="OIP76" s="156"/>
      <c r="OIQ76" s="156"/>
      <c r="OIR76" s="156"/>
      <c r="OIS76" s="156"/>
      <c r="OIT76" s="156"/>
      <c r="OIU76" s="156"/>
      <c r="OIV76" s="156"/>
      <c r="OIW76" s="156"/>
      <c r="OIX76" s="156"/>
      <c r="OIY76" s="156"/>
      <c r="OIZ76" s="156"/>
      <c r="OJA76" s="156"/>
      <c r="OJB76" s="156"/>
      <c r="OJC76" s="156"/>
      <c r="OJD76" s="156"/>
      <c r="OJE76" s="156"/>
      <c r="OJF76" s="156"/>
      <c r="OJG76" s="156"/>
      <c r="OJH76" s="156"/>
      <c r="OJI76" s="156"/>
      <c r="OJJ76" s="156"/>
      <c r="OJK76" s="156"/>
      <c r="OJL76" s="156"/>
      <c r="OJM76" s="156"/>
      <c r="OJN76" s="156"/>
      <c r="OJO76" s="156"/>
      <c r="OJP76" s="156"/>
      <c r="OJQ76" s="156"/>
      <c r="OJR76" s="156"/>
      <c r="OJS76" s="156"/>
      <c r="OJT76" s="156"/>
      <c r="OJU76" s="156"/>
      <c r="OJV76" s="156"/>
      <c r="OJW76" s="156"/>
      <c r="OJX76" s="156"/>
      <c r="OJY76" s="156"/>
      <c r="OJZ76" s="156"/>
      <c r="OKA76" s="156"/>
      <c r="OKB76" s="156"/>
      <c r="OKC76" s="156"/>
      <c r="OKD76" s="156"/>
      <c r="OKE76" s="156"/>
      <c r="OKF76" s="156"/>
      <c r="OKG76" s="156"/>
      <c r="OKH76" s="156"/>
      <c r="OKI76" s="156"/>
      <c r="OKJ76" s="156"/>
      <c r="OKK76" s="156"/>
      <c r="OKL76" s="156"/>
      <c r="OKM76" s="156"/>
      <c r="OKN76" s="156"/>
      <c r="OKO76" s="156"/>
      <c r="OKP76" s="156"/>
      <c r="OKQ76" s="156"/>
      <c r="OKR76" s="156"/>
      <c r="OKS76" s="156"/>
      <c r="OKT76" s="156"/>
      <c r="OKU76" s="156"/>
      <c r="OKV76" s="156"/>
      <c r="OKW76" s="156"/>
      <c r="OKX76" s="156"/>
      <c r="OKY76" s="156"/>
      <c r="OKZ76" s="156"/>
      <c r="OLA76" s="156"/>
      <c r="OLB76" s="156"/>
      <c r="OLC76" s="156"/>
      <c r="OLD76" s="156"/>
      <c r="OLE76" s="156"/>
      <c r="OLF76" s="156"/>
      <c r="OLG76" s="156"/>
      <c r="OLH76" s="156"/>
      <c r="OLI76" s="156"/>
      <c r="OLJ76" s="156"/>
      <c r="OLK76" s="156"/>
      <c r="OLL76" s="156"/>
      <c r="OLM76" s="156"/>
      <c r="OLN76" s="156"/>
      <c r="OLO76" s="156"/>
      <c r="OLP76" s="156"/>
      <c r="OLQ76" s="156"/>
      <c r="OLR76" s="156"/>
      <c r="OLS76" s="156"/>
      <c r="OLT76" s="156"/>
      <c r="OLU76" s="156"/>
      <c r="OLV76" s="156"/>
      <c r="OLW76" s="156"/>
      <c r="OLX76" s="156"/>
      <c r="OLY76" s="156"/>
      <c r="OLZ76" s="156"/>
      <c r="OMA76" s="156"/>
      <c r="OMB76" s="156"/>
      <c r="OMC76" s="156"/>
      <c r="OMD76" s="156"/>
      <c r="OME76" s="156"/>
      <c r="OMF76" s="156"/>
      <c r="OMG76" s="156"/>
      <c r="OMH76" s="156"/>
      <c r="OMI76" s="156"/>
      <c r="OMJ76" s="156"/>
      <c r="OMK76" s="156"/>
      <c r="OML76" s="156"/>
      <c r="OMM76" s="156"/>
      <c r="OMN76" s="156"/>
      <c r="OMO76" s="156"/>
      <c r="OMP76" s="156"/>
      <c r="OMQ76" s="156"/>
      <c r="OMR76" s="156"/>
      <c r="OMS76" s="156"/>
      <c r="OMT76" s="156"/>
      <c r="OMU76" s="156"/>
      <c r="OMV76" s="156"/>
      <c r="OMW76" s="156"/>
      <c r="OMX76" s="156"/>
      <c r="OMY76" s="156"/>
      <c r="OMZ76" s="156"/>
      <c r="ONA76" s="156"/>
      <c r="ONB76" s="156"/>
      <c r="ONC76" s="156"/>
      <c r="OND76" s="156"/>
      <c r="ONE76" s="156"/>
      <c r="ONF76" s="156"/>
      <c r="ONG76" s="156"/>
      <c r="ONH76" s="156"/>
      <c r="ONI76" s="156"/>
      <c r="ONJ76" s="156"/>
      <c r="ONK76" s="156"/>
      <c r="ONL76" s="156"/>
      <c r="ONM76" s="156"/>
      <c r="ONN76" s="156"/>
      <c r="ONO76" s="156"/>
      <c r="ONP76" s="156"/>
      <c r="ONQ76" s="156"/>
      <c r="ONR76" s="156"/>
      <c r="ONS76" s="156"/>
      <c r="ONT76" s="156"/>
      <c r="ONU76" s="156"/>
      <c r="ONV76" s="156"/>
      <c r="ONW76" s="156"/>
      <c r="ONX76" s="156"/>
      <c r="ONY76" s="156"/>
      <c r="ONZ76" s="156"/>
      <c r="OOA76" s="156"/>
      <c r="OOB76" s="156"/>
      <c r="OOC76" s="156"/>
      <c r="OOD76" s="156"/>
      <c r="OOE76" s="156"/>
      <c r="OOF76" s="156"/>
      <c r="OOG76" s="156"/>
      <c r="OOH76" s="156"/>
      <c r="OOI76" s="156"/>
      <c r="OOJ76" s="156"/>
      <c r="OOK76" s="156"/>
      <c r="OOL76" s="156"/>
      <c r="OOM76" s="156"/>
      <c r="OON76" s="156"/>
      <c r="OOO76" s="156"/>
      <c r="OOP76" s="156"/>
      <c r="OOQ76" s="156"/>
      <c r="OOR76" s="156"/>
      <c r="OOS76" s="156"/>
      <c r="OOT76" s="156"/>
      <c r="OOU76" s="156"/>
      <c r="OOV76" s="156"/>
      <c r="OOW76" s="156"/>
      <c r="OOX76" s="156"/>
      <c r="OOY76" s="156"/>
      <c r="OOZ76" s="156"/>
      <c r="OPA76" s="156"/>
      <c r="OPB76" s="156"/>
      <c r="OPC76" s="156"/>
      <c r="OPD76" s="156"/>
      <c r="OPE76" s="156"/>
      <c r="OPF76" s="156"/>
      <c r="OPG76" s="156"/>
      <c r="OPH76" s="156"/>
      <c r="OPI76" s="156"/>
      <c r="OPJ76" s="156"/>
      <c r="OPK76" s="156"/>
      <c r="OPL76" s="156"/>
      <c r="OPM76" s="156"/>
      <c r="OPN76" s="156"/>
      <c r="OPO76" s="156"/>
      <c r="OPP76" s="156"/>
      <c r="OPQ76" s="156"/>
      <c r="OPR76" s="156"/>
      <c r="OPS76" s="156"/>
      <c r="OPT76" s="156"/>
      <c r="OPU76" s="156"/>
      <c r="OPV76" s="156"/>
      <c r="OPW76" s="156"/>
      <c r="OPX76" s="156"/>
      <c r="OPY76" s="156"/>
      <c r="OPZ76" s="156"/>
      <c r="OQA76" s="156"/>
      <c r="OQB76" s="156"/>
      <c r="OQC76" s="156"/>
      <c r="OQD76" s="156"/>
      <c r="OQE76" s="156"/>
      <c r="OQF76" s="156"/>
      <c r="OQG76" s="156"/>
      <c r="OQH76" s="156"/>
      <c r="OQI76" s="156"/>
      <c r="OQJ76" s="156"/>
      <c r="OQK76" s="156"/>
      <c r="OQL76" s="156"/>
      <c r="OQM76" s="156"/>
      <c r="OQN76" s="156"/>
      <c r="OQO76" s="156"/>
      <c r="OQP76" s="156"/>
      <c r="OQQ76" s="156"/>
      <c r="OQR76" s="156"/>
      <c r="OQS76" s="156"/>
      <c r="OQT76" s="156"/>
      <c r="OQU76" s="156"/>
      <c r="OQV76" s="156"/>
      <c r="OQW76" s="156"/>
      <c r="OQX76" s="156"/>
      <c r="OQY76" s="156"/>
      <c r="OQZ76" s="156"/>
      <c r="ORA76" s="156"/>
      <c r="ORB76" s="156"/>
      <c r="ORC76" s="156"/>
      <c r="ORD76" s="156"/>
      <c r="ORE76" s="156"/>
      <c r="ORF76" s="156"/>
      <c r="ORG76" s="156"/>
      <c r="ORH76" s="156"/>
      <c r="ORI76" s="156"/>
      <c r="ORJ76" s="156"/>
      <c r="ORK76" s="156"/>
      <c r="ORL76" s="156"/>
      <c r="ORM76" s="156"/>
      <c r="ORN76" s="156"/>
      <c r="ORO76" s="156"/>
      <c r="ORP76" s="156"/>
      <c r="ORQ76" s="156"/>
      <c r="ORR76" s="156"/>
      <c r="ORS76" s="156"/>
      <c r="ORT76" s="156"/>
      <c r="ORU76" s="156"/>
      <c r="ORV76" s="156"/>
      <c r="ORW76" s="156"/>
      <c r="ORX76" s="156"/>
      <c r="ORY76" s="156"/>
      <c r="ORZ76" s="156"/>
      <c r="OSA76" s="156"/>
      <c r="OSB76" s="156"/>
      <c r="OSC76" s="156"/>
      <c r="OSD76" s="156"/>
      <c r="OSE76" s="156"/>
      <c r="OSF76" s="156"/>
      <c r="OSG76" s="156"/>
      <c r="OSH76" s="156"/>
      <c r="OSI76" s="156"/>
      <c r="OSJ76" s="156"/>
      <c r="OSK76" s="156"/>
      <c r="OSL76" s="156"/>
      <c r="OSM76" s="156"/>
      <c r="OSN76" s="156"/>
      <c r="OSO76" s="156"/>
      <c r="OSP76" s="156"/>
      <c r="OSQ76" s="156"/>
      <c r="OSR76" s="156"/>
      <c r="OSS76" s="156"/>
      <c r="OST76" s="156"/>
      <c r="OSU76" s="156"/>
      <c r="OSV76" s="156"/>
      <c r="OSW76" s="156"/>
      <c r="OSX76" s="156"/>
      <c r="OSY76" s="156"/>
      <c r="OSZ76" s="156"/>
      <c r="OTA76" s="156"/>
      <c r="OTB76" s="156"/>
      <c r="OTC76" s="156"/>
      <c r="OTD76" s="156"/>
      <c r="OTE76" s="156"/>
      <c r="OTF76" s="156"/>
      <c r="OTG76" s="156"/>
      <c r="OTH76" s="156"/>
      <c r="OTI76" s="156"/>
      <c r="OTJ76" s="156"/>
      <c r="OTK76" s="156"/>
      <c r="OTL76" s="156"/>
      <c r="OTM76" s="156"/>
      <c r="OTN76" s="156"/>
      <c r="OTO76" s="156"/>
      <c r="OTP76" s="156"/>
      <c r="OTQ76" s="156"/>
      <c r="OTR76" s="156"/>
      <c r="OTS76" s="156"/>
      <c r="OTT76" s="156"/>
      <c r="OTU76" s="156"/>
      <c r="OTV76" s="156"/>
      <c r="OTW76" s="156"/>
      <c r="OTX76" s="156"/>
      <c r="OTY76" s="156"/>
      <c r="OTZ76" s="156"/>
      <c r="OUA76" s="156"/>
      <c r="OUB76" s="156"/>
      <c r="OUC76" s="156"/>
      <c r="OUD76" s="156"/>
      <c r="OUE76" s="156"/>
      <c r="OUF76" s="156"/>
      <c r="OUG76" s="156"/>
      <c r="OUH76" s="156"/>
      <c r="OUI76" s="156"/>
      <c r="OUJ76" s="156"/>
      <c r="OUK76" s="156"/>
      <c r="OUL76" s="156"/>
      <c r="OUM76" s="156"/>
      <c r="OUN76" s="156"/>
      <c r="OUO76" s="156"/>
      <c r="OUP76" s="156"/>
      <c r="OUQ76" s="156"/>
      <c r="OUR76" s="156"/>
      <c r="OUS76" s="156"/>
      <c r="OUT76" s="156"/>
      <c r="OUU76" s="156"/>
      <c r="OUV76" s="156"/>
      <c r="OUW76" s="156"/>
      <c r="OUX76" s="156"/>
      <c r="OUY76" s="156"/>
      <c r="OUZ76" s="156"/>
      <c r="OVA76" s="156"/>
      <c r="OVB76" s="156"/>
      <c r="OVC76" s="156"/>
      <c r="OVD76" s="156"/>
      <c r="OVE76" s="156"/>
      <c r="OVF76" s="156"/>
      <c r="OVG76" s="156"/>
      <c r="OVH76" s="156"/>
      <c r="OVI76" s="156"/>
      <c r="OVJ76" s="156"/>
      <c r="OVK76" s="156"/>
      <c r="OVL76" s="156"/>
      <c r="OVM76" s="156"/>
      <c r="OVN76" s="156"/>
      <c r="OVO76" s="156"/>
      <c r="OVP76" s="156"/>
      <c r="OVQ76" s="156"/>
      <c r="OVR76" s="156"/>
      <c r="OVS76" s="156"/>
      <c r="OVT76" s="156"/>
      <c r="OVU76" s="156"/>
      <c r="OVV76" s="156"/>
      <c r="OVW76" s="156"/>
      <c r="OVX76" s="156"/>
      <c r="OVY76" s="156"/>
      <c r="OVZ76" s="156"/>
      <c r="OWA76" s="156"/>
      <c r="OWB76" s="156"/>
      <c r="OWC76" s="156"/>
      <c r="OWD76" s="156"/>
      <c r="OWE76" s="156"/>
      <c r="OWF76" s="156"/>
      <c r="OWG76" s="156"/>
      <c r="OWH76" s="156"/>
      <c r="OWI76" s="156"/>
      <c r="OWJ76" s="156"/>
      <c r="OWK76" s="156"/>
      <c r="OWL76" s="156"/>
      <c r="OWM76" s="156"/>
      <c r="OWN76" s="156"/>
      <c r="OWO76" s="156"/>
      <c r="OWP76" s="156"/>
      <c r="OWQ76" s="156"/>
      <c r="OWR76" s="156"/>
      <c r="OWS76" s="156"/>
      <c r="OWT76" s="156"/>
      <c r="OWU76" s="156"/>
      <c r="OWV76" s="156"/>
      <c r="OWW76" s="156"/>
      <c r="OWX76" s="156"/>
      <c r="OWY76" s="156"/>
      <c r="OWZ76" s="156"/>
      <c r="OXA76" s="156"/>
      <c r="OXB76" s="156"/>
      <c r="OXC76" s="156"/>
      <c r="OXD76" s="156"/>
      <c r="OXE76" s="156"/>
      <c r="OXF76" s="156"/>
      <c r="OXG76" s="156"/>
      <c r="OXH76" s="156"/>
      <c r="OXI76" s="156"/>
      <c r="OXJ76" s="156"/>
      <c r="OXK76" s="156"/>
      <c r="OXL76" s="156"/>
      <c r="OXM76" s="156"/>
      <c r="OXN76" s="156"/>
      <c r="OXO76" s="156"/>
      <c r="OXP76" s="156"/>
      <c r="OXQ76" s="156"/>
      <c r="OXR76" s="156"/>
      <c r="OXS76" s="156"/>
      <c r="OXT76" s="156"/>
      <c r="OXU76" s="156"/>
      <c r="OXV76" s="156"/>
      <c r="OXW76" s="156"/>
      <c r="OXX76" s="156"/>
      <c r="OXY76" s="156"/>
      <c r="OXZ76" s="156"/>
      <c r="OYA76" s="156"/>
      <c r="OYB76" s="156"/>
      <c r="OYC76" s="156"/>
      <c r="OYD76" s="156"/>
      <c r="OYE76" s="156"/>
      <c r="OYF76" s="156"/>
      <c r="OYG76" s="156"/>
      <c r="OYH76" s="156"/>
      <c r="OYI76" s="156"/>
      <c r="OYJ76" s="156"/>
      <c r="OYK76" s="156"/>
      <c r="OYL76" s="156"/>
      <c r="OYM76" s="156"/>
      <c r="OYN76" s="156"/>
      <c r="OYO76" s="156"/>
      <c r="OYP76" s="156"/>
      <c r="OYQ76" s="156"/>
      <c r="OYR76" s="156"/>
      <c r="OYS76" s="156"/>
      <c r="OYT76" s="156"/>
      <c r="OYU76" s="156"/>
      <c r="OYV76" s="156"/>
      <c r="OYW76" s="156"/>
      <c r="OYX76" s="156"/>
      <c r="OYY76" s="156"/>
      <c r="OYZ76" s="156"/>
      <c r="OZA76" s="156"/>
      <c r="OZB76" s="156"/>
      <c r="OZC76" s="156"/>
      <c r="OZD76" s="156"/>
      <c r="OZE76" s="156"/>
      <c r="OZF76" s="156"/>
      <c r="OZG76" s="156"/>
      <c r="OZH76" s="156"/>
      <c r="OZI76" s="156"/>
      <c r="OZJ76" s="156"/>
      <c r="OZK76" s="156"/>
      <c r="OZL76" s="156"/>
      <c r="OZM76" s="156"/>
      <c r="OZN76" s="156"/>
      <c r="OZO76" s="156"/>
      <c r="OZP76" s="156"/>
      <c r="OZQ76" s="156"/>
      <c r="OZR76" s="156"/>
      <c r="OZS76" s="156"/>
      <c r="OZT76" s="156"/>
      <c r="OZU76" s="156"/>
      <c r="OZV76" s="156"/>
      <c r="OZW76" s="156"/>
      <c r="OZX76" s="156"/>
      <c r="OZY76" s="156"/>
      <c r="OZZ76" s="156"/>
      <c r="PAA76" s="156"/>
      <c r="PAB76" s="156"/>
      <c r="PAC76" s="156"/>
      <c r="PAD76" s="156"/>
      <c r="PAE76" s="156"/>
      <c r="PAF76" s="156"/>
      <c r="PAG76" s="156"/>
      <c r="PAH76" s="156"/>
      <c r="PAI76" s="156"/>
      <c r="PAJ76" s="156"/>
      <c r="PAK76" s="156"/>
      <c r="PAL76" s="156"/>
      <c r="PAM76" s="156"/>
      <c r="PAN76" s="156"/>
      <c r="PAO76" s="156"/>
      <c r="PAP76" s="156"/>
      <c r="PAQ76" s="156"/>
      <c r="PAR76" s="156"/>
      <c r="PAS76" s="156"/>
      <c r="PAT76" s="156"/>
      <c r="PAU76" s="156"/>
      <c r="PAV76" s="156"/>
      <c r="PAW76" s="156"/>
      <c r="PAX76" s="156"/>
      <c r="PAY76" s="156"/>
      <c r="PAZ76" s="156"/>
      <c r="PBA76" s="156"/>
      <c r="PBB76" s="156"/>
      <c r="PBC76" s="156"/>
      <c r="PBD76" s="156"/>
      <c r="PBE76" s="156"/>
      <c r="PBF76" s="156"/>
      <c r="PBG76" s="156"/>
      <c r="PBH76" s="156"/>
      <c r="PBI76" s="156"/>
      <c r="PBJ76" s="156"/>
      <c r="PBK76" s="156"/>
      <c r="PBL76" s="156"/>
      <c r="PBM76" s="156"/>
      <c r="PBN76" s="156"/>
      <c r="PBO76" s="156"/>
      <c r="PBP76" s="156"/>
      <c r="PBQ76" s="156"/>
      <c r="PBR76" s="156"/>
      <c r="PBS76" s="156"/>
      <c r="PBT76" s="156"/>
      <c r="PBU76" s="156"/>
      <c r="PBV76" s="156"/>
      <c r="PBW76" s="156"/>
      <c r="PBX76" s="156"/>
      <c r="PBY76" s="156"/>
      <c r="PBZ76" s="156"/>
      <c r="PCA76" s="156"/>
      <c r="PCB76" s="156"/>
      <c r="PCC76" s="156"/>
      <c r="PCD76" s="156"/>
      <c r="PCE76" s="156"/>
      <c r="PCF76" s="156"/>
      <c r="PCG76" s="156"/>
      <c r="PCH76" s="156"/>
      <c r="PCI76" s="156"/>
      <c r="PCJ76" s="156"/>
      <c r="PCK76" s="156"/>
      <c r="PCL76" s="156"/>
      <c r="PCM76" s="156"/>
      <c r="PCN76" s="156"/>
      <c r="PCO76" s="156"/>
      <c r="PCP76" s="156"/>
      <c r="PCQ76" s="156"/>
      <c r="PCR76" s="156"/>
      <c r="PCS76" s="156"/>
      <c r="PCT76" s="156"/>
      <c r="PCU76" s="156"/>
      <c r="PCV76" s="156"/>
      <c r="PCW76" s="156"/>
      <c r="PCX76" s="156"/>
      <c r="PCY76" s="156"/>
      <c r="PCZ76" s="156"/>
      <c r="PDA76" s="156"/>
      <c r="PDB76" s="156"/>
      <c r="PDC76" s="156"/>
      <c r="PDD76" s="156"/>
      <c r="PDE76" s="156"/>
      <c r="PDF76" s="156"/>
      <c r="PDG76" s="156"/>
      <c r="PDH76" s="156"/>
      <c r="PDI76" s="156"/>
      <c r="PDJ76" s="156"/>
      <c r="PDK76" s="156"/>
      <c r="PDL76" s="156"/>
      <c r="PDM76" s="156"/>
      <c r="PDN76" s="156"/>
      <c r="PDO76" s="156"/>
      <c r="PDP76" s="156"/>
      <c r="PDQ76" s="156"/>
      <c r="PDR76" s="156"/>
      <c r="PDS76" s="156"/>
      <c r="PDT76" s="156"/>
      <c r="PDU76" s="156"/>
      <c r="PDV76" s="156"/>
      <c r="PDW76" s="156"/>
      <c r="PDX76" s="156"/>
      <c r="PDY76" s="156"/>
      <c r="PDZ76" s="156"/>
      <c r="PEA76" s="156"/>
      <c r="PEB76" s="156"/>
      <c r="PEC76" s="156"/>
      <c r="PED76" s="156"/>
      <c r="PEE76" s="156"/>
      <c r="PEF76" s="156"/>
      <c r="PEG76" s="156"/>
      <c r="PEH76" s="156"/>
      <c r="PEI76" s="156"/>
      <c r="PEJ76" s="156"/>
      <c r="PEK76" s="156"/>
      <c r="PEL76" s="156"/>
      <c r="PEM76" s="156"/>
      <c r="PEN76" s="156"/>
      <c r="PEO76" s="156"/>
      <c r="PEP76" s="156"/>
      <c r="PEQ76" s="156"/>
      <c r="PER76" s="156"/>
      <c r="PES76" s="156"/>
      <c r="PET76" s="156"/>
      <c r="PEU76" s="156"/>
      <c r="PEV76" s="156"/>
      <c r="PEW76" s="156"/>
      <c r="PEX76" s="156"/>
      <c r="PEY76" s="156"/>
      <c r="PEZ76" s="156"/>
      <c r="PFA76" s="156"/>
      <c r="PFB76" s="156"/>
      <c r="PFC76" s="156"/>
      <c r="PFD76" s="156"/>
      <c r="PFE76" s="156"/>
      <c r="PFF76" s="156"/>
      <c r="PFG76" s="156"/>
      <c r="PFH76" s="156"/>
      <c r="PFI76" s="156"/>
      <c r="PFJ76" s="156"/>
      <c r="PFK76" s="156"/>
      <c r="PFL76" s="156"/>
      <c r="PFM76" s="156"/>
      <c r="PFN76" s="156"/>
      <c r="PFO76" s="156"/>
      <c r="PFP76" s="156"/>
      <c r="PFQ76" s="156"/>
      <c r="PFR76" s="156"/>
      <c r="PFS76" s="156"/>
      <c r="PFT76" s="156"/>
      <c r="PFU76" s="156"/>
      <c r="PFV76" s="156"/>
      <c r="PFW76" s="156"/>
      <c r="PFX76" s="156"/>
      <c r="PFY76" s="156"/>
      <c r="PFZ76" s="156"/>
      <c r="PGA76" s="156"/>
      <c r="PGB76" s="156"/>
      <c r="PGC76" s="156"/>
      <c r="PGD76" s="156"/>
      <c r="PGE76" s="156"/>
      <c r="PGF76" s="156"/>
      <c r="PGG76" s="156"/>
      <c r="PGH76" s="156"/>
      <c r="PGI76" s="156"/>
      <c r="PGJ76" s="156"/>
      <c r="PGK76" s="156"/>
      <c r="PGL76" s="156"/>
      <c r="PGM76" s="156"/>
      <c r="PGN76" s="156"/>
      <c r="PGO76" s="156"/>
      <c r="PGP76" s="156"/>
      <c r="PGQ76" s="156"/>
      <c r="PGR76" s="156"/>
      <c r="PGS76" s="156"/>
      <c r="PGT76" s="156"/>
      <c r="PGU76" s="156"/>
      <c r="PGV76" s="156"/>
      <c r="PGW76" s="156"/>
      <c r="PGX76" s="156"/>
      <c r="PGY76" s="156"/>
      <c r="PGZ76" s="156"/>
      <c r="PHA76" s="156"/>
      <c r="PHB76" s="156"/>
      <c r="PHC76" s="156"/>
      <c r="PHD76" s="156"/>
      <c r="PHE76" s="156"/>
      <c r="PHF76" s="156"/>
      <c r="PHG76" s="156"/>
      <c r="PHH76" s="156"/>
      <c r="PHI76" s="156"/>
      <c r="PHJ76" s="156"/>
      <c r="PHK76" s="156"/>
      <c r="PHL76" s="156"/>
      <c r="PHM76" s="156"/>
      <c r="PHN76" s="156"/>
      <c r="PHO76" s="156"/>
      <c r="PHP76" s="156"/>
      <c r="PHQ76" s="156"/>
      <c r="PHR76" s="156"/>
      <c r="PHS76" s="156"/>
      <c r="PHT76" s="156"/>
      <c r="PHU76" s="156"/>
      <c r="PHV76" s="156"/>
      <c r="PHW76" s="156"/>
      <c r="PHX76" s="156"/>
      <c r="PHY76" s="156"/>
      <c r="PHZ76" s="156"/>
      <c r="PIA76" s="156"/>
      <c r="PIB76" s="156"/>
      <c r="PIC76" s="156"/>
      <c r="PID76" s="156"/>
      <c r="PIE76" s="156"/>
      <c r="PIF76" s="156"/>
      <c r="PIG76" s="156"/>
      <c r="PIH76" s="156"/>
      <c r="PII76" s="156"/>
      <c r="PIJ76" s="156"/>
      <c r="PIK76" s="156"/>
      <c r="PIL76" s="156"/>
      <c r="PIM76" s="156"/>
      <c r="PIN76" s="156"/>
      <c r="PIO76" s="156"/>
      <c r="PIP76" s="156"/>
      <c r="PIQ76" s="156"/>
      <c r="PIR76" s="156"/>
      <c r="PIS76" s="156"/>
      <c r="PIT76" s="156"/>
      <c r="PIU76" s="156"/>
      <c r="PIV76" s="156"/>
      <c r="PIW76" s="156"/>
      <c r="PIX76" s="156"/>
      <c r="PIY76" s="156"/>
      <c r="PIZ76" s="156"/>
      <c r="PJA76" s="156"/>
      <c r="PJB76" s="156"/>
      <c r="PJC76" s="156"/>
      <c r="PJD76" s="156"/>
      <c r="PJE76" s="156"/>
      <c r="PJF76" s="156"/>
      <c r="PJG76" s="156"/>
      <c r="PJH76" s="156"/>
      <c r="PJI76" s="156"/>
      <c r="PJJ76" s="156"/>
      <c r="PJK76" s="156"/>
      <c r="PJL76" s="156"/>
      <c r="PJM76" s="156"/>
      <c r="PJN76" s="156"/>
      <c r="PJO76" s="156"/>
      <c r="PJP76" s="156"/>
      <c r="PJQ76" s="156"/>
      <c r="PJR76" s="156"/>
      <c r="PJS76" s="156"/>
      <c r="PJT76" s="156"/>
      <c r="PJU76" s="156"/>
      <c r="PJV76" s="156"/>
      <c r="PJW76" s="156"/>
      <c r="PJX76" s="156"/>
      <c r="PJY76" s="156"/>
      <c r="PJZ76" s="156"/>
      <c r="PKA76" s="156"/>
      <c r="PKB76" s="156"/>
      <c r="PKC76" s="156"/>
      <c r="PKD76" s="156"/>
      <c r="PKE76" s="156"/>
      <c r="PKF76" s="156"/>
      <c r="PKG76" s="156"/>
      <c r="PKH76" s="156"/>
      <c r="PKI76" s="156"/>
      <c r="PKJ76" s="156"/>
      <c r="PKK76" s="156"/>
      <c r="PKL76" s="156"/>
      <c r="PKM76" s="156"/>
      <c r="PKN76" s="156"/>
      <c r="PKO76" s="156"/>
      <c r="PKP76" s="156"/>
      <c r="PKQ76" s="156"/>
      <c r="PKR76" s="156"/>
      <c r="PKS76" s="156"/>
      <c r="PKT76" s="156"/>
      <c r="PKU76" s="156"/>
      <c r="PKV76" s="156"/>
      <c r="PKW76" s="156"/>
      <c r="PKX76" s="156"/>
      <c r="PKY76" s="156"/>
      <c r="PKZ76" s="156"/>
      <c r="PLA76" s="156"/>
      <c r="PLB76" s="156"/>
      <c r="PLC76" s="156"/>
      <c r="PLD76" s="156"/>
      <c r="PLE76" s="156"/>
      <c r="PLF76" s="156"/>
      <c r="PLG76" s="156"/>
      <c r="PLH76" s="156"/>
      <c r="PLI76" s="156"/>
      <c r="PLJ76" s="156"/>
      <c r="PLK76" s="156"/>
      <c r="PLL76" s="156"/>
      <c r="PLM76" s="156"/>
      <c r="PLN76" s="156"/>
      <c r="PLO76" s="156"/>
      <c r="PLP76" s="156"/>
      <c r="PLQ76" s="156"/>
      <c r="PLR76" s="156"/>
      <c r="PLS76" s="156"/>
      <c r="PLT76" s="156"/>
      <c r="PLU76" s="156"/>
      <c r="PLV76" s="156"/>
      <c r="PLW76" s="156"/>
      <c r="PLX76" s="156"/>
      <c r="PLY76" s="156"/>
      <c r="PLZ76" s="156"/>
      <c r="PMA76" s="156"/>
      <c r="PMB76" s="156"/>
      <c r="PMC76" s="156"/>
      <c r="PMD76" s="156"/>
      <c r="PME76" s="156"/>
      <c r="PMF76" s="156"/>
      <c r="PMG76" s="156"/>
      <c r="PMH76" s="156"/>
      <c r="PMI76" s="156"/>
      <c r="PMJ76" s="156"/>
      <c r="PMK76" s="156"/>
      <c r="PML76" s="156"/>
      <c r="PMM76" s="156"/>
      <c r="PMN76" s="156"/>
      <c r="PMO76" s="156"/>
      <c r="PMP76" s="156"/>
      <c r="PMQ76" s="156"/>
      <c r="PMR76" s="156"/>
      <c r="PMS76" s="156"/>
      <c r="PMT76" s="156"/>
      <c r="PMU76" s="156"/>
      <c r="PMV76" s="156"/>
      <c r="PMW76" s="156"/>
      <c r="PMX76" s="156"/>
      <c r="PMY76" s="156"/>
      <c r="PMZ76" s="156"/>
      <c r="PNA76" s="156"/>
      <c r="PNB76" s="156"/>
      <c r="PNC76" s="156"/>
      <c r="PND76" s="156"/>
      <c r="PNE76" s="156"/>
      <c r="PNF76" s="156"/>
      <c r="PNG76" s="156"/>
      <c r="PNH76" s="156"/>
      <c r="PNI76" s="156"/>
      <c r="PNJ76" s="156"/>
      <c r="PNK76" s="156"/>
      <c r="PNL76" s="156"/>
      <c r="PNM76" s="156"/>
      <c r="PNN76" s="156"/>
      <c r="PNO76" s="156"/>
      <c r="PNP76" s="156"/>
      <c r="PNQ76" s="156"/>
      <c r="PNR76" s="156"/>
      <c r="PNS76" s="156"/>
      <c r="PNT76" s="156"/>
      <c r="PNU76" s="156"/>
      <c r="PNV76" s="156"/>
      <c r="PNW76" s="156"/>
      <c r="PNX76" s="156"/>
      <c r="PNY76" s="156"/>
      <c r="PNZ76" s="156"/>
      <c r="POA76" s="156"/>
      <c r="POB76" s="156"/>
      <c r="POC76" s="156"/>
      <c r="POD76" s="156"/>
      <c r="POE76" s="156"/>
      <c r="POF76" s="156"/>
      <c r="POG76" s="156"/>
      <c r="POH76" s="156"/>
      <c r="POI76" s="156"/>
      <c r="POJ76" s="156"/>
      <c r="POK76" s="156"/>
      <c r="POL76" s="156"/>
      <c r="POM76" s="156"/>
      <c r="PON76" s="156"/>
      <c r="POO76" s="156"/>
      <c r="POP76" s="156"/>
      <c r="POQ76" s="156"/>
      <c r="POR76" s="156"/>
      <c r="POS76" s="156"/>
      <c r="POT76" s="156"/>
      <c r="POU76" s="156"/>
      <c r="POV76" s="156"/>
      <c r="POW76" s="156"/>
      <c r="POX76" s="156"/>
      <c r="POY76" s="156"/>
      <c r="POZ76" s="156"/>
      <c r="PPA76" s="156"/>
      <c r="PPB76" s="156"/>
      <c r="PPC76" s="156"/>
      <c r="PPD76" s="156"/>
      <c r="PPE76" s="156"/>
      <c r="PPF76" s="156"/>
      <c r="PPG76" s="156"/>
      <c r="PPH76" s="156"/>
      <c r="PPI76" s="156"/>
      <c r="PPJ76" s="156"/>
      <c r="PPK76" s="156"/>
      <c r="PPL76" s="156"/>
      <c r="PPM76" s="156"/>
      <c r="PPN76" s="156"/>
      <c r="PPO76" s="156"/>
      <c r="PPP76" s="156"/>
      <c r="PPQ76" s="156"/>
      <c r="PPR76" s="156"/>
      <c r="PPS76" s="156"/>
      <c r="PPT76" s="156"/>
      <c r="PPU76" s="156"/>
      <c r="PPV76" s="156"/>
      <c r="PPW76" s="156"/>
      <c r="PPX76" s="156"/>
      <c r="PPY76" s="156"/>
      <c r="PPZ76" s="156"/>
      <c r="PQA76" s="156"/>
      <c r="PQB76" s="156"/>
      <c r="PQC76" s="156"/>
      <c r="PQD76" s="156"/>
      <c r="PQE76" s="156"/>
      <c r="PQF76" s="156"/>
      <c r="PQG76" s="156"/>
      <c r="PQH76" s="156"/>
      <c r="PQI76" s="156"/>
      <c r="PQJ76" s="156"/>
      <c r="PQK76" s="156"/>
      <c r="PQL76" s="156"/>
      <c r="PQM76" s="156"/>
      <c r="PQN76" s="156"/>
      <c r="PQO76" s="156"/>
      <c r="PQP76" s="156"/>
      <c r="PQQ76" s="156"/>
      <c r="PQR76" s="156"/>
      <c r="PQS76" s="156"/>
      <c r="PQT76" s="156"/>
      <c r="PQU76" s="156"/>
      <c r="PQV76" s="156"/>
      <c r="PQW76" s="156"/>
      <c r="PQX76" s="156"/>
      <c r="PQY76" s="156"/>
      <c r="PQZ76" s="156"/>
      <c r="PRA76" s="156"/>
      <c r="PRB76" s="156"/>
      <c r="PRC76" s="156"/>
      <c r="PRD76" s="156"/>
      <c r="PRE76" s="156"/>
      <c r="PRF76" s="156"/>
      <c r="PRG76" s="156"/>
      <c r="PRH76" s="156"/>
      <c r="PRI76" s="156"/>
      <c r="PRJ76" s="156"/>
      <c r="PRK76" s="156"/>
      <c r="PRL76" s="156"/>
      <c r="PRM76" s="156"/>
      <c r="PRN76" s="156"/>
      <c r="PRO76" s="156"/>
      <c r="PRP76" s="156"/>
      <c r="PRQ76" s="156"/>
      <c r="PRR76" s="156"/>
      <c r="PRS76" s="156"/>
      <c r="PRT76" s="156"/>
      <c r="PRU76" s="156"/>
      <c r="PRV76" s="156"/>
      <c r="PRW76" s="156"/>
      <c r="PRX76" s="156"/>
      <c r="PRY76" s="156"/>
      <c r="PRZ76" s="156"/>
      <c r="PSA76" s="156"/>
      <c r="PSB76" s="156"/>
      <c r="PSC76" s="156"/>
      <c r="PSD76" s="156"/>
      <c r="PSE76" s="156"/>
      <c r="PSF76" s="156"/>
      <c r="PSG76" s="156"/>
      <c r="PSH76" s="156"/>
      <c r="PSI76" s="156"/>
      <c r="PSJ76" s="156"/>
      <c r="PSK76" s="156"/>
      <c r="PSL76" s="156"/>
      <c r="PSM76" s="156"/>
      <c r="PSN76" s="156"/>
      <c r="PSO76" s="156"/>
      <c r="PSP76" s="156"/>
      <c r="PSQ76" s="156"/>
      <c r="PSR76" s="156"/>
      <c r="PSS76" s="156"/>
      <c r="PST76" s="156"/>
      <c r="PSU76" s="156"/>
      <c r="PSV76" s="156"/>
      <c r="PSW76" s="156"/>
      <c r="PSX76" s="156"/>
      <c r="PSY76" s="156"/>
      <c r="PSZ76" s="156"/>
      <c r="PTA76" s="156"/>
      <c r="PTB76" s="156"/>
      <c r="PTC76" s="156"/>
      <c r="PTD76" s="156"/>
      <c r="PTE76" s="156"/>
      <c r="PTF76" s="156"/>
      <c r="PTG76" s="156"/>
      <c r="PTH76" s="156"/>
      <c r="PTI76" s="156"/>
      <c r="PTJ76" s="156"/>
      <c r="PTK76" s="156"/>
      <c r="PTL76" s="156"/>
      <c r="PTM76" s="156"/>
      <c r="PTN76" s="156"/>
      <c r="PTO76" s="156"/>
      <c r="PTP76" s="156"/>
      <c r="PTQ76" s="156"/>
      <c r="PTR76" s="156"/>
      <c r="PTS76" s="156"/>
      <c r="PTT76" s="156"/>
      <c r="PTU76" s="156"/>
      <c r="PTV76" s="156"/>
      <c r="PTW76" s="156"/>
      <c r="PTX76" s="156"/>
      <c r="PTY76" s="156"/>
      <c r="PTZ76" s="156"/>
      <c r="PUA76" s="156"/>
      <c r="PUB76" s="156"/>
      <c r="PUC76" s="156"/>
      <c r="PUD76" s="156"/>
      <c r="PUE76" s="156"/>
      <c r="PUF76" s="156"/>
      <c r="PUG76" s="156"/>
      <c r="PUH76" s="156"/>
      <c r="PUI76" s="156"/>
      <c r="PUJ76" s="156"/>
      <c r="PUK76" s="156"/>
      <c r="PUL76" s="156"/>
      <c r="PUM76" s="156"/>
      <c r="PUN76" s="156"/>
      <c r="PUO76" s="156"/>
      <c r="PUP76" s="156"/>
      <c r="PUQ76" s="156"/>
      <c r="PUR76" s="156"/>
      <c r="PUS76" s="156"/>
      <c r="PUT76" s="156"/>
      <c r="PUU76" s="156"/>
      <c r="PUV76" s="156"/>
      <c r="PUW76" s="156"/>
      <c r="PUX76" s="156"/>
      <c r="PUY76" s="156"/>
      <c r="PUZ76" s="156"/>
      <c r="PVA76" s="156"/>
      <c r="PVB76" s="156"/>
      <c r="PVC76" s="156"/>
      <c r="PVD76" s="156"/>
      <c r="PVE76" s="156"/>
      <c r="PVF76" s="156"/>
      <c r="PVG76" s="156"/>
      <c r="PVH76" s="156"/>
      <c r="PVI76" s="156"/>
      <c r="PVJ76" s="156"/>
      <c r="PVK76" s="156"/>
      <c r="PVL76" s="156"/>
      <c r="PVM76" s="156"/>
      <c r="PVN76" s="156"/>
      <c r="PVO76" s="156"/>
      <c r="PVP76" s="156"/>
      <c r="PVQ76" s="156"/>
      <c r="PVR76" s="156"/>
      <c r="PVS76" s="156"/>
      <c r="PVT76" s="156"/>
      <c r="PVU76" s="156"/>
      <c r="PVV76" s="156"/>
      <c r="PVW76" s="156"/>
      <c r="PVX76" s="156"/>
      <c r="PVY76" s="156"/>
      <c r="PVZ76" s="156"/>
      <c r="PWA76" s="156"/>
      <c r="PWB76" s="156"/>
      <c r="PWC76" s="156"/>
      <c r="PWD76" s="156"/>
      <c r="PWE76" s="156"/>
      <c r="PWF76" s="156"/>
      <c r="PWG76" s="156"/>
      <c r="PWH76" s="156"/>
      <c r="PWI76" s="156"/>
      <c r="PWJ76" s="156"/>
      <c r="PWK76" s="156"/>
      <c r="PWL76" s="156"/>
      <c r="PWM76" s="156"/>
      <c r="PWN76" s="156"/>
      <c r="PWO76" s="156"/>
      <c r="PWP76" s="156"/>
      <c r="PWQ76" s="156"/>
      <c r="PWR76" s="156"/>
      <c r="PWS76" s="156"/>
      <c r="PWT76" s="156"/>
      <c r="PWU76" s="156"/>
      <c r="PWV76" s="156"/>
      <c r="PWW76" s="156"/>
      <c r="PWX76" s="156"/>
      <c r="PWY76" s="156"/>
      <c r="PWZ76" s="156"/>
      <c r="PXA76" s="156"/>
      <c r="PXB76" s="156"/>
      <c r="PXC76" s="156"/>
      <c r="PXD76" s="156"/>
      <c r="PXE76" s="156"/>
      <c r="PXF76" s="156"/>
      <c r="PXG76" s="156"/>
      <c r="PXH76" s="156"/>
      <c r="PXI76" s="156"/>
      <c r="PXJ76" s="156"/>
      <c r="PXK76" s="156"/>
      <c r="PXL76" s="156"/>
      <c r="PXM76" s="156"/>
      <c r="PXN76" s="156"/>
      <c r="PXO76" s="156"/>
      <c r="PXP76" s="156"/>
      <c r="PXQ76" s="156"/>
      <c r="PXR76" s="156"/>
      <c r="PXS76" s="156"/>
      <c r="PXT76" s="156"/>
      <c r="PXU76" s="156"/>
      <c r="PXV76" s="156"/>
      <c r="PXW76" s="156"/>
      <c r="PXX76" s="156"/>
      <c r="PXY76" s="156"/>
      <c r="PXZ76" s="156"/>
      <c r="PYA76" s="156"/>
      <c r="PYB76" s="156"/>
      <c r="PYC76" s="156"/>
      <c r="PYD76" s="156"/>
      <c r="PYE76" s="156"/>
      <c r="PYF76" s="156"/>
      <c r="PYG76" s="156"/>
      <c r="PYH76" s="156"/>
      <c r="PYI76" s="156"/>
      <c r="PYJ76" s="156"/>
      <c r="PYK76" s="156"/>
      <c r="PYL76" s="156"/>
      <c r="PYM76" s="156"/>
      <c r="PYN76" s="156"/>
      <c r="PYO76" s="156"/>
      <c r="PYP76" s="156"/>
      <c r="PYQ76" s="156"/>
      <c r="PYR76" s="156"/>
      <c r="PYS76" s="156"/>
      <c r="PYT76" s="156"/>
      <c r="PYU76" s="156"/>
      <c r="PYV76" s="156"/>
      <c r="PYW76" s="156"/>
      <c r="PYX76" s="156"/>
      <c r="PYY76" s="156"/>
      <c r="PYZ76" s="156"/>
      <c r="PZA76" s="156"/>
      <c r="PZB76" s="156"/>
      <c r="PZC76" s="156"/>
      <c r="PZD76" s="156"/>
      <c r="PZE76" s="156"/>
      <c r="PZF76" s="156"/>
      <c r="PZG76" s="156"/>
      <c r="PZH76" s="156"/>
      <c r="PZI76" s="156"/>
      <c r="PZJ76" s="156"/>
      <c r="PZK76" s="156"/>
      <c r="PZL76" s="156"/>
      <c r="PZM76" s="156"/>
      <c r="PZN76" s="156"/>
      <c r="PZO76" s="156"/>
      <c r="PZP76" s="156"/>
      <c r="PZQ76" s="156"/>
      <c r="PZR76" s="156"/>
      <c r="PZS76" s="156"/>
      <c r="PZT76" s="156"/>
      <c r="PZU76" s="156"/>
      <c r="PZV76" s="156"/>
      <c r="PZW76" s="156"/>
      <c r="PZX76" s="156"/>
      <c r="PZY76" s="156"/>
      <c r="PZZ76" s="156"/>
      <c r="QAA76" s="156"/>
      <c r="QAB76" s="156"/>
      <c r="QAC76" s="156"/>
      <c r="QAD76" s="156"/>
      <c r="QAE76" s="156"/>
      <c r="QAF76" s="156"/>
      <c r="QAG76" s="156"/>
      <c r="QAH76" s="156"/>
      <c r="QAI76" s="156"/>
      <c r="QAJ76" s="156"/>
      <c r="QAK76" s="156"/>
      <c r="QAL76" s="156"/>
      <c r="QAM76" s="156"/>
      <c r="QAN76" s="156"/>
      <c r="QAO76" s="156"/>
      <c r="QAP76" s="156"/>
      <c r="QAQ76" s="156"/>
      <c r="QAR76" s="156"/>
      <c r="QAS76" s="156"/>
      <c r="QAT76" s="156"/>
      <c r="QAU76" s="156"/>
      <c r="QAV76" s="156"/>
      <c r="QAW76" s="156"/>
      <c r="QAX76" s="156"/>
      <c r="QAY76" s="156"/>
      <c r="QAZ76" s="156"/>
      <c r="QBA76" s="156"/>
      <c r="QBB76" s="156"/>
      <c r="QBC76" s="156"/>
      <c r="QBD76" s="156"/>
      <c r="QBE76" s="156"/>
      <c r="QBF76" s="156"/>
      <c r="QBG76" s="156"/>
      <c r="QBH76" s="156"/>
      <c r="QBI76" s="156"/>
      <c r="QBJ76" s="156"/>
      <c r="QBK76" s="156"/>
      <c r="QBL76" s="156"/>
      <c r="QBM76" s="156"/>
      <c r="QBN76" s="156"/>
      <c r="QBO76" s="156"/>
      <c r="QBP76" s="156"/>
      <c r="QBQ76" s="156"/>
      <c r="QBR76" s="156"/>
      <c r="QBS76" s="156"/>
      <c r="QBT76" s="156"/>
      <c r="QBU76" s="156"/>
      <c r="QBV76" s="156"/>
      <c r="QBW76" s="156"/>
      <c r="QBX76" s="156"/>
      <c r="QBY76" s="156"/>
      <c r="QBZ76" s="156"/>
      <c r="QCA76" s="156"/>
      <c r="QCB76" s="156"/>
      <c r="QCC76" s="156"/>
      <c r="QCD76" s="156"/>
      <c r="QCE76" s="156"/>
      <c r="QCF76" s="156"/>
      <c r="QCG76" s="156"/>
      <c r="QCH76" s="156"/>
      <c r="QCI76" s="156"/>
      <c r="QCJ76" s="156"/>
      <c r="QCK76" s="156"/>
      <c r="QCL76" s="156"/>
      <c r="QCM76" s="156"/>
      <c r="QCN76" s="156"/>
      <c r="QCO76" s="156"/>
      <c r="QCP76" s="156"/>
      <c r="QCQ76" s="156"/>
      <c r="QCR76" s="156"/>
      <c r="QCS76" s="156"/>
      <c r="QCT76" s="156"/>
      <c r="QCU76" s="156"/>
      <c r="QCV76" s="156"/>
      <c r="QCW76" s="156"/>
      <c r="QCX76" s="156"/>
      <c r="QCY76" s="156"/>
      <c r="QCZ76" s="156"/>
      <c r="QDA76" s="156"/>
      <c r="QDB76" s="156"/>
      <c r="QDC76" s="156"/>
      <c r="QDD76" s="156"/>
      <c r="QDE76" s="156"/>
      <c r="QDF76" s="156"/>
      <c r="QDG76" s="156"/>
      <c r="QDH76" s="156"/>
      <c r="QDI76" s="156"/>
      <c r="QDJ76" s="156"/>
      <c r="QDK76" s="156"/>
      <c r="QDL76" s="156"/>
      <c r="QDM76" s="156"/>
      <c r="QDN76" s="156"/>
      <c r="QDO76" s="156"/>
      <c r="QDP76" s="156"/>
      <c r="QDQ76" s="156"/>
      <c r="QDR76" s="156"/>
      <c r="QDS76" s="156"/>
      <c r="QDT76" s="156"/>
      <c r="QDU76" s="156"/>
      <c r="QDV76" s="156"/>
      <c r="QDW76" s="156"/>
      <c r="QDX76" s="156"/>
      <c r="QDY76" s="156"/>
      <c r="QDZ76" s="156"/>
      <c r="QEA76" s="156"/>
      <c r="QEB76" s="156"/>
      <c r="QEC76" s="156"/>
      <c r="QED76" s="156"/>
      <c r="QEE76" s="156"/>
      <c r="QEF76" s="156"/>
      <c r="QEG76" s="156"/>
      <c r="QEH76" s="156"/>
      <c r="QEI76" s="156"/>
      <c r="QEJ76" s="156"/>
      <c r="QEK76" s="156"/>
      <c r="QEL76" s="156"/>
      <c r="QEM76" s="156"/>
      <c r="QEN76" s="156"/>
      <c r="QEO76" s="156"/>
      <c r="QEP76" s="156"/>
      <c r="QEQ76" s="156"/>
      <c r="QER76" s="156"/>
      <c r="QES76" s="156"/>
      <c r="QET76" s="156"/>
      <c r="QEU76" s="156"/>
      <c r="QEV76" s="156"/>
      <c r="QEW76" s="156"/>
      <c r="QEX76" s="156"/>
      <c r="QEY76" s="156"/>
      <c r="QEZ76" s="156"/>
      <c r="QFA76" s="156"/>
      <c r="QFB76" s="156"/>
      <c r="QFC76" s="156"/>
      <c r="QFD76" s="156"/>
      <c r="QFE76" s="156"/>
      <c r="QFF76" s="156"/>
      <c r="QFG76" s="156"/>
      <c r="QFH76" s="156"/>
      <c r="QFI76" s="156"/>
      <c r="QFJ76" s="156"/>
      <c r="QFK76" s="156"/>
      <c r="QFL76" s="156"/>
      <c r="QFM76" s="156"/>
      <c r="QFN76" s="156"/>
      <c r="QFO76" s="156"/>
      <c r="QFP76" s="156"/>
      <c r="QFQ76" s="156"/>
      <c r="QFR76" s="156"/>
      <c r="QFS76" s="156"/>
      <c r="QFT76" s="156"/>
      <c r="QFU76" s="156"/>
      <c r="QFV76" s="156"/>
      <c r="QFW76" s="156"/>
      <c r="QFX76" s="156"/>
      <c r="QFY76" s="156"/>
      <c r="QFZ76" s="156"/>
      <c r="QGA76" s="156"/>
      <c r="QGB76" s="156"/>
      <c r="QGC76" s="156"/>
      <c r="QGD76" s="156"/>
      <c r="QGE76" s="156"/>
      <c r="QGF76" s="156"/>
      <c r="QGG76" s="156"/>
      <c r="QGH76" s="156"/>
      <c r="QGI76" s="156"/>
      <c r="QGJ76" s="156"/>
      <c r="QGK76" s="156"/>
      <c r="QGL76" s="156"/>
      <c r="QGM76" s="156"/>
      <c r="QGN76" s="156"/>
      <c r="QGO76" s="156"/>
      <c r="QGP76" s="156"/>
      <c r="QGQ76" s="156"/>
      <c r="QGR76" s="156"/>
      <c r="QGS76" s="156"/>
      <c r="QGT76" s="156"/>
      <c r="QGU76" s="156"/>
      <c r="QGV76" s="156"/>
      <c r="QGW76" s="156"/>
      <c r="QGX76" s="156"/>
      <c r="QGY76" s="156"/>
      <c r="QGZ76" s="156"/>
      <c r="QHA76" s="156"/>
      <c r="QHB76" s="156"/>
      <c r="QHC76" s="156"/>
      <c r="QHD76" s="156"/>
      <c r="QHE76" s="156"/>
      <c r="QHF76" s="156"/>
      <c r="QHG76" s="156"/>
      <c r="QHH76" s="156"/>
      <c r="QHI76" s="156"/>
      <c r="QHJ76" s="156"/>
      <c r="QHK76" s="156"/>
      <c r="QHL76" s="156"/>
      <c r="QHM76" s="156"/>
      <c r="QHN76" s="156"/>
      <c r="QHO76" s="156"/>
      <c r="QHP76" s="156"/>
      <c r="QHQ76" s="156"/>
      <c r="QHR76" s="156"/>
      <c r="QHS76" s="156"/>
      <c r="QHT76" s="156"/>
      <c r="QHU76" s="156"/>
      <c r="QHV76" s="156"/>
      <c r="QHW76" s="156"/>
      <c r="QHX76" s="156"/>
      <c r="QHY76" s="156"/>
      <c r="QHZ76" s="156"/>
      <c r="QIA76" s="156"/>
      <c r="QIB76" s="156"/>
      <c r="QIC76" s="156"/>
      <c r="QID76" s="156"/>
      <c r="QIE76" s="156"/>
      <c r="QIF76" s="156"/>
      <c r="QIG76" s="156"/>
      <c r="QIH76" s="156"/>
      <c r="QII76" s="156"/>
      <c r="QIJ76" s="156"/>
      <c r="QIK76" s="156"/>
      <c r="QIL76" s="156"/>
      <c r="QIM76" s="156"/>
      <c r="QIN76" s="156"/>
      <c r="QIO76" s="156"/>
      <c r="QIP76" s="156"/>
      <c r="QIQ76" s="156"/>
      <c r="QIR76" s="156"/>
      <c r="QIS76" s="156"/>
      <c r="QIT76" s="156"/>
      <c r="QIU76" s="156"/>
      <c r="QIV76" s="156"/>
      <c r="QIW76" s="156"/>
      <c r="QIX76" s="156"/>
      <c r="QIY76" s="156"/>
      <c r="QIZ76" s="156"/>
      <c r="QJA76" s="156"/>
      <c r="QJB76" s="156"/>
      <c r="QJC76" s="156"/>
      <c r="QJD76" s="156"/>
      <c r="QJE76" s="156"/>
      <c r="QJF76" s="156"/>
      <c r="QJG76" s="156"/>
      <c r="QJH76" s="156"/>
      <c r="QJI76" s="156"/>
      <c r="QJJ76" s="156"/>
      <c r="QJK76" s="156"/>
      <c r="QJL76" s="156"/>
      <c r="QJM76" s="156"/>
      <c r="QJN76" s="156"/>
      <c r="QJO76" s="156"/>
      <c r="QJP76" s="156"/>
      <c r="QJQ76" s="156"/>
      <c r="QJR76" s="156"/>
      <c r="QJS76" s="156"/>
      <c r="QJT76" s="156"/>
      <c r="QJU76" s="156"/>
      <c r="QJV76" s="156"/>
      <c r="QJW76" s="156"/>
      <c r="QJX76" s="156"/>
      <c r="QJY76" s="156"/>
      <c r="QJZ76" s="156"/>
      <c r="QKA76" s="156"/>
      <c r="QKB76" s="156"/>
      <c r="QKC76" s="156"/>
      <c r="QKD76" s="156"/>
      <c r="QKE76" s="156"/>
      <c r="QKF76" s="156"/>
      <c r="QKG76" s="156"/>
      <c r="QKH76" s="156"/>
      <c r="QKI76" s="156"/>
      <c r="QKJ76" s="156"/>
      <c r="QKK76" s="156"/>
      <c r="QKL76" s="156"/>
      <c r="QKM76" s="156"/>
      <c r="QKN76" s="156"/>
      <c r="QKO76" s="156"/>
      <c r="QKP76" s="156"/>
      <c r="QKQ76" s="156"/>
      <c r="QKR76" s="156"/>
      <c r="QKS76" s="156"/>
      <c r="QKT76" s="156"/>
      <c r="QKU76" s="156"/>
      <c r="QKV76" s="156"/>
      <c r="QKW76" s="156"/>
      <c r="QKX76" s="156"/>
      <c r="QKY76" s="156"/>
      <c r="QKZ76" s="156"/>
      <c r="QLA76" s="156"/>
      <c r="QLB76" s="156"/>
      <c r="QLC76" s="156"/>
      <c r="QLD76" s="156"/>
      <c r="QLE76" s="156"/>
      <c r="QLF76" s="156"/>
      <c r="QLG76" s="156"/>
      <c r="QLH76" s="156"/>
      <c r="QLI76" s="156"/>
      <c r="QLJ76" s="156"/>
      <c r="QLK76" s="156"/>
      <c r="QLL76" s="156"/>
      <c r="QLM76" s="156"/>
      <c r="QLN76" s="156"/>
      <c r="QLO76" s="156"/>
      <c r="QLP76" s="156"/>
      <c r="QLQ76" s="156"/>
      <c r="QLR76" s="156"/>
      <c r="QLS76" s="156"/>
      <c r="QLT76" s="156"/>
      <c r="QLU76" s="156"/>
      <c r="QLV76" s="156"/>
      <c r="QLW76" s="156"/>
      <c r="QLX76" s="156"/>
      <c r="QLY76" s="156"/>
      <c r="QLZ76" s="156"/>
      <c r="QMA76" s="156"/>
      <c r="QMB76" s="156"/>
      <c r="QMC76" s="156"/>
      <c r="QMD76" s="156"/>
      <c r="QME76" s="156"/>
      <c r="QMF76" s="156"/>
      <c r="QMG76" s="156"/>
      <c r="QMH76" s="156"/>
      <c r="QMI76" s="156"/>
      <c r="QMJ76" s="156"/>
      <c r="QMK76" s="156"/>
      <c r="QML76" s="156"/>
      <c r="QMM76" s="156"/>
      <c r="QMN76" s="156"/>
      <c r="QMO76" s="156"/>
      <c r="QMP76" s="156"/>
      <c r="QMQ76" s="156"/>
      <c r="QMR76" s="156"/>
      <c r="QMS76" s="156"/>
      <c r="QMT76" s="156"/>
      <c r="QMU76" s="156"/>
      <c r="QMV76" s="156"/>
      <c r="QMW76" s="156"/>
      <c r="QMX76" s="156"/>
      <c r="QMY76" s="156"/>
      <c r="QMZ76" s="156"/>
      <c r="QNA76" s="156"/>
      <c r="QNB76" s="156"/>
      <c r="QNC76" s="156"/>
      <c r="QND76" s="156"/>
      <c r="QNE76" s="156"/>
      <c r="QNF76" s="156"/>
      <c r="QNG76" s="156"/>
      <c r="QNH76" s="156"/>
      <c r="QNI76" s="156"/>
      <c r="QNJ76" s="156"/>
      <c r="QNK76" s="156"/>
      <c r="QNL76" s="156"/>
      <c r="QNM76" s="156"/>
      <c r="QNN76" s="156"/>
      <c r="QNO76" s="156"/>
      <c r="QNP76" s="156"/>
      <c r="QNQ76" s="156"/>
      <c r="QNR76" s="156"/>
      <c r="QNS76" s="156"/>
      <c r="QNT76" s="156"/>
      <c r="QNU76" s="156"/>
      <c r="QNV76" s="156"/>
      <c r="QNW76" s="156"/>
      <c r="QNX76" s="156"/>
      <c r="QNY76" s="156"/>
      <c r="QNZ76" s="156"/>
      <c r="QOA76" s="156"/>
      <c r="QOB76" s="156"/>
      <c r="QOC76" s="156"/>
      <c r="QOD76" s="156"/>
      <c r="QOE76" s="156"/>
      <c r="QOF76" s="156"/>
      <c r="QOG76" s="156"/>
      <c r="QOH76" s="156"/>
      <c r="QOI76" s="156"/>
      <c r="QOJ76" s="156"/>
      <c r="QOK76" s="156"/>
      <c r="QOL76" s="156"/>
      <c r="QOM76" s="156"/>
      <c r="QON76" s="156"/>
      <c r="QOO76" s="156"/>
      <c r="QOP76" s="156"/>
      <c r="QOQ76" s="156"/>
      <c r="QOR76" s="156"/>
      <c r="QOS76" s="156"/>
      <c r="QOT76" s="156"/>
      <c r="QOU76" s="156"/>
      <c r="QOV76" s="156"/>
      <c r="QOW76" s="156"/>
      <c r="QOX76" s="156"/>
      <c r="QOY76" s="156"/>
      <c r="QOZ76" s="156"/>
      <c r="QPA76" s="156"/>
      <c r="QPB76" s="156"/>
      <c r="QPC76" s="156"/>
      <c r="QPD76" s="156"/>
      <c r="QPE76" s="156"/>
      <c r="QPF76" s="156"/>
      <c r="QPG76" s="156"/>
      <c r="QPH76" s="156"/>
      <c r="QPI76" s="156"/>
      <c r="QPJ76" s="156"/>
      <c r="QPK76" s="156"/>
      <c r="QPL76" s="156"/>
      <c r="QPM76" s="156"/>
      <c r="QPN76" s="156"/>
      <c r="QPO76" s="156"/>
      <c r="QPP76" s="156"/>
      <c r="QPQ76" s="156"/>
      <c r="QPR76" s="156"/>
      <c r="QPS76" s="156"/>
      <c r="QPT76" s="156"/>
      <c r="QPU76" s="156"/>
      <c r="QPV76" s="156"/>
      <c r="QPW76" s="156"/>
      <c r="QPX76" s="156"/>
      <c r="QPY76" s="156"/>
      <c r="QPZ76" s="156"/>
      <c r="QQA76" s="156"/>
      <c r="QQB76" s="156"/>
      <c r="QQC76" s="156"/>
      <c r="QQD76" s="156"/>
      <c r="QQE76" s="156"/>
      <c r="QQF76" s="156"/>
      <c r="QQG76" s="156"/>
      <c r="QQH76" s="156"/>
      <c r="QQI76" s="156"/>
      <c r="QQJ76" s="156"/>
      <c r="QQK76" s="156"/>
      <c r="QQL76" s="156"/>
      <c r="QQM76" s="156"/>
      <c r="QQN76" s="156"/>
      <c r="QQO76" s="156"/>
      <c r="QQP76" s="156"/>
      <c r="QQQ76" s="156"/>
      <c r="QQR76" s="156"/>
      <c r="QQS76" s="156"/>
      <c r="QQT76" s="156"/>
      <c r="QQU76" s="156"/>
      <c r="QQV76" s="156"/>
      <c r="QQW76" s="156"/>
      <c r="QQX76" s="156"/>
      <c r="QQY76" s="156"/>
      <c r="QQZ76" s="156"/>
      <c r="QRA76" s="156"/>
      <c r="QRB76" s="156"/>
      <c r="QRC76" s="156"/>
      <c r="QRD76" s="156"/>
      <c r="QRE76" s="156"/>
      <c r="QRF76" s="156"/>
      <c r="QRG76" s="156"/>
      <c r="QRH76" s="156"/>
      <c r="QRI76" s="156"/>
      <c r="QRJ76" s="156"/>
      <c r="QRK76" s="156"/>
      <c r="QRL76" s="156"/>
      <c r="QRM76" s="156"/>
      <c r="QRN76" s="156"/>
      <c r="QRO76" s="156"/>
      <c r="QRP76" s="156"/>
      <c r="QRQ76" s="156"/>
      <c r="QRR76" s="156"/>
      <c r="QRS76" s="156"/>
      <c r="QRT76" s="156"/>
      <c r="QRU76" s="156"/>
      <c r="QRV76" s="156"/>
      <c r="QRW76" s="156"/>
      <c r="QRX76" s="156"/>
      <c r="QRY76" s="156"/>
      <c r="QRZ76" s="156"/>
      <c r="QSA76" s="156"/>
      <c r="QSB76" s="156"/>
      <c r="QSC76" s="156"/>
      <c r="QSD76" s="156"/>
      <c r="QSE76" s="156"/>
      <c r="QSF76" s="156"/>
      <c r="QSG76" s="156"/>
      <c r="QSH76" s="156"/>
      <c r="QSI76" s="156"/>
      <c r="QSJ76" s="156"/>
      <c r="QSK76" s="156"/>
      <c r="QSL76" s="156"/>
      <c r="QSM76" s="156"/>
      <c r="QSN76" s="156"/>
      <c r="QSO76" s="156"/>
      <c r="QSP76" s="156"/>
      <c r="QSQ76" s="156"/>
      <c r="QSR76" s="156"/>
      <c r="QSS76" s="156"/>
      <c r="QST76" s="156"/>
      <c r="QSU76" s="156"/>
      <c r="QSV76" s="156"/>
      <c r="QSW76" s="156"/>
      <c r="QSX76" s="156"/>
      <c r="QSY76" s="156"/>
      <c r="QSZ76" s="156"/>
      <c r="QTA76" s="156"/>
      <c r="QTB76" s="156"/>
      <c r="QTC76" s="156"/>
      <c r="QTD76" s="156"/>
      <c r="QTE76" s="156"/>
      <c r="QTF76" s="156"/>
      <c r="QTG76" s="156"/>
      <c r="QTH76" s="156"/>
      <c r="QTI76" s="156"/>
      <c r="QTJ76" s="156"/>
      <c r="QTK76" s="156"/>
      <c r="QTL76" s="156"/>
      <c r="QTM76" s="156"/>
      <c r="QTN76" s="156"/>
      <c r="QTO76" s="156"/>
      <c r="QTP76" s="156"/>
      <c r="QTQ76" s="156"/>
      <c r="QTR76" s="156"/>
      <c r="QTS76" s="156"/>
      <c r="QTT76" s="156"/>
      <c r="QTU76" s="156"/>
      <c r="QTV76" s="156"/>
      <c r="QTW76" s="156"/>
      <c r="QTX76" s="156"/>
      <c r="QTY76" s="156"/>
      <c r="QTZ76" s="156"/>
      <c r="QUA76" s="156"/>
      <c r="QUB76" s="156"/>
      <c r="QUC76" s="156"/>
      <c r="QUD76" s="156"/>
      <c r="QUE76" s="156"/>
      <c r="QUF76" s="156"/>
      <c r="QUG76" s="156"/>
      <c r="QUH76" s="156"/>
      <c r="QUI76" s="156"/>
      <c r="QUJ76" s="156"/>
      <c r="QUK76" s="156"/>
      <c r="QUL76" s="156"/>
      <c r="QUM76" s="156"/>
      <c r="QUN76" s="156"/>
      <c r="QUO76" s="156"/>
      <c r="QUP76" s="156"/>
      <c r="QUQ76" s="156"/>
      <c r="QUR76" s="156"/>
      <c r="QUS76" s="156"/>
      <c r="QUT76" s="156"/>
      <c r="QUU76" s="156"/>
      <c r="QUV76" s="156"/>
      <c r="QUW76" s="156"/>
      <c r="QUX76" s="156"/>
      <c r="QUY76" s="156"/>
      <c r="QUZ76" s="156"/>
      <c r="QVA76" s="156"/>
      <c r="QVB76" s="156"/>
      <c r="QVC76" s="156"/>
      <c r="QVD76" s="156"/>
      <c r="QVE76" s="156"/>
      <c r="QVF76" s="156"/>
      <c r="QVG76" s="156"/>
      <c r="QVH76" s="156"/>
      <c r="QVI76" s="156"/>
      <c r="QVJ76" s="156"/>
      <c r="QVK76" s="156"/>
      <c r="QVL76" s="156"/>
      <c r="QVM76" s="156"/>
      <c r="QVN76" s="156"/>
      <c r="QVO76" s="156"/>
      <c r="QVP76" s="156"/>
      <c r="QVQ76" s="156"/>
      <c r="QVR76" s="156"/>
      <c r="QVS76" s="156"/>
      <c r="QVT76" s="156"/>
      <c r="QVU76" s="156"/>
      <c r="QVV76" s="156"/>
      <c r="QVW76" s="156"/>
      <c r="QVX76" s="156"/>
      <c r="QVY76" s="156"/>
      <c r="QVZ76" s="156"/>
      <c r="QWA76" s="156"/>
      <c r="QWB76" s="156"/>
      <c r="QWC76" s="156"/>
      <c r="QWD76" s="156"/>
      <c r="QWE76" s="156"/>
      <c r="QWF76" s="156"/>
      <c r="QWG76" s="156"/>
      <c r="QWH76" s="156"/>
      <c r="QWI76" s="156"/>
      <c r="QWJ76" s="156"/>
      <c r="QWK76" s="156"/>
      <c r="QWL76" s="156"/>
      <c r="QWM76" s="156"/>
      <c r="QWN76" s="156"/>
      <c r="QWO76" s="156"/>
      <c r="QWP76" s="156"/>
      <c r="QWQ76" s="156"/>
      <c r="QWR76" s="156"/>
      <c r="QWS76" s="156"/>
      <c r="QWT76" s="156"/>
      <c r="QWU76" s="156"/>
      <c r="QWV76" s="156"/>
      <c r="QWW76" s="156"/>
      <c r="QWX76" s="156"/>
      <c r="QWY76" s="156"/>
      <c r="QWZ76" s="156"/>
      <c r="QXA76" s="156"/>
      <c r="QXB76" s="156"/>
      <c r="QXC76" s="156"/>
      <c r="QXD76" s="156"/>
      <c r="QXE76" s="156"/>
      <c r="QXF76" s="156"/>
      <c r="QXG76" s="156"/>
      <c r="QXH76" s="156"/>
      <c r="QXI76" s="156"/>
      <c r="QXJ76" s="156"/>
      <c r="QXK76" s="156"/>
      <c r="QXL76" s="156"/>
      <c r="QXM76" s="156"/>
      <c r="QXN76" s="156"/>
      <c r="QXO76" s="156"/>
      <c r="QXP76" s="156"/>
      <c r="QXQ76" s="156"/>
      <c r="QXR76" s="156"/>
      <c r="QXS76" s="156"/>
      <c r="QXT76" s="156"/>
      <c r="QXU76" s="156"/>
      <c r="QXV76" s="156"/>
      <c r="QXW76" s="156"/>
      <c r="QXX76" s="156"/>
      <c r="QXY76" s="156"/>
      <c r="QXZ76" s="156"/>
      <c r="QYA76" s="156"/>
      <c r="QYB76" s="156"/>
      <c r="QYC76" s="156"/>
      <c r="QYD76" s="156"/>
      <c r="QYE76" s="156"/>
      <c r="QYF76" s="156"/>
      <c r="QYG76" s="156"/>
      <c r="QYH76" s="156"/>
      <c r="QYI76" s="156"/>
      <c r="QYJ76" s="156"/>
      <c r="QYK76" s="156"/>
      <c r="QYL76" s="156"/>
      <c r="QYM76" s="156"/>
      <c r="QYN76" s="156"/>
      <c r="QYO76" s="156"/>
      <c r="QYP76" s="156"/>
      <c r="QYQ76" s="156"/>
      <c r="QYR76" s="156"/>
      <c r="QYS76" s="156"/>
      <c r="QYT76" s="156"/>
      <c r="QYU76" s="156"/>
      <c r="QYV76" s="156"/>
      <c r="QYW76" s="156"/>
      <c r="QYX76" s="156"/>
      <c r="QYY76" s="156"/>
      <c r="QYZ76" s="156"/>
      <c r="QZA76" s="156"/>
      <c r="QZB76" s="156"/>
      <c r="QZC76" s="156"/>
      <c r="QZD76" s="156"/>
      <c r="QZE76" s="156"/>
      <c r="QZF76" s="156"/>
      <c r="QZG76" s="156"/>
      <c r="QZH76" s="156"/>
      <c r="QZI76" s="156"/>
      <c r="QZJ76" s="156"/>
      <c r="QZK76" s="156"/>
      <c r="QZL76" s="156"/>
      <c r="QZM76" s="156"/>
      <c r="QZN76" s="156"/>
      <c r="QZO76" s="156"/>
      <c r="QZP76" s="156"/>
      <c r="QZQ76" s="156"/>
      <c r="QZR76" s="156"/>
      <c r="QZS76" s="156"/>
      <c r="QZT76" s="156"/>
      <c r="QZU76" s="156"/>
      <c r="QZV76" s="156"/>
      <c r="QZW76" s="156"/>
      <c r="QZX76" s="156"/>
      <c r="QZY76" s="156"/>
      <c r="QZZ76" s="156"/>
      <c r="RAA76" s="156"/>
      <c r="RAB76" s="156"/>
      <c r="RAC76" s="156"/>
      <c r="RAD76" s="156"/>
      <c r="RAE76" s="156"/>
      <c r="RAF76" s="156"/>
      <c r="RAG76" s="156"/>
      <c r="RAH76" s="156"/>
      <c r="RAI76" s="156"/>
      <c r="RAJ76" s="156"/>
      <c r="RAK76" s="156"/>
      <c r="RAL76" s="156"/>
      <c r="RAM76" s="156"/>
      <c r="RAN76" s="156"/>
      <c r="RAO76" s="156"/>
      <c r="RAP76" s="156"/>
      <c r="RAQ76" s="156"/>
      <c r="RAR76" s="156"/>
      <c r="RAS76" s="156"/>
      <c r="RAT76" s="156"/>
      <c r="RAU76" s="156"/>
      <c r="RAV76" s="156"/>
      <c r="RAW76" s="156"/>
      <c r="RAX76" s="156"/>
      <c r="RAY76" s="156"/>
      <c r="RAZ76" s="156"/>
      <c r="RBA76" s="156"/>
      <c r="RBB76" s="156"/>
      <c r="RBC76" s="156"/>
      <c r="RBD76" s="156"/>
      <c r="RBE76" s="156"/>
      <c r="RBF76" s="156"/>
      <c r="RBG76" s="156"/>
      <c r="RBH76" s="156"/>
      <c r="RBI76" s="156"/>
      <c r="RBJ76" s="156"/>
      <c r="RBK76" s="156"/>
      <c r="RBL76" s="156"/>
      <c r="RBM76" s="156"/>
      <c r="RBN76" s="156"/>
      <c r="RBO76" s="156"/>
      <c r="RBP76" s="156"/>
      <c r="RBQ76" s="156"/>
      <c r="RBR76" s="156"/>
      <c r="RBS76" s="156"/>
      <c r="RBT76" s="156"/>
      <c r="RBU76" s="156"/>
      <c r="RBV76" s="156"/>
      <c r="RBW76" s="156"/>
      <c r="RBX76" s="156"/>
      <c r="RBY76" s="156"/>
      <c r="RBZ76" s="156"/>
      <c r="RCA76" s="156"/>
      <c r="RCB76" s="156"/>
      <c r="RCC76" s="156"/>
      <c r="RCD76" s="156"/>
      <c r="RCE76" s="156"/>
      <c r="RCF76" s="156"/>
      <c r="RCG76" s="156"/>
      <c r="RCH76" s="156"/>
      <c r="RCI76" s="156"/>
      <c r="RCJ76" s="156"/>
      <c r="RCK76" s="156"/>
      <c r="RCL76" s="156"/>
      <c r="RCM76" s="156"/>
      <c r="RCN76" s="156"/>
      <c r="RCO76" s="156"/>
      <c r="RCP76" s="156"/>
      <c r="RCQ76" s="156"/>
      <c r="RCR76" s="156"/>
      <c r="RCS76" s="156"/>
      <c r="RCT76" s="156"/>
      <c r="RCU76" s="156"/>
      <c r="RCV76" s="156"/>
      <c r="RCW76" s="156"/>
      <c r="RCX76" s="156"/>
      <c r="RCY76" s="156"/>
      <c r="RCZ76" s="156"/>
      <c r="RDA76" s="156"/>
      <c r="RDB76" s="156"/>
      <c r="RDC76" s="156"/>
      <c r="RDD76" s="156"/>
      <c r="RDE76" s="156"/>
      <c r="RDF76" s="156"/>
      <c r="RDG76" s="156"/>
      <c r="RDH76" s="156"/>
      <c r="RDI76" s="156"/>
      <c r="RDJ76" s="156"/>
      <c r="RDK76" s="156"/>
      <c r="RDL76" s="156"/>
      <c r="RDM76" s="156"/>
      <c r="RDN76" s="156"/>
      <c r="RDO76" s="156"/>
      <c r="RDP76" s="156"/>
      <c r="RDQ76" s="156"/>
      <c r="RDR76" s="156"/>
      <c r="RDS76" s="156"/>
      <c r="RDT76" s="156"/>
      <c r="RDU76" s="156"/>
      <c r="RDV76" s="156"/>
      <c r="RDW76" s="156"/>
      <c r="RDX76" s="156"/>
      <c r="RDY76" s="156"/>
      <c r="RDZ76" s="156"/>
      <c r="REA76" s="156"/>
      <c r="REB76" s="156"/>
      <c r="REC76" s="156"/>
      <c r="RED76" s="156"/>
      <c r="REE76" s="156"/>
      <c r="REF76" s="156"/>
      <c r="REG76" s="156"/>
      <c r="REH76" s="156"/>
      <c r="REI76" s="156"/>
      <c r="REJ76" s="156"/>
      <c r="REK76" s="156"/>
      <c r="REL76" s="156"/>
      <c r="REM76" s="156"/>
      <c r="REN76" s="156"/>
      <c r="REO76" s="156"/>
      <c r="REP76" s="156"/>
      <c r="REQ76" s="156"/>
      <c r="RER76" s="156"/>
      <c r="RES76" s="156"/>
      <c r="RET76" s="156"/>
      <c r="REU76" s="156"/>
      <c r="REV76" s="156"/>
      <c r="REW76" s="156"/>
      <c r="REX76" s="156"/>
      <c r="REY76" s="156"/>
      <c r="REZ76" s="156"/>
      <c r="RFA76" s="156"/>
      <c r="RFB76" s="156"/>
      <c r="RFC76" s="156"/>
      <c r="RFD76" s="156"/>
      <c r="RFE76" s="156"/>
      <c r="RFF76" s="156"/>
      <c r="RFG76" s="156"/>
      <c r="RFH76" s="156"/>
      <c r="RFI76" s="156"/>
      <c r="RFJ76" s="156"/>
      <c r="RFK76" s="156"/>
      <c r="RFL76" s="156"/>
      <c r="RFM76" s="156"/>
      <c r="RFN76" s="156"/>
      <c r="RFO76" s="156"/>
      <c r="RFP76" s="156"/>
      <c r="RFQ76" s="156"/>
      <c r="RFR76" s="156"/>
      <c r="RFS76" s="156"/>
      <c r="RFT76" s="156"/>
      <c r="RFU76" s="156"/>
      <c r="RFV76" s="156"/>
      <c r="RFW76" s="156"/>
      <c r="RFX76" s="156"/>
      <c r="RFY76" s="156"/>
      <c r="RFZ76" s="156"/>
      <c r="RGA76" s="156"/>
      <c r="RGB76" s="156"/>
      <c r="RGC76" s="156"/>
      <c r="RGD76" s="156"/>
      <c r="RGE76" s="156"/>
      <c r="RGF76" s="156"/>
      <c r="RGG76" s="156"/>
      <c r="RGH76" s="156"/>
      <c r="RGI76" s="156"/>
      <c r="RGJ76" s="156"/>
      <c r="RGK76" s="156"/>
      <c r="RGL76" s="156"/>
      <c r="RGM76" s="156"/>
      <c r="RGN76" s="156"/>
      <c r="RGO76" s="156"/>
      <c r="RGP76" s="156"/>
      <c r="RGQ76" s="156"/>
      <c r="RGR76" s="156"/>
      <c r="RGS76" s="156"/>
      <c r="RGT76" s="156"/>
      <c r="RGU76" s="156"/>
      <c r="RGV76" s="156"/>
      <c r="RGW76" s="156"/>
      <c r="RGX76" s="156"/>
      <c r="RGY76" s="156"/>
      <c r="RGZ76" s="156"/>
      <c r="RHA76" s="156"/>
      <c r="RHB76" s="156"/>
      <c r="RHC76" s="156"/>
      <c r="RHD76" s="156"/>
      <c r="RHE76" s="156"/>
      <c r="RHF76" s="156"/>
      <c r="RHG76" s="156"/>
      <c r="RHH76" s="156"/>
      <c r="RHI76" s="156"/>
      <c r="RHJ76" s="156"/>
      <c r="RHK76" s="156"/>
      <c r="RHL76" s="156"/>
      <c r="RHM76" s="156"/>
      <c r="RHN76" s="156"/>
      <c r="RHO76" s="156"/>
      <c r="RHP76" s="156"/>
      <c r="RHQ76" s="156"/>
      <c r="RHR76" s="156"/>
      <c r="RHS76" s="156"/>
      <c r="RHT76" s="156"/>
      <c r="RHU76" s="156"/>
      <c r="RHV76" s="156"/>
      <c r="RHW76" s="156"/>
      <c r="RHX76" s="156"/>
      <c r="RHY76" s="156"/>
      <c r="RHZ76" s="156"/>
      <c r="RIA76" s="156"/>
      <c r="RIB76" s="156"/>
      <c r="RIC76" s="156"/>
      <c r="RID76" s="156"/>
      <c r="RIE76" s="156"/>
      <c r="RIF76" s="156"/>
      <c r="RIG76" s="156"/>
      <c r="RIH76" s="156"/>
      <c r="RII76" s="156"/>
      <c r="RIJ76" s="156"/>
      <c r="RIK76" s="156"/>
      <c r="RIL76" s="156"/>
      <c r="RIM76" s="156"/>
      <c r="RIN76" s="156"/>
      <c r="RIO76" s="156"/>
      <c r="RIP76" s="156"/>
      <c r="RIQ76" s="156"/>
      <c r="RIR76" s="156"/>
      <c r="RIS76" s="156"/>
      <c r="RIT76" s="156"/>
      <c r="RIU76" s="156"/>
      <c r="RIV76" s="156"/>
      <c r="RIW76" s="156"/>
      <c r="RIX76" s="156"/>
      <c r="RIY76" s="156"/>
      <c r="RIZ76" s="156"/>
      <c r="RJA76" s="156"/>
      <c r="RJB76" s="156"/>
      <c r="RJC76" s="156"/>
      <c r="RJD76" s="156"/>
      <c r="RJE76" s="156"/>
      <c r="RJF76" s="156"/>
      <c r="RJG76" s="156"/>
      <c r="RJH76" s="156"/>
      <c r="RJI76" s="156"/>
      <c r="RJJ76" s="156"/>
      <c r="RJK76" s="156"/>
      <c r="RJL76" s="156"/>
      <c r="RJM76" s="156"/>
      <c r="RJN76" s="156"/>
      <c r="RJO76" s="156"/>
      <c r="RJP76" s="156"/>
      <c r="RJQ76" s="156"/>
      <c r="RJR76" s="156"/>
      <c r="RJS76" s="156"/>
      <c r="RJT76" s="156"/>
      <c r="RJU76" s="156"/>
      <c r="RJV76" s="156"/>
      <c r="RJW76" s="156"/>
      <c r="RJX76" s="156"/>
      <c r="RJY76" s="156"/>
      <c r="RJZ76" s="156"/>
      <c r="RKA76" s="156"/>
      <c r="RKB76" s="156"/>
      <c r="RKC76" s="156"/>
      <c r="RKD76" s="156"/>
      <c r="RKE76" s="156"/>
      <c r="RKF76" s="156"/>
      <c r="RKG76" s="156"/>
      <c r="RKH76" s="156"/>
      <c r="RKI76" s="156"/>
      <c r="RKJ76" s="156"/>
      <c r="RKK76" s="156"/>
      <c r="RKL76" s="156"/>
      <c r="RKM76" s="156"/>
      <c r="RKN76" s="156"/>
      <c r="RKO76" s="156"/>
      <c r="RKP76" s="156"/>
      <c r="RKQ76" s="156"/>
      <c r="RKR76" s="156"/>
      <c r="RKS76" s="156"/>
      <c r="RKT76" s="156"/>
      <c r="RKU76" s="156"/>
      <c r="RKV76" s="156"/>
      <c r="RKW76" s="156"/>
      <c r="RKX76" s="156"/>
      <c r="RKY76" s="156"/>
      <c r="RKZ76" s="156"/>
      <c r="RLA76" s="156"/>
      <c r="RLB76" s="156"/>
      <c r="RLC76" s="156"/>
      <c r="RLD76" s="156"/>
      <c r="RLE76" s="156"/>
      <c r="RLF76" s="156"/>
      <c r="RLG76" s="156"/>
      <c r="RLH76" s="156"/>
      <c r="RLI76" s="156"/>
      <c r="RLJ76" s="156"/>
      <c r="RLK76" s="156"/>
      <c r="RLL76" s="156"/>
      <c r="RLM76" s="156"/>
      <c r="RLN76" s="156"/>
      <c r="RLO76" s="156"/>
      <c r="RLP76" s="156"/>
      <c r="RLQ76" s="156"/>
      <c r="RLR76" s="156"/>
      <c r="RLS76" s="156"/>
      <c r="RLT76" s="156"/>
      <c r="RLU76" s="156"/>
      <c r="RLV76" s="156"/>
      <c r="RLW76" s="156"/>
      <c r="RLX76" s="156"/>
      <c r="RLY76" s="156"/>
      <c r="RLZ76" s="156"/>
      <c r="RMA76" s="156"/>
      <c r="RMB76" s="156"/>
      <c r="RMC76" s="156"/>
      <c r="RMD76" s="156"/>
      <c r="RME76" s="156"/>
      <c r="RMF76" s="156"/>
      <c r="RMG76" s="156"/>
      <c r="RMH76" s="156"/>
      <c r="RMI76" s="156"/>
      <c r="RMJ76" s="156"/>
      <c r="RMK76" s="156"/>
      <c r="RML76" s="156"/>
      <c r="RMM76" s="156"/>
      <c r="RMN76" s="156"/>
      <c r="RMO76" s="156"/>
      <c r="RMP76" s="156"/>
      <c r="RMQ76" s="156"/>
      <c r="RMR76" s="156"/>
      <c r="RMS76" s="156"/>
      <c r="RMT76" s="156"/>
      <c r="RMU76" s="156"/>
      <c r="RMV76" s="156"/>
      <c r="RMW76" s="156"/>
      <c r="RMX76" s="156"/>
      <c r="RMY76" s="156"/>
      <c r="RMZ76" s="156"/>
      <c r="RNA76" s="156"/>
      <c r="RNB76" s="156"/>
      <c r="RNC76" s="156"/>
      <c r="RND76" s="156"/>
      <c r="RNE76" s="156"/>
      <c r="RNF76" s="156"/>
      <c r="RNG76" s="156"/>
      <c r="RNH76" s="156"/>
      <c r="RNI76" s="156"/>
      <c r="RNJ76" s="156"/>
      <c r="RNK76" s="156"/>
      <c r="RNL76" s="156"/>
      <c r="RNM76" s="156"/>
      <c r="RNN76" s="156"/>
      <c r="RNO76" s="156"/>
      <c r="RNP76" s="156"/>
      <c r="RNQ76" s="156"/>
      <c r="RNR76" s="156"/>
      <c r="RNS76" s="156"/>
      <c r="RNT76" s="156"/>
      <c r="RNU76" s="156"/>
      <c r="RNV76" s="156"/>
      <c r="RNW76" s="156"/>
      <c r="RNX76" s="156"/>
      <c r="RNY76" s="156"/>
      <c r="RNZ76" s="156"/>
      <c r="ROA76" s="156"/>
      <c r="ROB76" s="156"/>
      <c r="ROC76" s="156"/>
      <c r="ROD76" s="156"/>
      <c r="ROE76" s="156"/>
      <c r="ROF76" s="156"/>
      <c r="ROG76" s="156"/>
      <c r="ROH76" s="156"/>
      <c r="ROI76" s="156"/>
      <c r="ROJ76" s="156"/>
      <c r="ROK76" s="156"/>
      <c r="ROL76" s="156"/>
      <c r="ROM76" s="156"/>
      <c r="RON76" s="156"/>
      <c r="ROO76" s="156"/>
      <c r="ROP76" s="156"/>
      <c r="ROQ76" s="156"/>
      <c r="ROR76" s="156"/>
      <c r="ROS76" s="156"/>
      <c r="ROT76" s="156"/>
      <c r="ROU76" s="156"/>
      <c r="ROV76" s="156"/>
      <c r="ROW76" s="156"/>
      <c r="ROX76" s="156"/>
      <c r="ROY76" s="156"/>
      <c r="ROZ76" s="156"/>
      <c r="RPA76" s="156"/>
      <c r="RPB76" s="156"/>
      <c r="RPC76" s="156"/>
      <c r="RPD76" s="156"/>
      <c r="RPE76" s="156"/>
      <c r="RPF76" s="156"/>
      <c r="RPG76" s="156"/>
      <c r="RPH76" s="156"/>
      <c r="RPI76" s="156"/>
      <c r="RPJ76" s="156"/>
      <c r="RPK76" s="156"/>
      <c r="RPL76" s="156"/>
      <c r="RPM76" s="156"/>
      <c r="RPN76" s="156"/>
      <c r="RPO76" s="156"/>
      <c r="RPP76" s="156"/>
      <c r="RPQ76" s="156"/>
      <c r="RPR76" s="156"/>
      <c r="RPS76" s="156"/>
      <c r="RPT76" s="156"/>
      <c r="RPU76" s="156"/>
      <c r="RPV76" s="156"/>
      <c r="RPW76" s="156"/>
      <c r="RPX76" s="156"/>
      <c r="RPY76" s="156"/>
      <c r="RPZ76" s="156"/>
      <c r="RQA76" s="156"/>
      <c r="RQB76" s="156"/>
      <c r="RQC76" s="156"/>
      <c r="RQD76" s="156"/>
      <c r="RQE76" s="156"/>
      <c r="RQF76" s="156"/>
      <c r="RQG76" s="156"/>
      <c r="RQH76" s="156"/>
      <c r="RQI76" s="156"/>
      <c r="RQJ76" s="156"/>
      <c r="RQK76" s="156"/>
      <c r="RQL76" s="156"/>
      <c r="RQM76" s="156"/>
      <c r="RQN76" s="156"/>
      <c r="RQO76" s="156"/>
      <c r="RQP76" s="156"/>
      <c r="RQQ76" s="156"/>
      <c r="RQR76" s="156"/>
      <c r="RQS76" s="156"/>
      <c r="RQT76" s="156"/>
      <c r="RQU76" s="156"/>
      <c r="RQV76" s="156"/>
      <c r="RQW76" s="156"/>
      <c r="RQX76" s="156"/>
      <c r="RQY76" s="156"/>
      <c r="RQZ76" s="156"/>
      <c r="RRA76" s="156"/>
      <c r="RRB76" s="156"/>
      <c r="RRC76" s="156"/>
      <c r="RRD76" s="156"/>
      <c r="RRE76" s="156"/>
      <c r="RRF76" s="156"/>
      <c r="RRG76" s="156"/>
      <c r="RRH76" s="156"/>
      <c r="RRI76" s="156"/>
      <c r="RRJ76" s="156"/>
      <c r="RRK76" s="156"/>
      <c r="RRL76" s="156"/>
      <c r="RRM76" s="156"/>
      <c r="RRN76" s="156"/>
      <c r="RRO76" s="156"/>
      <c r="RRP76" s="156"/>
      <c r="RRQ76" s="156"/>
      <c r="RRR76" s="156"/>
      <c r="RRS76" s="156"/>
      <c r="RRT76" s="156"/>
      <c r="RRU76" s="156"/>
      <c r="RRV76" s="156"/>
      <c r="RRW76" s="156"/>
      <c r="RRX76" s="156"/>
      <c r="RRY76" s="156"/>
      <c r="RRZ76" s="156"/>
      <c r="RSA76" s="156"/>
      <c r="RSB76" s="156"/>
      <c r="RSC76" s="156"/>
      <c r="RSD76" s="156"/>
      <c r="RSE76" s="156"/>
      <c r="RSF76" s="156"/>
      <c r="RSG76" s="156"/>
      <c r="RSH76" s="156"/>
      <c r="RSI76" s="156"/>
      <c r="RSJ76" s="156"/>
      <c r="RSK76" s="156"/>
      <c r="RSL76" s="156"/>
      <c r="RSM76" s="156"/>
      <c r="RSN76" s="156"/>
      <c r="RSO76" s="156"/>
      <c r="RSP76" s="156"/>
      <c r="RSQ76" s="156"/>
      <c r="RSR76" s="156"/>
      <c r="RSS76" s="156"/>
      <c r="RST76" s="156"/>
      <c r="RSU76" s="156"/>
      <c r="RSV76" s="156"/>
      <c r="RSW76" s="156"/>
      <c r="RSX76" s="156"/>
      <c r="RSY76" s="156"/>
      <c r="RSZ76" s="156"/>
      <c r="RTA76" s="156"/>
      <c r="RTB76" s="156"/>
      <c r="RTC76" s="156"/>
      <c r="RTD76" s="156"/>
      <c r="RTE76" s="156"/>
      <c r="RTF76" s="156"/>
      <c r="RTG76" s="156"/>
      <c r="RTH76" s="156"/>
      <c r="RTI76" s="156"/>
      <c r="RTJ76" s="156"/>
      <c r="RTK76" s="156"/>
      <c r="RTL76" s="156"/>
      <c r="RTM76" s="156"/>
      <c r="RTN76" s="156"/>
      <c r="RTO76" s="156"/>
      <c r="RTP76" s="156"/>
      <c r="RTQ76" s="156"/>
      <c r="RTR76" s="156"/>
      <c r="RTS76" s="156"/>
      <c r="RTT76" s="156"/>
      <c r="RTU76" s="156"/>
      <c r="RTV76" s="156"/>
      <c r="RTW76" s="156"/>
      <c r="RTX76" s="156"/>
      <c r="RTY76" s="156"/>
      <c r="RTZ76" s="156"/>
      <c r="RUA76" s="156"/>
      <c r="RUB76" s="156"/>
      <c r="RUC76" s="156"/>
      <c r="RUD76" s="156"/>
      <c r="RUE76" s="156"/>
      <c r="RUF76" s="156"/>
      <c r="RUG76" s="156"/>
      <c r="RUH76" s="156"/>
      <c r="RUI76" s="156"/>
      <c r="RUJ76" s="156"/>
      <c r="RUK76" s="156"/>
      <c r="RUL76" s="156"/>
      <c r="RUM76" s="156"/>
      <c r="RUN76" s="156"/>
      <c r="RUO76" s="156"/>
      <c r="RUP76" s="156"/>
      <c r="RUQ76" s="156"/>
      <c r="RUR76" s="156"/>
      <c r="RUS76" s="156"/>
      <c r="RUT76" s="156"/>
      <c r="RUU76" s="156"/>
      <c r="RUV76" s="156"/>
      <c r="RUW76" s="156"/>
      <c r="RUX76" s="156"/>
      <c r="RUY76" s="156"/>
      <c r="RUZ76" s="156"/>
      <c r="RVA76" s="156"/>
      <c r="RVB76" s="156"/>
      <c r="RVC76" s="156"/>
      <c r="RVD76" s="156"/>
      <c r="RVE76" s="156"/>
      <c r="RVF76" s="156"/>
      <c r="RVG76" s="156"/>
      <c r="RVH76" s="156"/>
      <c r="RVI76" s="156"/>
      <c r="RVJ76" s="156"/>
      <c r="RVK76" s="156"/>
      <c r="RVL76" s="156"/>
      <c r="RVM76" s="156"/>
      <c r="RVN76" s="156"/>
      <c r="RVO76" s="156"/>
      <c r="RVP76" s="156"/>
      <c r="RVQ76" s="156"/>
      <c r="RVR76" s="156"/>
      <c r="RVS76" s="156"/>
      <c r="RVT76" s="156"/>
      <c r="RVU76" s="156"/>
      <c r="RVV76" s="156"/>
      <c r="RVW76" s="156"/>
      <c r="RVX76" s="156"/>
      <c r="RVY76" s="156"/>
      <c r="RVZ76" s="156"/>
      <c r="RWA76" s="156"/>
      <c r="RWB76" s="156"/>
      <c r="RWC76" s="156"/>
      <c r="RWD76" s="156"/>
      <c r="RWE76" s="156"/>
      <c r="RWF76" s="156"/>
      <c r="RWG76" s="156"/>
      <c r="RWH76" s="156"/>
      <c r="RWI76" s="156"/>
      <c r="RWJ76" s="156"/>
      <c r="RWK76" s="156"/>
      <c r="RWL76" s="156"/>
      <c r="RWM76" s="156"/>
      <c r="RWN76" s="156"/>
      <c r="RWO76" s="156"/>
      <c r="RWP76" s="156"/>
      <c r="RWQ76" s="156"/>
      <c r="RWR76" s="156"/>
      <c r="RWS76" s="156"/>
      <c r="RWT76" s="156"/>
      <c r="RWU76" s="156"/>
      <c r="RWV76" s="156"/>
      <c r="RWW76" s="156"/>
      <c r="RWX76" s="156"/>
      <c r="RWY76" s="156"/>
      <c r="RWZ76" s="156"/>
      <c r="RXA76" s="156"/>
      <c r="RXB76" s="156"/>
      <c r="RXC76" s="156"/>
      <c r="RXD76" s="156"/>
      <c r="RXE76" s="156"/>
      <c r="RXF76" s="156"/>
      <c r="RXG76" s="156"/>
      <c r="RXH76" s="156"/>
      <c r="RXI76" s="156"/>
      <c r="RXJ76" s="156"/>
      <c r="RXK76" s="156"/>
      <c r="RXL76" s="156"/>
      <c r="RXM76" s="156"/>
      <c r="RXN76" s="156"/>
      <c r="RXO76" s="156"/>
      <c r="RXP76" s="156"/>
      <c r="RXQ76" s="156"/>
      <c r="RXR76" s="156"/>
      <c r="RXS76" s="156"/>
      <c r="RXT76" s="156"/>
      <c r="RXU76" s="156"/>
      <c r="RXV76" s="156"/>
      <c r="RXW76" s="156"/>
      <c r="RXX76" s="156"/>
      <c r="RXY76" s="156"/>
      <c r="RXZ76" s="156"/>
      <c r="RYA76" s="156"/>
      <c r="RYB76" s="156"/>
      <c r="RYC76" s="156"/>
      <c r="RYD76" s="156"/>
      <c r="RYE76" s="156"/>
      <c r="RYF76" s="156"/>
      <c r="RYG76" s="156"/>
      <c r="RYH76" s="156"/>
      <c r="RYI76" s="156"/>
      <c r="RYJ76" s="156"/>
      <c r="RYK76" s="156"/>
      <c r="RYL76" s="156"/>
      <c r="RYM76" s="156"/>
      <c r="RYN76" s="156"/>
      <c r="RYO76" s="156"/>
      <c r="RYP76" s="156"/>
      <c r="RYQ76" s="156"/>
      <c r="RYR76" s="156"/>
      <c r="RYS76" s="156"/>
      <c r="RYT76" s="156"/>
      <c r="RYU76" s="156"/>
      <c r="RYV76" s="156"/>
      <c r="RYW76" s="156"/>
      <c r="RYX76" s="156"/>
      <c r="RYY76" s="156"/>
      <c r="RYZ76" s="156"/>
      <c r="RZA76" s="156"/>
      <c r="RZB76" s="156"/>
      <c r="RZC76" s="156"/>
      <c r="RZD76" s="156"/>
      <c r="RZE76" s="156"/>
      <c r="RZF76" s="156"/>
      <c r="RZG76" s="156"/>
      <c r="RZH76" s="156"/>
      <c r="RZI76" s="156"/>
      <c r="RZJ76" s="156"/>
      <c r="RZK76" s="156"/>
      <c r="RZL76" s="156"/>
      <c r="RZM76" s="156"/>
      <c r="RZN76" s="156"/>
      <c r="RZO76" s="156"/>
      <c r="RZP76" s="156"/>
      <c r="RZQ76" s="156"/>
      <c r="RZR76" s="156"/>
      <c r="RZS76" s="156"/>
      <c r="RZT76" s="156"/>
      <c r="RZU76" s="156"/>
      <c r="RZV76" s="156"/>
      <c r="RZW76" s="156"/>
      <c r="RZX76" s="156"/>
      <c r="RZY76" s="156"/>
      <c r="RZZ76" s="156"/>
      <c r="SAA76" s="156"/>
      <c r="SAB76" s="156"/>
      <c r="SAC76" s="156"/>
      <c r="SAD76" s="156"/>
      <c r="SAE76" s="156"/>
      <c r="SAF76" s="156"/>
      <c r="SAG76" s="156"/>
      <c r="SAH76" s="156"/>
      <c r="SAI76" s="156"/>
      <c r="SAJ76" s="156"/>
      <c r="SAK76" s="156"/>
      <c r="SAL76" s="156"/>
      <c r="SAM76" s="156"/>
      <c r="SAN76" s="156"/>
      <c r="SAO76" s="156"/>
      <c r="SAP76" s="156"/>
      <c r="SAQ76" s="156"/>
      <c r="SAR76" s="156"/>
      <c r="SAS76" s="156"/>
      <c r="SAT76" s="156"/>
      <c r="SAU76" s="156"/>
      <c r="SAV76" s="156"/>
      <c r="SAW76" s="156"/>
      <c r="SAX76" s="156"/>
      <c r="SAY76" s="156"/>
      <c r="SAZ76" s="156"/>
      <c r="SBA76" s="156"/>
      <c r="SBB76" s="156"/>
      <c r="SBC76" s="156"/>
      <c r="SBD76" s="156"/>
      <c r="SBE76" s="156"/>
      <c r="SBF76" s="156"/>
      <c r="SBG76" s="156"/>
      <c r="SBH76" s="156"/>
      <c r="SBI76" s="156"/>
      <c r="SBJ76" s="156"/>
      <c r="SBK76" s="156"/>
      <c r="SBL76" s="156"/>
      <c r="SBM76" s="156"/>
      <c r="SBN76" s="156"/>
      <c r="SBO76" s="156"/>
      <c r="SBP76" s="156"/>
      <c r="SBQ76" s="156"/>
      <c r="SBR76" s="156"/>
      <c r="SBS76" s="156"/>
      <c r="SBT76" s="156"/>
      <c r="SBU76" s="156"/>
      <c r="SBV76" s="156"/>
      <c r="SBW76" s="156"/>
      <c r="SBX76" s="156"/>
      <c r="SBY76" s="156"/>
      <c r="SBZ76" s="156"/>
      <c r="SCA76" s="156"/>
      <c r="SCB76" s="156"/>
      <c r="SCC76" s="156"/>
      <c r="SCD76" s="156"/>
      <c r="SCE76" s="156"/>
      <c r="SCF76" s="156"/>
      <c r="SCG76" s="156"/>
      <c r="SCH76" s="156"/>
      <c r="SCI76" s="156"/>
      <c r="SCJ76" s="156"/>
      <c r="SCK76" s="156"/>
      <c r="SCL76" s="156"/>
      <c r="SCM76" s="156"/>
      <c r="SCN76" s="156"/>
      <c r="SCO76" s="156"/>
      <c r="SCP76" s="156"/>
      <c r="SCQ76" s="156"/>
      <c r="SCR76" s="156"/>
      <c r="SCS76" s="156"/>
      <c r="SCT76" s="156"/>
      <c r="SCU76" s="156"/>
      <c r="SCV76" s="156"/>
      <c r="SCW76" s="156"/>
      <c r="SCX76" s="156"/>
      <c r="SCY76" s="156"/>
      <c r="SCZ76" s="156"/>
      <c r="SDA76" s="156"/>
      <c r="SDB76" s="156"/>
      <c r="SDC76" s="156"/>
      <c r="SDD76" s="156"/>
      <c r="SDE76" s="156"/>
      <c r="SDF76" s="156"/>
      <c r="SDG76" s="156"/>
      <c r="SDH76" s="156"/>
      <c r="SDI76" s="156"/>
      <c r="SDJ76" s="156"/>
      <c r="SDK76" s="156"/>
      <c r="SDL76" s="156"/>
      <c r="SDM76" s="156"/>
      <c r="SDN76" s="156"/>
      <c r="SDO76" s="156"/>
      <c r="SDP76" s="156"/>
      <c r="SDQ76" s="156"/>
      <c r="SDR76" s="156"/>
      <c r="SDS76" s="156"/>
      <c r="SDT76" s="156"/>
      <c r="SDU76" s="156"/>
      <c r="SDV76" s="156"/>
      <c r="SDW76" s="156"/>
      <c r="SDX76" s="156"/>
      <c r="SDY76" s="156"/>
      <c r="SDZ76" s="156"/>
      <c r="SEA76" s="156"/>
      <c r="SEB76" s="156"/>
      <c r="SEC76" s="156"/>
      <c r="SED76" s="156"/>
      <c r="SEE76" s="156"/>
      <c r="SEF76" s="156"/>
      <c r="SEG76" s="156"/>
      <c r="SEH76" s="156"/>
      <c r="SEI76" s="156"/>
      <c r="SEJ76" s="156"/>
      <c r="SEK76" s="156"/>
      <c r="SEL76" s="156"/>
      <c r="SEM76" s="156"/>
      <c r="SEN76" s="156"/>
      <c r="SEO76" s="156"/>
      <c r="SEP76" s="156"/>
      <c r="SEQ76" s="156"/>
      <c r="SER76" s="156"/>
      <c r="SES76" s="156"/>
      <c r="SET76" s="156"/>
      <c r="SEU76" s="156"/>
      <c r="SEV76" s="156"/>
      <c r="SEW76" s="156"/>
      <c r="SEX76" s="156"/>
      <c r="SEY76" s="156"/>
      <c r="SEZ76" s="156"/>
      <c r="SFA76" s="156"/>
      <c r="SFB76" s="156"/>
      <c r="SFC76" s="156"/>
      <c r="SFD76" s="156"/>
      <c r="SFE76" s="156"/>
      <c r="SFF76" s="156"/>
      <c r="SFG76" s="156"/>
      <c r="SFH76" s="156"/>
      <c r="SFI76" s="156"/>
      <c r="SFJ76" s="156"/>
      <c r="SFK76" s="156"/>
      <c r="SFL76" s="156"/>
      <c r="SFM76" s="156"/>
      <c r="SFN76" s="156"/>
      <c r="SFO76" s="156"/>
      <c r="SFP76" s="156"/>
      <c r="SFQ76" s="156"/>
      <c r="SFR76" s="156"/>
      <c r="SFS76" s="156"/>
      <c r="SFT76" s="156"/>
      <c r="SFU76" s="156"/>
      <c r="SFV76" s="156"/>
      <c r="SFW76" s="156"/>
      <c r="SFX76" s="156"/>
      <c r="SFY76" s="156"/>
      <c r="SFZ76" s="156"/>
      <c r="SGA76" s="156"/>
      <c r="SGB76" s="156"/>
      <c r="SGC76" s="156"/>
      <c r="SGD76" s="156"/>
      <c r="SGE76" s="156"/>
      <c r="SGF76" s="156"/>
      <c r="SGG76" s="156"/>
      <c r="SGH76" s="156"/>
      <c r="SGI76" s="156"/>
      <c r="SGJ76" s="156"/>
      <c r="SGK76" s="156"/>
      <c r="SGL76" s="156"/>
      <c r="SGM76" s="156"/>
      <c r="SGN76" s="156"/>
      <c r="SGO76" s="156"/>
      <c r="SGP76" s="156"/>
      <c r="SGQ76" s="156"/>
      <c r="SGR76" s="156"/>
      <c r="SGS76" s="156"/>
      <c r="SGT76" s="156"/>
      <c r="SGU76" s="156"/>
      <c r="SGV76" s="156"/>
      <c r="SGW76" s="156"/>
      <c r="SGX76" s="156"/>
      <c r="SGY76" s="156"/>
      <c r="SGZ76" s="156"/>
      <c r="SHA76" s="156"/>
      <c r="SHB76" s="156"/>
      <c r="SHC76" s="156"/>
      <c r="SHD76" s="156"/>
      <c r="SHE76" s="156"/>
      <c r="SHF76" s="156"/>
      <c r="SHG76" s="156"/>
      <c r="SHH76" s="156"/>
      <c r="SHI76" s="156"/>
      <c r="SHJ76" s="156"/>
      <c r="SHK76" s="156"/>
      <c r="SHL76" s="156"/>
      <c r="SHM76" s="156"/>
      <c r="SHN76" s="156"/>
      <c r="SHO76" s="156"/>
      <c r="SHP76" s="156"/>
      <c r="SHQ76" s="156"/>
      <c r="SHR76" s="156"/>
      <c r="SHS76" s="156"/>
      <c r="SHT76" s="156"/>
      <c r="SHU76" s="156"/>
      <c r="SHV76" s="156"/>
      <c r="SHW76" s="156"/>
      <c r="SHX76" s="156"/>
      <c r="SHY76" s="156"/>
      <c r="SHZ76" s="156"/>
      <c r="SIA76" s="156"/>
      <c r="SIB76" s="156"/>
      <c r="SIC76" s="156"/>
      <c r="SID76" s="156"/>
      <c r="SIE76" s="156"/>
      <c r="SIF76" s="156"/>
      <c r="SIG76" s="156"/>
      <c r="SIH76" s="156"/>
      <c r="SII76" s="156"/>
      <c r="SIJ76" s="156"/>
      <c r="SIK76" s="156"/>
      <c r="SIL76" s="156"/>
      <c r="SIM76" s="156"/>
      <c r="SIN76" s="156"/>
      <c r="SIO76" s="156"/>
      <c r="SIP76" s="156"/>
      <c r="SIQ76" s="156"/>
      <c r="SIR76" s="156"/>
      <c r="SIS76" s="156"/>
      <c r="SIT76" s="156"/>
      <c r="SIU76" s="156"/>
      <c r="SIV76" s="156"/>
      <c r="SIW76" s="156"/>
      <c r="SIX76" s="156"/>
      <c r="SIY76" s="156"/>
      <c r="SIZ76" s="156"/>
      <c r="SJA76" s="156"/>
      <c r="SJB76" s="156"/>
      <c r="SJC76" s="156"/>
      <c r="SJD76" s="156"/>
      <c r="SJE76" s="156"/>
      <c r="SJF76" s="156"/>
      <c r="SJG76" s="156"/>
      <c r="SJH76" s="156"/>
      <c r="SJI76" s="156"/>
      <c r="SJJ76" s="156"/>
      <c r="SJK76" s="156"/>
      <c r="SJL76" s="156"/>
      <c r="SJM76" s="156"/>
      <c r="SJN76" s="156"/>
      <c r="SJO76" s="156"/>
      <c r="SJP76" s="156"/>
      <c r="SJQ76" s="156"/>
      <c r="SJR76" s="156"/>
      <c r="SJS76" s="156"/>
      <c r="SJT76" s="156"/>
      <c r="SJU76" s="156"/>
      <c r="SJV76" s="156"/>
      <c r="SJW76" s="156"/>
      <c r="SJX76" s="156"/>
      <c r="SJY76" s="156"/>
      <c r="SJZ76" s="156"/>
      <c r="SKA76" s="156"/>
      <c r="SKB76" s="156"/>
      <c r="SKC76" s="156"/>
      <c r="SKD76" s="156"/>
      <c r="SKE76" s="156"/>
      <c r="SKF76" s="156"/>
      <c r="SKG76" s="156"/>
      <c r="SKH76" s="156"/>
      <c r="SKI76" s="156"/>
      <c r="SKJ76" s="156"/>
      <c r="SKK76" s="156"/>
      <c r="SKL76" s="156"/>
      <c r="SKM76" s="156"/>
      <c r="SKN76" s="156"/>
      <c r="SKO76" s="156"/>
      <c r="SKP76" s="156"/>
      <c r="SKQ76" s="156"/>
      <c r="SKR76" s="156"/>
      <c r="SKS76" s="156"/>
      <c r="SKT76" s="156"/>
      <c r="SKU76" s="156"/>
      <c r="SKV76" s="156"/>
      <c r="SKW76" s="156"/>
      <c r="SKX76" s="156"/>
      <c r="SKY76" s="156"/>
      <c r="SKZ76" s="156"/>
      <c r="SLA76" s="156"/>
      <c r="SLB76" s="156"/>
      <c r="SLC76" s="156"/>
      <c r="SLD76" s="156"/>
      <c r="SLE76" s="156"/>
      <c r="SLF76" s="156"/>
      <c r="SLG76" s="156"/>
      <c r="SLH76" s="156"/>
      <c r="SLI76" s="156"/>
      <c r="SLJ76" s="156"/>
      <c r="SLK76" s="156"/>
      <c r="SLL76" s="156"/>
      <c r="SLM76" s="156"/>
      <c r="SLN76" s="156"/>
      <c r="SLO76" s="156"/>
      <c r="SLP76" s="156"/>
      <c r="SLQ76" s="156"/>
      <c r="SLR76" s="156"/>
      <c r="SLS76" s="156"/>
      <c r="SLT76" s="156"/>
      <c r="SLU76" s="156"/>
      <c r="SLV76" s="156"/>
      <c r="SLW76" s="156"/>
      <c r="SLX76" s="156"/>
      <c r="SLY76" s="156"/>
      <c r="SLZ76" s="156"/>
      <c r="SMA76" s="156"/>
      <c r="SMB76" s="156"/>
      <c r="SMC76" s="156"/>
      <c r="SMD76" s="156"/>
      <c r="SME76" s="156"/>
      <c r="SMF76" s="156"/>
      <c r="SMG76" s="156"/>
      <c r="SMH76" s="156"/>
      <c r="SMI76" s="156"/>
      <c r="SMJ76" s="156"/>
      <c r="SMK76" s="156"/>
      <c r="SML76" s="156"/>
      <c r="SMM76" s="156"/>
      <c r="SMN76" s="156"/>
      <c r="SMO76" s="156"/>
      <c r="SMP76" s="156"/>
      <c r="SMQ76" s="156"/>
      <c r="SMR76" s="156"/>
      <c r="SMS76" s="156"/>
      <c r="SMT76" s="156"/>
      <c r="SMU76" s="156"/>
      <c r="SMV76" s="156"/>
      <c r="SMW76" s="156"/>
      <c r="SMX76" s="156"/>
      <c r="SMY76" s="156"/>
      <c r="SMZ76" s="156"/>
      <c r="SNA76" s="156"/>
      <c r="SNB76" s="156"/>
      <c r="SNC76" s="156"/>
      <c r="SND76" s="156"/>
      <c r="SNE76" s="156"/>
      <c r="SNF76" s="156"/>
      <c r="SNG76" s="156"/>
      <c r="SNH76" s="156"/>
      <c r="SNI76" s="156"/>
      <c r="SNJ76" s="156"/>
      <c r="SNK76" s="156"/>
      <c r="SNL76" s="156"/>
      <c r="SNM76" s="156"/>
      <c r="SNN76" s="156"/>
      <c r="SNO76" s="156"/>
      <c r="SNP76" s="156"/>
      <c r="SNQ76" s="156"/>
      <c r="SNR76" s="156"/>
      <c r="SNS76" s="156"/>
      <c r="SNT76" s="156"/>
      <c r="SNU76" s="156"/>
      <c r="SNV76" s="156"/>
      <c r="SNW76" s="156"/>
      <c r="SNX76" s="156"/>
      <c r="SNY76" s="156"/>
      <c r="SNZ76" s="156"/>
      <c r="SOA76" s="156"/>
      <c r="SOB76" s="156"/>
      <c r="SOC76" s="156"/>
      <c r="SOD76" s="156"/>
      <c r="SOE76" s="156"/>
      <c r="SOF76" s="156"/>
      <c r="SOG76" s="156"/>
      <c r="SOH76" s="156"/>
      <c r="SOI76" s="156"/>
      <c r="SOJ76" s="156"/>
      <c r="SOK76" s="156"/>
      <c r="SOL76" s="156"/>
      <c r="SOM76" s="156"/>
      <c r="SON76" s="156"/>
      <c r="SOO76" s="156"/>
      <c r="SOP76" s="156"/>
      <c r="SOQ76" s="156"/>
      <c r="SOR76" s="156"/>
      <c r="SOS76" s="156"/>
      <c r="SOT76" s="156"/>
      <c r="SOU76" s="156"/>
      <c r="SOV76" s="156"/>
      <c r="SOW76" s="156"/>
      <c r="SOX76" s="156"/>
      <c r="SOY76" s="156"/>
      <c r="SOZ76" s="156"/>
      <c r="SPA76" s="156"/>
      <c r="SPB76" s="156"/>
      <c r="SPC76" s="156"/>
      <c r="SPD76" s="156"/>
      <c r="SPE76" s="156"/>
      <c r="SPF76" s="156"/>
      <c r="SPG76" s="156"/>
      <c r="SPH76" s="156"/>
      <c r="SPI76" s="156"/>
      <c r="SPJ76" s="156"/>
      <c r="SPK76" s="156"/>
      <c r="SPL76" s="156"/>
      <c r="SPM76" s="156"/>
      <c r="SPN76" s="156"/>
      <c r="SPO76" s="156"/>
      <c r="SPP76" s="156"/>
      <c r="SPQ76" s="156"/>
      <c r="SPR76" s="156"/>
      <c r="SPS76" s="156"/>
      <c r="SPT76" s="156"/>
      <c r="SPU76" s="156"/>
      <c r="SPV76" s="156"/>
      <c r="SPW76" s="156"/>
      <c r="SPX76" s="156"/>
      <c r="SPY76" s="156"/>
      <c r="SPZ76" s="156"/>
      <c r="SQA76" s="156"/>
      <c r="SQB76" s="156"/>
      <c r="SQC76" s="156"/>
      <c r="SQD76" s="156"/>
      <c r="SQE76" s="156"/>
      <c r="SQF76" s="156"/>
      <c r="SQG76" s="156"/>
      <c r="SQH76" s="156"/>
      <c r="SQI76" s="156"/>
      <c r="SQJ76" s="156"/>
      <c r="SQK76" s="156"/>
      <c r="SQL76" s="156"/>
      <c r="SQM76" s="156"/>
      <c r="SQN76" s="156"/>
      <c r="SQO76" s="156"/>
      <c r="SQP76" s="156"/>
      <c r="SQQ76" s="156"/>
      <c r="SQR76" s="156"/>
      <c r="SQS76" s="156"/>
      <c r="SQT76" s="156"/>
      <c r="SQU76" s="156"/>
      <c r="SQV76" s="156"/>
      <c r="SQW76" s="156"/>
      <c r="SQX76" s="156"/>
      <c r="SQY76" s="156"/>
      <c r="SQZ76" s="156"/>
      <c r="SRA76" s="156"/>
      <c r="SRB76" s="156"/>
      <c r="SRC76" s="156"/>
      <c r="SRD76" s="156"/>
      <c r="SRE76" s="156"/>
      <c r="SRF76" s="156"/>
      <c r="SRG76" s="156"/>
      <c r="SRH76" s="156"/>
      <c r="SRI76" s="156"/>
      <c r="SRJ76" s="156"/>
      <c r="SRK76" s="156"/>
      <c r="SRL76" s="156"/>
      <c r="SRM76" s="156"/>
      <c r="SRN76" s="156"/>
      <c r="SRO76" s="156"/>
      <c r="SRP76" s="156"/>
      <c r="SRQ76" s="156"/>
      <c r="SRR76" s="156"/>
      <c r="SRS76" s="156"/>
      <c r="SRT76" s="156"/>
      <c r="SRU76" s="156"/>
      <c r="SRV76" s="156"/>
      <c r="SRW76" s="156"/>
      <c r="SRX76" s="156"/>
      <c r="SRY76" s="156"/>
      <c r="SRZ76" s="156"/>
      <c r="SSA76" s="156"/>
      <c r="SSB76" s="156"/>
      <c r="SSC76" s="156"/>
      <c r="SSD76" s="156"/>
      <c r="SSE76" s="156"/>
      <c r="SSF76" s="156"/>
      <c r="SSG76" s="156"/>
      <c r="SSH76" s="156"/>
      <c r="SSI76" s="156"/>
      <c r="SSJ76" s="156"/>
      <c r="SSK76" s="156"/>
      <c r="SSL76" s="156"/>
      <c r="SSM76" s="156"/>
      <c r="SSN76" s="156"/>
      <c r="SSO76" s="156"/>
      <c r="SSP76" s="156"/>
      <c r="SSQ76" s="156"/>
      <c r="SSR76" s="156"/>
      <c r="SSS76" s="156"/>
      <c r="SST76" s="156"/>
      <c r="SSU76" s="156"/>
      <c r="SSV76" s="156"/>
      <c r="SSW76" s="156"/>
      <c r="SSX76" s="156"/>
      <c r="SSY76" s="156"/>
      <c r="SSZ76" s="156"/>
      <c r="STA76" s="156"/>
      <c r="STB76" s="156"/>
      <c r="STC76" s="156"/>
      <c r="STD76" s="156"/>
      <c r="STE76" s="156"/>
      <c r="STF76" s="156"/>
      <c r="STG76" s="156"/>
      <c r="STH76" s="156"/>
      <c r="STI76" s="156"/>
      <c r="STJ76" s="156"/>
      <c r="STK76" s="156"/>
      <c r="STL76" s="156"/>
      <c r="STM76" s="156"/>
      <c r="STN76" s="156"/>
      <c r="STO76" s="156"/>
      <c r="STP76" s="156"/>
      <c r="STQ76" s="156"/>
      <c r="STR76" s="156"/>
      <c r="STS76" s="156"/>
      <c r="STT76" s="156"/>
      <c r="STU76" s="156"/>
      <c r="STV76" s="156"/>
      <c r="STW76" s="156"/>
      <c r="STX76" s="156"/>
      <c r="STY76" s="156"/>
      <c r="STZ76" s="156"/>
      <c r="SUA76" s="156"/>
      <c r="SUB76" s="156"/>
      <c r="SUC76" s="156"/>
      <c r="SUD76" s="156"/>
      <c r="SUE76" s="156"/>
      <c r="SUF76" s="156"/>
      <c r="SUG76" s="156"/>
      <c r="SUH76" s="156"/>
      <c r="SUI76" s="156"/>
      <c r="SUJ76" s="156"/>
      <c r="SUK76" s="156"/>
      <c r="SUL76" s="156"/>
      <c r="SUM76" s="156"/>
      <c r="SUN76" s="156"/>
      <c r="SUO76" s="156"/>
      <c r="SUP76" s="156"/>
      <c r="SUQ76" s="156"/>
      <c r="SUR76" s="156"/>
      <c r="SUS76" s="156"/>
      <c r="SUT76" s="156"/>
      <c r="SUU76" s="156"/>
      <c r="SUV76" s="156"/>
      <c r="SUW76" s="156"/>
      <c r="SUX76" s="156"/>
      <c r="SUY76" s="156"/>
      <c r="SUZ76" s="156"/>
      <c r="SVA76" s="156"/>
      <c r="SVB76" s="156"/>
      <c r="SVC76" s="156"/>
      <c r="SVD76" s="156"/>
      <c r="SVE76" s="156"/>
      <c r="SVF76" s="156"/>
      <c r="SVG76" s="156"/>
      <c r="SVH76" s="156"/>
      <c r="SVI76" s="156"/>
      <c r="SVJ76" s="156"/>
      <c r="SVK76" s="156"/>
      <c r="SVL76" s="156"/>
      <c r="SVM76" s="156"/>
      <c r="SVN76" s="156"/>
      <c r="SVO76" s="156"/>
      <c r="SVP76" s="156"/>
      <c r="SVQ76" s="156"/>
      <c r="SVR76" s="156"/>
      <c r="SVS76" s="156"/>
      <c r="SVT76" s="156"/>
      <c r="SVU76" s="156"/>
      <c r="SVV76" s="156"/>
      <c r="SVW76" s="156"/>
      <c r="SVX76" s="156"/>
      <c r="SVY76" s="156"/>
      <c r="SVZ76" s="156"/>
      <c r="SWA76" s="156"/>
      <c r="SWB76" s="156"/>
      <c r="SWC76" s="156"/>
      <c r="SWD76" s="156"/>
      <c r="SWE76" s="156"/>
      <c r="SWF76" s="156"/>
      <c r="SWG76" s="156"/>
      <c r="SWH76" s="156"/>
      <c r="SWI76" s="156"/>
      <c r="SWJ76" s="156"/>
      <c r="SWK76" s="156"/>
      <c r="SWL76" s="156"/>
      <c r="SWM76" s="156"/>
      <c r="SWN76" s="156"/>
      <c r="SWO76" s="156"/>
      <c r="SWP76" s="156"/>
      <c r="SWQ76" s="156"/>
      <c r="SWR76" s="156"/>
      <c r="SWS76" s="156"/>
      <c r="SWT76" s="156"/>
      <c r="SWU76" s="156"/>
      <c r="SWV76" s="156"/>
      <c r="SWW76" s="156"/>
      <c r="SWX76" s="156"/>
      <c r="SWY76" s="156"/>
      <c r="SWZ76" s="156"/>
      <c r="SXA76" s="156"/>
      <c r="SXB76" s="156"/>
      <c r="SXC76" s="156"/>
      <c r="SXD76" s="156"/>
      <c r="SXE76" s="156"/>
      <c r="SXF76" s="156"/>
      <c r="SXG76" s="156"/>
      <c r="SXH76" s="156"/>
      <c r="SXI76" s="156"/>
      <c r="SXJ76" s="156"/>
      <c r="SXK76" s="156"/>
      <c r="SXL76" s="156"/>
      <c r="SXM76" s="156"/>
      <c r="SXN76" s="156"/>
      <c r="SXO76" s="156"/>
      <c r="SXP76" s="156"/>
      <c r="SXQ76" s="156"/>
      <c r="SXR76" s="156"/>
      <c r="SXS76" s="156"/>
      <c r="SXT76" s="156"/>
      <c r="SXU76" s="156"/>
      <c r="SXV76" s="156"/>
      <c r="SXW76" s="156"/>
      <c r="SXX76" s="156"/>
      <c r="SXY76" s="156"/>
      <c r="SXZ76" s="156"/>
      <c r="SYA76" s="156"/>
      <c r="SYB76" s="156"/>
      <c r="SYC76" s="156"/>
      <c r="SYD76" s="156"/>
      <c r="SYE76" s="156"/>
      <c r="SYF76" s="156"/>
      <c r="SYG76" s="156"/>
      <c r="SYH76" s="156"/>
      <c r="SYI76" s="156"/>
      <c r="SYJ76" s="156"/>
      <c r="SYK76" s="156"/>
      <c r="SYL76" s="156"/>
      <c r="SYM76" s="156"/>
      <c r="SYN76" s="156"/>
      <c r="SYO76" s="156"/>
      <c r="SYP76" s="156"/>
      <c r="SYQ76" s="156"/>
      <c r="SYR76" s="156"/>
      <c r="SYS76" s="156"/>
      <c r="SYT76" s="156"/>
      <c r="SYU76" s="156"/>
      <c r="SYV76" s="156"/>
      <c r="SYW76" s="156"/>
      <c r="SYX76" s="156"/>
      <c r="SYY76" s="156"/>
      <c r="SYZ76" s="156"/>
      <c r="SZA76" s="156"/>
      <c r="SZB76" s="156"/>
      <c r="SZC76" s="156"/>
      <c r="SZD76" s="156"/>
      <c r="SZE76" s="156"/>
      <c r="SZF76" s="156"/>
      <c r="SZG76" s="156"/>
      <c r="SZH76" s="156"/>
      <c r="SZI76" s="156"/>
      <c r="SZJ76" s="156"/>
      <c r="SZK76" s="156"/>
      <c r="SZL76" s="156"/>
      <c r="SZM76" s="156"/>
      <c r="SZN76" s="156"/>
      <c r="SZO76" s="156"/>
      <c r="SZP76" s="156"/>
      <c r="SZQ76" s="156"/>
      <c r="SZR76" s="156"/>
      <c r="SZS76" s="156"/>
      <c r="SZT76" s="156"/>
      <c r="SZU76" s="156"/>
      <c r="SZV76" s="156"/>
      <c r="SZW76" s="156"/>
      <c r="SZX76" s="156"/>
      <c r="SZY76" s="156"/>
      <c r="SZZ76" s="156"/>
      <c r="TAA76" s="156"/>
      <c r="TAB76" s="156"/>
      <c r="TAC76" s="156"/>
      <c r="TAD76" s="156"/>
      <c r="TAE76" s="156"/>
      <c r="TAF76" s="156"/>
      <c r="TAG76" s="156"/>
      <c r="TAH76" s="156"/>
      <c r="TAI76" s="156"/>
      <c r="TAJ76" s="156"/>
      <c r="TAK76" s="156"/>
      <c r="TAL76" s="156"/>
      <c r="TAM76" s="156"/>
      <c r="TAN76" s="156"/>
      <c r="TAO76" s="156"/>
      <c r="TAP76" s="156"/>
      <c r="TAQ76" s="156"/>
      <c r="TAR76" s="156"/>
      <c r="TAS76" s="156"/>
      <c r="TAT76" s="156"/>
      <c r="TAU76" s="156"/>
      <c r="TAV76" s="156"/>
      <c r="TAW76" s="156"/>
      <c r="TAX76" s="156"/>
      <c r="TAY76" s="156"/>
      <c r="TAZ76" s="156"/>
      <c r="TBA76" s="156"/>
      <c r="TBB76" s="156"/>
      <c r="TBC76" s="156"/>
      <c r="TBD76" s="156"/>
      <c r="TBE76" s="156"/>
      <c r="TBF76" s="156"/>
      <c r="TBG76" s="156"/>
      <c r="TBH76" s="156"/>
      <c r="TBI76" s="156"/>
      <c r="TBJ76" s="156"/>
      <c r="TBK76" s="156"/>
      <c r="TBL76" s="156"/>
      <c r="TBM76" s="156"/>
      <c r="TBN76" s="156"/>
      <c r="TBO76" s="156"/>
      <c r="TBP76" s="156"/>
      <c r="TBQ76" s="156"/>
      <c r="TBR76" s="156"/>
      <c r="TBS76" s="156"/>
      <c r="TBT76" s="156"/>
      <c r="TBU76" s="156"/>
      <c r="TBV76" s="156"/>
      <c r="TBW76" s="156"/>
      <c r="TBX76" s="156"/>
      <c r="TBY76" s="156"/>
      <c r="TBZ76" s="156"/>
      <c r="TCA76" s="156"/>
      <c r="TCB76" s="156"/>
      <c r="TCC76" s="156"/>
      <c r="TCD76" s="156"/>
      <c r="TCE76" s="156"/>
      <c r="TCF76" s="156"/>
      <c r="TCG76" s="156"/>
      <c r="TCH76" s="156"/>
      <c r="TCI76" s="156"/>
      <c r="TCJ76" s="156"/>
      <c r="TCK76" s="156"/>
      <c r="TCL76" s="156"/>
      <c r="TCM76" s="156"/>
      <c r="TCN76" s="156"/>
      <c r="TCO76" s="156"/>
      <c r="TCP76" s="156"/>
      <c r="TCQ76" s="156"/>
      <c r="TCR76" s="156"/>
      <c r="TCS76" s="156"/>
      <c r="TCT76" s="156"/>
      <c r="TCU76" s="156"/>
      <c r="TCV76" s="156"/>
      <c r="TCW76" s="156"/>
      <c r="TCX76" s="156"/>
      <c r="TCY76" s="156"/>
      <c r="TCZ76" s="156"/>
      <c r="TDA76" s="156"/>
      <c r="TDB76" s="156"/>
      <c r="TDC76" s="156"/>
      <c r="TDD76" s="156"/>
      <c r="TDE76" s="156"/>
      <c r="TDF76" s="156"/>
      <c r="TDG76" s="156"/>
      <c r="TDH76" s="156"/>
      <c r="TDI76" s="156"/>
      <c r="TDJ76" s="156"/>
      <c r="TDK76" s="156"/>
      <c r="TDL76" s="156"/>
      <c r="TDM76" s="156"/>
      <c r="TDN76" s="156"/>
      <c r="TDO76" s="156"/>
      <c r="TDP76" s="156"/>
      <c r="TDQ76" s="156"/>
      <c r="TDR76" s="156"/>
      <c r="TDS76" s="156"/>
      <c r="TDT76" s="156"/>
      <c r="TDU76" s="156"/>
      <c r="TDV76" s="156"/>
      <c r="TDW76" s="156"/>
      <c r="TDX76" s="156"/>
      <c r="TDY76" s="156"/>
      <c r="TDZ76" s="156"/>
      <c r="TEA76" s="156"/>
      <c r="TEB76" s="156"/>
      <c r="TEC76" s="156"/>
      <c r="TED76" s="156"/>
      <c r="TEE76" s="156"/>
      <c r="TEF76" s="156"/>
      <c r="TEG76" s="156"/>
      <c r="TEH76" s="156"/>
      <c r="TEI76" s="156"/>
      <c r="TEJ76" s="156"/>
      <c r="TEK76" s="156"/>
      <c r="TEL76" s="156"/>
      <c r="TEM76" s="156"/>
      <c r="TEN76" s="156"/>
      <c r="TEO76" s="156"/>
      <c r="TEP76" s="156"/>
      <c r="TEQ76" s="156"/>
      <c r="TER76" s="156"/>
      <c r="TES76" s="156"/>
      <c r="TET76" s="156"/>
      <c r="TEU76" s="156"/>
      <c r="TEV76" s="156"/>
      <c r="TEW76" s="156"/>
      <c r="TEX76" s="156"/>
      <c r="TEY76" s="156"/>
      <c r="TEZ76" s="156"/>
      <c r="TFA76" s="156"/>
      <c r="TFB76" s="156"/>
      <c r="TFC76" s="156"/>
      <c r="TFD76" s="156"/>
      <c r="TFE76" s="156"/>
      <c r="TFF76" s="156"/>
      <c r="TFG76" s="156"/>
      <c r="TFH76" s="156"/>
      <c r="TFI76" s="156"/>
      <c r="TFJ76" s="156"/>
      <c r="TFK76" s="156"/>
      <c r="TFL76" s="156"/>
      <c r="TFM76" s="156"/>
      <c r="TFN76" s="156"/>
      <c r="TFO76" s="156"/>
      <c r="TFP76" s="156"/>
      <c r="TFQ76" s="156"/>
      <c r="TFR76" s="156"/>
      <c r="TFS76" s="156"/>
      <c r="TFT76" s="156"/>
      <c r="TFU76" s="156"/>
      <c r="TFV76" s="156"/>
      <c r="TFW76" s="156"/>
      <c r="TFX76" s="156"/>
      <c r="TFY76" s="156"/>
      <c r="TFZ76" s="156"/>
      <c r="TGA76" s="156"/>
      <c r="TGB76" s="156"/>
      <c r="TGC76" s="156"/>
      <c r="TGD76" s="156"/>
      <c r="TGE76" s="156"/>
      <c r="TGF76" s="156"/>
      <c r="TGG76" s="156"/>
      <c r="TGH76" s="156"/>
      <c r="TGI76" s="156"/>
      <c r="TGJ76" s="156"/>
      <c r="TGK76" s="156"/>
      <c r="TGL76" s="156"/>
      <c r="TGM76" s="156"/>
      <c r="TGN76" s="156"/>
      <c r="TGO76" s="156"/>
      <c r="TGP76" s="156"/>
      <c r="TGQ76" s="156"/>
      <c r="TGR76" s="156"/>
      <c r="TGS76" s="156"/>
      <c r="TGT76" s="156"/>
      <c r="TGU76" s="156"/>
      <c r="TGV76" s="156"/>
      <c r="TGW76" s="156"/>
      <c r="TGX76" s="156"/>
      <c r="TGY76" s="156"/>
      <c r="TGZ76" s="156"/>
      <c r="THA76" s="156"/>
      <c r="THB76" s="156"/>
      <c r="THC76" s="156"/>
      <c r="THD76" s="156"/>
      <c r="THE76" s="156"/>
      <c r="THF76" s="156"/>
      <c r="THG76" s="156"/>
      <c r="THH76" s="156"/>
      <c r="THI76" s="156"/>
      <c r="THJ76" s="156"/>
      <c r="THK76" s="156"/>
      <c r="THL76" s="156"/>
      <c r="THM76" s="156"/>
      <c r="THN76" s="156"/>
      <c r="THO76" s="156"/>
      <c r="THP76" s="156"/>
      <c r="THQ76" s="156"/>
      <c r="THR76" s="156"/>
      <c r="THS76" s="156"/>
      <c r="THT76" s="156"/>
      <c r="THU76" s="156"/>
      <c r="THV76" s="156"/>
      <c r="THW76" s="156"/>
      <c r="THX76" s="156"/>
      <c r="THY76" s="156"/>
      <c r="THZ76" s="156"/>
      <c r="TIA76" s="156"/>
      <c r="TIB76" s="156"/>
      <c r="TIC76" s="156"/>
      <c r="TID76" s="156"/>
      <c r="TIE76" s="156"/>
      <c r="TIF76" s="156"/>
      <c r="TIG76" s="156"/>
      <c r="TIH76" s="156"/>
      <c r="TII76" s="156"/>
      <c r="TIJ76" s="156"/>
      <c r="TIK76" s="156"/>
      <c r="TIL76" s="156"/>
      <c r="TIM76" s="156"/>
      <c r="TIN76" s="156"/>
      <c r="TIO76" s="156"/>
      <c r="TIP76" s="156"/>
      <c r="TIQ76" s="156"/>
      <c r="TIR76" s="156"/>
      <c r="TIS76" s="156"/>
      <c r="TIT76" s="156"/>
      <c r="TIU76" s="156"/>
      <c r="TIV76" s="156"/>
      <c r="TIW76" s="156"/>
      <c r="TIX76" s="156"/>
      <c r="TIY76" s="156"/>
      <c r="TIZ76" s="156"/>
      <c r="TJA76" s="156"/>
      <c r="TJB76" s="156"/>
      <c r="TJC76" s="156"/>
      <c r="TJD76" s="156"/>
      <c r="TJE76" s="156"/>
      <c r="TJF76" s="156"/>
      <c r="TJG76" s="156"/>
      <c r="TJH76" s="156"/>
      <c r="TJI76" s="156"/>
      <c r="TJJ76" s="156"/>
      <c r="TJK76" s="156"/>
      <c r="TJL76" s="156"/>
      <c r="TJM76" s="156"/>
      <c r="TJN76" s="156"/>
      <c r="TJO76" s="156"/>
      <c r="TJP76" s="156"/>
      <c r="TJQ76" s="156"/>
      <c r="TJR76" s="156"/>
      <c r="TJS76" s="156"/>
      <c r="TJT76" s="156"/>
      <c r="TJU76" s="156"/>
      <c r="TJV76" s="156"/>
      <c r="TJW76" s="156"/>
      <c r="TJX76" s="156"/>
      <c r="TJY76" s="156"/>
      <c r="TJZ76" s="156"/>
      <c r="TKA76" s="156"/>
      <c r="TKB76" s="156"/>
      <c r="TKC76" s="156"/>
      <c r="TKD76" s="156"/>
      <c r="TKE76" s="156"/>
      <c r="TKF76" s="156"/>
      <c r="TKG76" s="156"/>
      <c r="TKH76" s="156"/>
      <c r="TKI76" s="156"/>
      <c r="TKJ76" s="156"/>
      <c r="TKK76" s="156"/>
      <c r="TKL76" s="156"/>
      <c r="TKM76" s="156"/>
      <c r="TKN76" s="156"/>
      <c r="TKO76" s="156"/>
      <c r="TKP76" s="156"/>
      <c r="TKQ76" s="156"/>
      <c r="TKR76" s="156"/>
      <c r="TKS76" s="156"/>
      <c r="TKT76" s="156"/>
      <c r="TKU76" s="156"/>
      <c r="TKV76" s="156"/>
      <c r="TKW76" s="156"/>
      <c r="TKX76" s="156"/>
      <c r="TKY76" s="156"/>
      <c r="TKZ76" s="156"/>
      <c r="TLA76" s="156"/>
      <c r="TLB76" s="156"/>
      <c r="TLC76" s="156"/>
      <c r="TLD76" s="156"/>
      <c r="TLE76" s="156"/>
      <c r="TLF76" s="156"/>
      <c r="TLG76" s="156"/>
      <c r="TLH76" s="156"/>
      <c r="TLI76" s="156"/>
      <c r="TLJ76" s="156"/>
      <c r="TLK76" s="156"/>
      <c r="TLL76" s="156"/>
      <c r="TLM76" s="156"/>
      <c r="TLN76" s="156"/>
      <c r="TLO76" s="156"/>
      <c r="TLP76" s="156"/>
      <c r="TLQ76" s="156"/>
      <c r="TLR76" s="156"/>
      <c r="TLS76" s="156"/>
      <c r="TLT76" s="156"/>
      <c r="TLU76" s="156"/>
      <c r="TLV76" s="156"/>
      <c r="TLW76" s="156"/>
      <c r="TLX76" s="156"/>
      <c r="TLY76" s="156"/>
      <c r="TLZ76" s="156"/>
      <c r="TMA76" s="156"/>
      <c r="TMB76" s="156"/>
      <c r="TMC76" s="156"/>
      <c r="TMD76" s="156"/>
      <c r="TME76" s="156"/>
      <c r="TMF76" s="156"/>
      <c r="TMG76" s="156"/>
      <c r="TMH76" s="156"/>
      <c r="TMI76" s="156"/>
      <c r="TMJ76" s="156"/>
      <c r="TMK76" s="156"/>
      <c r="TML76" s="156"/>
      <c r="TMM76" s="156"/>
      <c r="TMN76" s="156"/>
      <c r="TMO76" s="156"/>
      <c r="TMP76" s="156"/>
      <c r="TMQ76" s="156"/>
      <c r="TMR76" s="156"/>
      <c r="TMS76" s="156"/>
      <c r="TMT76" s="156"/>
      <c r="TMU76" s="156"/>
      <c r="TMV76" s="156"/>
      <c r="TMW76" s="156"/>
      <c r="TMX76" s="156"/>
      <c r="TMY76" s="156"/>
      <c r="TMZ76" s="156"/>
      <c r="TNA76" s="156"/>
      <c r="TNB76" s="156"/>
      <c r="TNC76" s="156"/>
      <c r="TND76" s="156"/>
      <c r="TNE76" s="156"/>
      <c r="TNF76" s="156"/>
      <c r="TNG76" s="156"/>
      <c r="TNH76" s="156"/>
      <c r="TNI76" s="156"/>
      <c r="TNJ76" s="156"/>
      <c r="TNK76" s="156"/>
      <c r="TNL76" s="156"/>
      <c r="TNM76" s="156"/>
      <c r="TNN76" s="156"/>
      <c r="TNO76" s="156"/>
      <c r="TNP76" s="156"/>
      <c r="TNQ76" s="156"/>
      <c r="TNR76" s="156"/>
      <c r="TNS76" s="156"/>
      <c r="TNT76" s="156"/>
      <c r="TNU76" s="156"/>
      <c r="TNV76" s="156"/>
      <c r="TNW76" s="156"/>
      <c r="TNX76" s="156"/>
      <c r="TNY76" s="156"/>
      <c r="TNZ76" s="156"/>
      <c r="TOA76" s="156"/>
      <c r="TOB76" s="156"/>
      <c r="TOC76" s="156"/>
      <c r="TOD76" s="156"/>
      <c r="TOE76" s="156"/>
      <c r="TOF76" s="156"/>
      <c r="TOG76" s="156"/>
      <c r="TOH76" s="156"/>
      <c r="TOI76" s="156"/>
      <c r="TOJ76" s="156"/>
      <c r="TOK76" s="156"/>
      <c r="TOL76" s="156"/>
      <c r="TOM76" s="156"/>
      <c r="TON76" s="156"/>
      <c r="TOO76" s="156"/>
      <c r="TOP76" s="156"/>
      <c r="TOQ76" s="156"/>
      <c r="TOR76" s="156"/>
      <c r="TOS76" s="156"/>
      <c r="TOT76" s="156"/>
      <c r="TOU76" s="156"/>
      <c r="TOV76" s="156"/>
      <c r="TOW76" s="156"/>
      <c r="TOX76" s="156"/>
      <c r="TOY76" s="156"/>
      <c r="TOZ76" s="156"/>
      <c r="TPA76" s="156"/>
      <c r="TPB76" s="156"/>
      <c r="TPC76" s="156"/>
      <c r="TPD76" s="156"/>
      <c r="TPE76" s="156"/>
      <c r="TPF76" s="156"/>
      <c r="TPG76" s="156"/>
      <c r="TPH76" s="156"/>
      <c r="TPI76" s="156"/>
      <c r="TPJ76" s="156"/>
      <c r="TPK76" s="156"/>
      <c r="TPL76" s="156"/>
      <c r="TPM76" s="156"/>
      <c r="TPN76" s="156"/>
      <c r="TPO76" s="156"/>
      <c r="TPP76" s="156"/>
      <c r="TPQ76" s="156"/>
      <c r="TPR76" s="156"/>
      <c r="TPS76" s="156"/>
      <c r="TPT76" s="156"/>
      <c r="TPU76" s="156"/>
      <c r="TPV76" s="156"/>
      <c r="TPW76" s="156"/>
      <c r="TPX76" s="156"/>
      <c r="TPY76" s="156"/>
      <c r="TPZ76" s="156"/>
      <c r="TQA76" s="156"/>
      <c r="TQB76" s="156"/>
      <c r="TQC76" s="156"/>
      <c r="TQD76" s="156"/>
      <c r="TQE76" s="156"/>
      <c r="TQF76" s="156"/>
      <c r="TQG76" s="156"/>
      <c r="TQH76" s="156"/>
      <c r="TQI76" s="156"/>
      <c r="TQJ76" s="156"/>
      <c r="TQK76" s="156"/>
      <c r="TQL76" s="156"/>
      <c r="TQM76" s="156"/>
      <c r="TQN76" s="156"/>
      <c r="TQO76" s="156"/>
      <c r="TQP76" s="156"/>
      <c r="TQQ76" s="156"/>
      <c r="TQR76" s="156"/>
      <c r="TQS76" s="156"/>
      <c r="TQT76" s="156"/>
      <c r="TQU76" s="156"/>
      <c r="TQV76" s="156"/>
      <c r="TQW76" s="156"/>
      <c r="TQX76" s="156"/>
      <c r="TQY76" s="156"/>
      <c r="TQZ76" s="156"/>
      <c r="TRA76" s="156"/>
      <c r="TRB76" s="156"/>
      <c r="TRC76" s="156"/>
      <c r="TRD76" s="156"/>
      <c r="TRE76" s="156"/>
      <c r="TRF76" s="156"/>
      <c r="TRG76" s="156"/>
      <c r="TRH76" s="156"/>
      <c r="TRI76" s="156"/>
      <c r="TRJ76" s="156"/>
      <c r="TRK76" s="156"/>
      <c r="TRL76" s="156"/>
      <c r="TRM76" s="156"/>
      <c r="TRN76" s="156"/>
      <c r="TRO76" s="156"/>
      <c r="TRP76" s="156"/>
      <c r="TRQ76" s="156"/>
      <c r="TRR76" s="156"/>
      <c r="TRS76" s="156"/>
      <c r="TRT76" s="156"/>
      <c r="TRU76" s="156"/>
      <c r="TRV76" s="156"/>
      <c r="TRW76" s="156"/>
      <c r="TRX76" s="156"/>
      <c r="TRY76" s="156"/>
      <c r="TRZ76" s="156"/>
      <c r="TSA76" s="156"/>
      <c r="TSB76" s="156"/>
      <c r="TSC76" s="156"/>
      <c r="TSD76" s="156"/>
      <c r="TSE76" s="156"/>
      <c r="TSF76" s="156"/>
      <c r="TSG76" s="156"/>
      <c r="TSH76" s="156"/>
      <c r="TSI76" s="156"/>
      <c r="TSJ76" s="156"/>
      <c r="TSK76" s="156"/>
      <c r="TSL76" s="156"/>
      <c r="TSM76" s="156"/>
      <c r="TSN76" s="156"/>
      <c r="TSO76" s="156"/>
      <c r="TSP76" s="156"/>
      <c r="TSQ76" s="156"/>
      <c r="TSR76" s="156"/>
      <c r="TSS76" s="156"/>
      <c r="TST76" s="156"/>
      <c r="TSU76" s="156"/>
      <c r="TSV76" s="156"/>
      <c r="TSW76" s="156"/>
      <c r="TSX76" s="156"/>
      <c r="TSY76" s="156"/>
      <c r="TSZ76" s="156"/>
      <c r="TTA76" s="156"/>
      <c r="TTB76" s="156"/>
      <c r="TTC76" s="156"/>
      <c r="TTD76" s="156"/>
      <c r="TTE76" s="156"/>
      <c r="TTF76" s="156"/>
      <c r="TTG76" s="156"/>
      <c r="TTH76" s="156"/>
      <c r="TTI76" s="156"/>
      <c r="TTJ76" s="156"/>
      <c r="TTK76" s="156"/>
      <c r="TTL76" s="156"/>
      <c r="TTM76" s="156"/>
      <c r="TTN76" s="156"/>
      <c r="TTO76" s="156"/>
      <c r="TTP76" s="156"/>
      <c r="TTQ76" s="156"/>
      <c r="TTR76" s="156"/>
      <c r="TTS76" s="156"/>
      <c r="TTT76" s="156"/>
      <c r="TTU76" s="156"/>
      <c r="TTV76" s="156"/>
      <c r="TTW76" s="156"/>
      <c r="TTX76" s="156"/>
      <c r="TTY76" s="156"/>
      <c r="TTZ76" s="156"/>
      <c r="TUA76" s="156"/>
      <c r="TUB76" s="156"/>
      <c r="TUC76" s="156"/>
      <c r="TUD76" s="156"/>
      <c r="TUE76" s="156"/>
      <c r="TUF76" s="156"/>
      <c r="TUG76" s="156"/>
      <c r="TUH76" s="156"/>
      <c r="TUI76" s="156"/>
      <c r="TUJ76" s="156"/>
      <c r="TUK76" s="156"/>
      <c r="TUL76" s="156"/>
      <c r="TUM76" s="156"/>
      <c r="TUN76" s="156"/>
      <c r="TUO76" s="156"/>
      <c r="TUP76" s="156"/>
      <c r="TUQ76" s="156"/>
      <c r="TUR76" s="156"/>
      <c r="TUS76" s="156"/>
      <c r="TUT76" s="156"/>
      <c r="TUU76" s="156"/>
      <c r="TUV76" s="156"/>
      <c r="TUW76" s="156"/>
      <c r="TUX76" s="156"/>
      <c r="TUY76" s="156"/>
      <c r="TUZ76" s="156"/>
      <c r="TVA76" s="156"/>
      <c r="TVB76" s="156"/>
      <c r="TVC76" s="156"/>
      <c r="TVD76" s="156"/>
      <c r="TVE76" s="156"/>
      <c r="TVF76" s="156"/>
      <c r="TVG76" s="156"/>
      <c r="TVH76" s="156"/>
      <c r="TVI76" s="156"/>
      <c r="TVJ76" s="156"/>
      <c r="TVK76" s="156"/>
      <c r="TVL76" s="156"/>
      <c r="TVM76" s="156"/>
      <c r="TVN76" s="156"/>
      <c r="TVO76" s="156"/>
      <c r="TVP76" s="156"/>
      <c r="TVQ76" s="156"/>
      <c r="TVR76" s="156"/>
      <c r="TVS76" s="156"/>
      <c r="TVT76" s="156"/>
      <c r="TVU76" s="156"/>
      <c r="TVV76" s="156"/>
      <c r="TVW76" s="156"/>
      <c r="TVX76" s="156"/>
      <c r="TVY76" s="156"/>
      <c r="TVZ76" s="156"/>
      <c r="TWA76" s="156"/>
      <c r="TWB76" s="156"/>
      <c r="TWC76" s="156"/>
      <c r="TWD76" s="156"/>
      <c r="TWE76" s="156"/>
      <c r="TWF76" s="156"/>
      <c r="TWG76" s="156"/>
      <c r="TWH76" s="156"/>
      <c r="TWI76" s="156"/>
      <c r="TWJ76" s="156"/>
      <c r="TWK76" s="156"/>
      <c r="TWL76" s="156"/>
      <c r="TWM76" s="156"/>
      <c r="TWN76" s="156"/>
      <c r="TWO76" s="156"/>
      <c r="TWP76" s="156"/>
      <c r="TWQ76" s="156"/>
      <c r="TWR76" s="156"/>
      <c r="TWS76" s="156"/>
      <c r="TWT76" s="156"/>
      <c r="TWU76" s="156"/>
      <c r="TWV76" s="156"/>
      <c r="TWW76" s="156"/>
      <c r="TWX76" s="156"/>
      <c r="TWY76" s="156"/>
      <c r="TWZ76" s="156"/>
      <c r="TXA76" s="156"/>
      <c r="TXB76" s="156"/>
      <c r="TXC76" s="156"/>
      <c r="TXD76" s="156"/>
      <c r="TXE76" s="156"/>
      <c r="TXF76" s="156"/>
      <c r="TXG76" s="156"/>
      <c r="TXH76" s="156"/>
      <c r="TXI76" s="156"/>
      <c r="TXJ76" s="156"/>
      <c r="TXK76" s="156"/>
      <c r="TXL76" s="156"/>
      <c r="TXM76" s="156"/>
      <c r="TXN76" s="156"/>
      <c r="TXO76" s="156"/>
      <c r="TXP76" s="156"/>
      <c r="TXQ76" s="156"/>
      <c r="TXR76" s="156"/>
      <c r="TXS76" s="156"/>
      <c r="TXT76" s="156"/>
      <c r="TXU76" s="156"/>
      <c r="TXV76" s="156"/>
      <c r="TXW76" s="156"/>
      <c r="TXX76" s="156"/>
      <c r="TXY76" s="156"/>
      <c r="TXZ76" s="156"/>
      <c r="TYA76" s="156"/>
      <c r="TYB76" s="156"/>
      <c r="TYC76" s="156"/>
      <c r="TYD76" s="156"/>
      <c r="TYE76" s="156"/>
      <c r="TYF76" s="156"/>
      <c r="TYG76" s="156"/>
      <c r="TYH76" s="156"/>
      <c r="TYI76" s="156"/>
      <c r="TYJ76" s="156"/>
      <c r="TYK76" s="156"/>
      <c r="TYL76" s="156"/>
      <c r="TYM76" s="156"/>
      <c r="TYN76" s="156"/>
      <c r="TYO76" s="156"/>
      <c r="TYP76" s="156"/>
      <c r="TYQ76" s="156"/>
      <c r="TYR76" s="156"/>
      <c r="TYS76" s="156"/>
      <c r="TYT76" s="156"/>
      <c r="TYU76" s="156"/>
      <c r="TYV76" s="156"/>
      <c r="TYW76" s="156"/>
      <c r="TYX76" s="156"/>
      <c r="TYY76" s="156"/>
      <c r="TYZ76" s="156"/>
      <c r="TZA76" s="156"/>
      <c r="TZB76" s="156"/>
      <c r="TZC76" s="156"/>
      <c r="TZD76" s="156"/>
      <c r="TZE76" s="156"/>
      <c r="TZF76" s="156"/>
      <c r="TZG76" s="156"/>
      <c r="TZH76" s="156"/>
      <c r="TZI76" s="156"/>
      <c r="TZJ76" s="156"/>
      <c r="TZK76" s="156"/>
      <c r="TZL76" s="156"/>
      <c r="TZM76" s="156"/>
      <c r="TZN76" s="156"/>
      <c r="TZO76" s="156"/>
      <c r="TZP76" s="156"/>
      <c r="TZQ76" s="156"/>
      <c r="TZR76" s="156"/>
      <c r="TZS76" s="156"/>
      <c r="TZT76" s="156"/>
      <c r="TZU76" s="156"/>
      <c r="TZV76" s="156"/>
      <c r="TZW76" s="156"/>
      <c r="TZX76" s="156"/>
      <c r="TZY76" s="156"/>
      <c r="TZZ76" s="156"/>
      <c r="UAA76" s="156"/>
      <c r="UAB76" s="156"/>
      <c r="UAC76" s="156"/>
      <c r="UAD76" s="156"/>
      <c r="UAE76" s="156"/>
      <c r="UAF76" s="156"/>
      <c r="UAG76" s="156"/>
      <c r="UAH76" s="156"/>
      <c r="UAI76" s="156"/>
      <c r="UAJ76" s="156"/>
      <c r="UAK76" s="156"/>
      <c r="UAL76" s="156"/>
      <c r="UAM76" s="156"/>
      <c r="UAN76" s="156"/>
      <c r="UAO76" s="156"/>
      <c r="UAP76" s="156"/>
      <c r="UAQ76" s="156"/>
      <c r="UAR76" s="156"/>
      <c r="UAS76" s="156"/>
      <c r="UAT76" s="156"/>
      <c r="UAU76" s="156"/>
      <c r="UAV76" s="156"/>
      <c r="UAW76" s="156"/>
      <c r="UAX76" s="156"/>
      <c r="UAY76" s="156"/>
      <c r="UAZ76" s="156"/>
      <c r="UBA76" s="156"/>
      <c r="UBB76" s="156"/>
      <c r="UBC76" s="156"/>
      <c r="UBD76" s="156"/>
      <c r="UBE76" s="156"/>
      <c r="UBF76" s="156"/>
      <c r="UBG76" s="156"/>
      <c r="UBH76" s="156"/>
      <c r="UBI76" s="156"/>
      <c r="UBJ76" s="156"/>
      <c r="UBK76" s="156"/>
      <c r="UBL76" s="156"/>
      <c r="UBM76" s="156"/>
      <c r="UBN76" s="156"/>
      <c r="UBO76" s="156"/>
      <c r="UBP76" s="156"/>
      <c r="UBQ76" s="156"/>
      <c r="UBR76" s="156"/>
      <c r="UBS76" s="156"/>
      <c r="UBT76" s="156"/>
      <c r="UBU76" s="156"/>
      <c r="UBV76" s="156"/>
      <c r="UBW76" s="156"/>
      <c r="UBX76" s="156"/>
      <c r="UBY76" s="156"/>
      <c r="UBZ76" s="156"/>
      <c r="UCA76" s="156"/>
      <c r="UCB76" s="156"/>
      <c r="UCC76" s="156"/>
      <c r="UCD76" s="156"/>
      <c r="UCE76" s="156"/>
      <c r="UCF76" s="156"/>
      <c r="UCG76" s="156"/>
      <c r="UCH76" s="156"/>
      <c r="UCI76" s="156"/>
      <c r="UCJ76" s="156"/>
      <c r="UCK76" s="156"/>
      <c r="UCL76" s="156"/>
      <c r="UCM76" s="156"/>
      <c r="UCN76" s="156"/>
      <c r="UCO76" s="156"/>
      <c r="UCP76" s="156"/>
      <c r="UCQ76" s="156"/>
      <c r="UCR76" s="156"/>
      <c r="UCS76" s="156"/>
      <c r="UCT76" s="156"/>
      <c r="UCU76" s="156"/>
      <c r="UCV76" s="156"/>
      <c r="UCW76" s="156"/>
      <c r="UCX76" s="156"/>
      <c r="UCY76" s="156"/>
      <c r="UCZ76" s="156"/>
      <c r="UDA76" s="156"/>
      <c r="UDB76" s="156"/>
      <c r="UDC76" s="156"/>
      <c r="UDD76" s="156"/>
      <c r="UDE76" s="156"/>
      <c r="UDF76" s="156"/>
      <c r="UDG76" s="156"/>
      <c r="UDH76" s="156"/>
      <c r="UDI76" s="156"/>
      <c r="UDJ76" s="156"/>
      <c r="UDK76" s="156"/>
      <c r="UDL76" s="156"/>
      <c r="UDM76" s="156"/>
      <c r="UDN76" s="156"/>
      <c r="UDO76" s="156"/>
      <c r="UDP76" s="156"/>
      <c r="UDQ76" s="156"/>
      <c r="UDR76" s="156"/>
      <c r="UDS76" s="156"/>
      <c r="UDT76" s="156"/>
      <c r="UDU76" s="156"/>
      <c r="UDV76" s="156"/>
      <c r="UDW76" s="156"/>
      <c r="UDX76" s="156"/>
      <c r="UDY76" s="156"/>
      <c r="UDZ76" s="156"/>
      <c r="UEA76" s="156"/>
      <c r="UEB76" s="156"/>
      <c r="UEC76" s="156"/>
      <c r="UED76" s="156"/>
      <c r="UEE76" s="156"/>
      <c r="UEF76" s="156"/>
      <c r="UEG76" s="156"/>
      <c r="UEH76" s="156"/>
      <c r="UEI76" s="156"/>
      <c r="UEJ76" s="156"/>
      <c r="UEK76" s="156"/>
      <c r="UEL76" s="156"/>
      <c r="UEM76" s="156"/>
      <c r="UEN76" s="156"/>
      <c r="UEO76" s="156"/>
      <c r="UEP76" s="156"/>
      <c r="UEQ76" s="156"/>
      <c r="UER76" s="156"/>
      <c r="UES76" s="156"/>
      <c r="UET76" s="156"/>
      <c r="UEU76" s="156"/>
      <c r="UEV76" s="156"/>
      <c r="UEW76" s="156"/>
      <c r="UEX76" s="156"/>
      <c r="UEY76" s="156"/>
      <c r="UEZ76" s="156"/>
      <c r="UFA76" s="156"/>
      <c r="UFB76" s="156"/>
      <c r="UFC76" s="156"/>
      <c r="UFD76" s="156"/>
      <c r="UFE76" s="156"/>
      <c r="UFF76" s="156"/>
      <c r="UFG76" s="156"/>
      <c r="UFH76" s="156"/>
      <c r="UFI76" s="156"/>
      <c r="UFJ76" s="156"/>
      <c r="UFK76" s="156"/>
      <c r="UFL76" s="156"/>
      <c r="UFM76" s="156"/>
      <c r="UFN76" s="156"/>
      <c r="UFO76" s="156"/>
      <c r="UFP76" s="156"/>
      <c r="UFQ76" s="156"/>
      <c r="UFR76" s="156"/>
      <c r="UFS76" s="156"/>
      <c r="UFT76" s="156"/>
      <c r="UFU76" s="156"/>
      <c r="UFV76" s="156"/>
      <c r="UFW76" s="156"/>
      <c r="UFX76" s="156"/>
      <c r="UFY76" s="156"/>
      <c r="UFZ76" s="156"/>
      <c r="UGA76" s="156"/>
      <c r="UGB76" s="156"/>
      <c r="UGC76" s="156"/>
      <c r="UGD76" s="156"/>
      <c r="UGE76" s="156"/>
      <c r="UGF76" s="156"/>
      <c r="UGG76" s="156"/>
      <c r="UGH76" s="156"/>
      <c r="UGI76" s="156"/>
      <c r="UGJ76" s="156"/>
      <c r="UGK76" s="156"/>
      <c r="UGL76" s="156"/>
      <c r="UGM76" s="156"/>
      <c r="UGN76" s="156"/>
      <c r="UGO76" s="156"/>
      <c r="UGP76" s="156"/>
      <c r="UGQ76" s="156"/>
      <c r="UGR76" s="156"/>
      <c r="UGS76" s="156"/>
      <c r="UGT76" s="156"/>
      <c r="UGU76" s="156"/>
      <c r="UGV76" s="156"/>
      <c r="UGW76" s="156"/>
      <c r="UGX76" s="156"/>
      <c r="UGY76" s="156"/>
      <c r="UGZ76" s="156"/>
      <c r="UHA76" s="156"/>
      <c r="UHB76" s="156"/>
      <c r="UHC76" s="156"/>
      <c r="UHD76" s="156"/>
      <c r="UHE76" s="156"/>
      <c r="UHF76" s="156"/>
      <c r="UHG76" s="156"/>
      <c r="UHH76" s="156"/>
      <c r="UHI76" s="156"/>
      <c r="UHJ76" s="156"/>
      <c r="UHK76" s="156"/>
      <c r="UHL76" s="156"/>
      <c r="UHM76" s="156"/>
      <c r="UHN76" s="156"/>
      <c r="UHO76" s="156"/>
      <c r="UHP76" s="156"/>
      <c r="UHQ76" s="156"/>
      <c r="UHR76" s="156"/>
      <c r="UHS76" s="156"/>
      <c r="UHT76" s="156"/>
      <c r="UHU76" s="156"/>
      <c r="UHV76" s="156"/>
      <c r="UHW76" s="156"/>
      <c r="UHX76" s="156"/>
      <c r="UHY76" s="156"/>
      <c r="UHZ76" s="156"/>
      <c r="UIA76" s="156"/>
      <c r="UIB76" s="156"/>
      <c r="UIC76" s="156"/>
      <c r="UID76" s="156"/>
      <c r="UIE76" s="156"/>
      <c r="UIF76" s="156"/>
      <c r="UIG76" s="156"/>
      <c r="UIH76" s="156"/>
      <c r="UII76" s="156"/>
      <c r="UIJ76" s="156"/>
      <c r="UIK76" s="156"/>
      <c r="UIL76" s="156"/>
      <c r="UIM76" s="156"/>
      <c r="UIN76" s="156"/>
      <c r="UIO76" s="156"/>
      <c r="UIP76" s="156"/>
      <c r="UIQ76" s="156"/>
      <c r="UIR76" s="156"/>
      <c r="UIS76" s="156"/>
      <c r="UIT76" s="156"/>
      <c r="UIU76" s="156"/>
      <c r="UIV76" s="156"/>
      <c r="UIW76" s="156"/>
      <c r="UIX76" s="156"/>
      <c r="UIY76" s="156"/>
      <c r="UIZ76" s="156"/>
      <c r="UJA76" s="156"/>
      <c r="UJB76" s="156"/>
      <c r="UJC76" s="156"/>
      <c r="UJD76" s="156"/>
      <c r="UJE76" s="156"/>
      <c r="UJF76" s="156"/>
      <c r="UJG76" s="156"/>
      <c r="UJH76" s="156"/>
      <c r="UJI76" s="156"/>
      <c r="UJJ76" s="156"/>
      <c r="UJK76" s="156"/>
      <c r="UJL76" s="156"/>
      <c r="UJM76" s="156"/>
      <c r="UJN76" s="156"/>
      <c r="UJO76" s="156"/>
      <c r="UJP76" s="156"/>
      <c r="UJQ76" s="156"/>
      <c r="UJR76" s="156"/>
      <c r="UJS76" s="156"/>
      <c r="UJT76" s="156"/>
      <c r="UJU76" s="156"/>
      <c r="UJV76" s="156"/>
      <c r="UJW76" s="156"/>
      <c r="UJX76" s="156"/>
      <c r="UJY76" s="156"/>
      <c r="UJZ76" s="156"/>
      <c r="UKA76" s="156"/>
      <c r="UKB76" s="156"/>
      <c r="UKC76" s="156"/>
      <c r="UKD76" s="156"/>
      <c r="UKE76" s="156"/>
      <c r="UKF76" s="156"/>
      <c r="UKG76" s="156"/>
      <c r="UKH76" s="156"/>
      <c r="UKI76" s="156"/>
      <c r="UKJ76" s="156"/>
      <c r="UKK76" s="156"/>
      <c r="UKL76" s="156"/>
      <c r="UKM76" s="156"/>
      <c r="UKN76" s="156"/>
      <c r="UKO76" s="156"/>
      <c r="UKP76" s="156"/>
      <c r="UKQ76" s="156"/>
      <c r="UKR76" s="156"/>
      <c r="UKS76" s="156"/>
      <c r="UKT76" s="156"/>
      <c r="UKU76" s="156"/>
      <c r="UKV76" s="156"/>
      <c r="UKW76" s="156"/>
      <c r="UKX76" s="156"/>
      <c r="UKY76" s="156"/>
      <c r="UKZ76" s="156"/>
      <c r="ULA76" s="156"/>
      <c r="ULB76" s="156"/>
      <c r="ULC76" s="156"/>
      <c r="ULD76" s="156"/>
      <c r="ULE76" s="156"/>
      <c r="ULF76" s="156"/>
      <c r="ULG76" s="156"/>
      <c r="ULH76" s="156"/>
      <c r="ULI76" s="156"/>
      <c r="ULJ76" s="156"/>
      <c r="ULK76" s="156"/>
      <c r="ULL76" s="156"/>
      <c r="ULM76" s="156"/>
      <c r="ULN76" s="156"/>
      <c r="ULO76" s="156"/>
      <c r="ULP76" s="156"/>
      <c r="ULQ76" s="156"/>
      <c r="ULR76" s="156"/>
      <c r="ULS76" s="156"/>
      <c r="ULT76" s="156"/>
      <c r="ULU76" s="156"/>
      <c r="ULV76" s="156"/>
      <c r="ULW76" s="156"/>
      <c r="ULX76" s="156"/>
      <c r="ULY76" s="156"/>
      <c r="ULZ76" s="156"/>
      <c r="UMA76" s="156"/>
      <c r="UMB76" s="156"/>
      <c r="UMC76" s="156"/>
      <c r="UMD76" s="156"/>
      <c r="UME76" s="156"/>
      <c r="UMF76" s="156"/>
      <c r="UMG76" s="156"/>
      <c r="UMH76" s="156"/>
      <c r="UMI76" s="156"/>
      <c r="UMJ76" s="156"/>
      <c r="UMK76" s="156"/>
      <c r="UML76" s="156"/>
      <c r="UMM76" s="156"/>
      <c r="UMN76" s="156"/>
      <c r="UMO76" s="156"/>
      <c r="UMP76" s="156"/>
      <c r="UMQ76" s="156"/>
      <c r="UMR76" s="156"/>
      <c r="UMS76" s="156"/>
      <c r="UMT76" s="156"/>
      <c r="UMU76" s="156"/>
      <c r="UMV76" s="156"/>
      <c r="UMW76" s="156"/>
      <c r="UMX76" s="156"/>
      <c r="UMY76" s="156"/>
      <c r="UMZ76" s="156"/>
      <c r="UNA76" s="156"/>
      <c r="UNB76" s="156"/>
      <c r="UNC76" s="156"/>
      <c r="UND76" s="156"/>
      <c r="UNE76" s="156"/>
      <c r="UNF76" s="156"/>
      <c r="UNG76" s="156"/>
      <c r="UNH76" s="156"/>
      <c r="UNI76" s="156"/>
      <c r="UNJ76" s="156"/>
      <c r="UNK76" s="156"/>
      <c r="UNL76" s="156"/>
      <c r="UNM76" s="156"/>
      <c r="UNN76" s="156"/>
      <c r="UNO76" s="156"/>
      <c r="UNP76" s="156"/>
      <c r="UNQ76" s="156"/>
      <c r="UNR76" s="156"/>
      <c r="UNS76" s="156"/>
      <c r="UNT76" s="156"/>
      <c r="UNU76" s="156"/>
      <c r="UNV76" s="156"/>
      <c r="UNW76" s="156"/>
      <c r="UNX76" s="156"/>
      <c r="UNY76" s="156"/>
      <c r="UNZ76" s="156"/>
      <c r="UOA76" s="156"/>
      <c r="UOB76" s="156"/>
      <c r="UOC76" s="156"/>
      <c r="UOD76" s="156"/>
      <c r="UOE76" s="156"/>
      <c r="UOF76" s="156"/>
      <c r="UOG76" s="156"/>
      <c r="UOH76" s="156"/>
      <c r="UOI76" s="156"/>
      <c r="UOJ76" s="156"/>
      <c r="UOK76" s="156"/>
      <c r="UOL76" s="156"/>
      <c r="UOM76" s="156"/>
      <c r="UON76" s="156"/>
      <c r="UOO76" s="156"/>
      <c r="UOP76" s="156"/>
      <c r="UOQ76" s="156"/>
      <c r="UOR76" s="156"/>
      <c r="UOS76" s="156"/>
      <c r="UOT76" s="156"/>
      <c r="UOU76" s="156"/>
      <c r="UOV76" s="156"/>
      <c r="UOW76" s="156"/>
      <c r="UOX76" s="156"/>
      <c r="UOY76" s="156"/>
      <c r="UOZ76" s="156"/>
      <c r="UPA76" s="156"/>
      <c r="UPB76" s="156"/>
      <c r="UPC76" s="156"/>
      <c r="UPD76" s="156"/>
      <c r="UPE76" s="156"/>
      <c r="UPF76" s="156"/>
      <c r="UPG76" s="156"/>
      <c r="UPH76" s="156"/>
      <c r="UPI76" s="156"/>
      <c r="UPJ76" s="156"/>
      <c r="UPK76" s="156"/>
      <c r="UPL76" s="156"/>
      <c r="UPM76" s="156"/>
      <c r="UPN76" s="156"/>
      <c r="UPO76" s="156"/>
      <c r="UPP76" s="156"/>
      <c r="UPQ76" s="156"/>
      <c r="UPR76" s="156"/>
      <c r="UPS76" s="156"/>
      <c r="UPT76" s="156"/>
      <c r="UPU76" s="156"/>
      <c r="UPV76" s="156"/>
      <c r="UPW76" s="156"/>
      <c r="UPX76" s="156"/>
      <c r="UPY76" s="156"/>
      <c r="UPZ76" s="156"/>
      <c r="UQA76" s="156"/>
      <c r="UQB76" s="156"/>
      <c r="UQC76" s="156"/>
      <c r="UQD76" s="156"/>
      <c r="UQE76" s="156"/>
      <c r="UQF76" s="156"/>
      <c r="UQG76" s="156"/>
      <c r="UQH76" s="156"/>
      <c r="UQI76" s="156"/>
      <c r="UQJ76" s="156"/>
      <c r="UQK76" s="156"/>
      <c r="UQL76" s="156"/>
      <c r="UQM76" s="156"/>
      <c r="UQN76" s="156"/>
      <c r="UQO76" s="156"/>
      <c r="UQP76" s="156"/>
      <c r="UQQ76" s="156"/>
      <c r="UQR76" s="156"/>
      <c r="UQS76" s="156"/>
      <c r="UQT76" s="156"/>
      <c r="UQU76" s="156"/>
      <c r="UQV76" s="156"/>
      <c r="UQW76" s="156"/>
      <c r="UQX76" s="156"/>
      <c r="UQY76" s="156"/>
      <c r="UQZ76" s="156"/>
      <c r="URA76" s="156"/>
      <c r="URB76" s="156"/>
      <c r="URC76" s="156"/>
      <c r="URD76" s="156"/>
      <c r="URE76" s="156"/>
      <c r="URF76" s="156"/>
      <c r="URG76" s="156"/>
      <c r="URH76" s="156"/>
      <c r="URI76" s="156"/>
      <c r="URJ76" s="156"/>
      <c r="URK76" s="156"/>
      <c r="URL76" s="156"/>
      <c r="URM76" s="156"/>
      <c r="URN76" s="156"/>
      <c r="URO76" s="156"/>
      <c r="URP76" s="156"/>
      <c r="URQ76" s="156"/>
      <c r="URR76" s="156"/>
      <c r="URS76" s="156"/>
      <c r="URT76" s="156"/>
      <c r="URU76" s="156"/>
      <c r="URV76" s="156"/>
      <c r="URW76" s="156"/>
      <c r="URX76" s="156"/>
      <c r="URY76" s="156"/>
      <c r="URZ76" s="156"/>
      <c r="USA76" s="156"/>
      <c r="USB76" s="156"/>
      <c r="USC76" s="156"/>
      <c r="USD76" s="156"/>
      <c r="USE76" s="156"/>
      <c r="USF76" s="156"/>
      <c r="USG76" s="156"/>
      <c r="USH76" s="156"/>
      <c r="USI76" s="156"/>
      <c r="USJ76" s="156"/>
      <c r="USK76" s="156"/>
      <c r="USL76" s="156"/>
      <c r="USM76" s="156"/>
      <c r="USN76" s="156"/>
      <c r="USO76" s="156"/>
      <c r="USP76" s="156"/>
      <c r="USQ76" s="156"/>
      <c r="USR76" s="156"/>
      <c r="USS76" s="156"/>
      <c r="UST76" s="156"/>
      <c r="USU76" s="156"/>
      <c r="USV76" s="156"/>
      <c r="USW76" s="156"/>
      <c r="USX76" s="156"/>
      <c r="USY76" s="156"/>
      <c r="USZ76" s="156"/>
      <c r="UTA76" s="156"/>
      <c r="UTB76" s="156"/>
      <c r="UTC76" s="156"/>
      <c r="UTD76" s="156"/>
      <c r="UTE76" s="156"/>
      <c r="UTF76" s="156"/>
      <c r="UTG76" s="156"/>
      <c r="UTH76" s="156"/>
      <c r="UTI76" s="156"/>
      <c r="UTJ76" s="156"/>
      <c r="UTK76" s="156"/>
      <c r="UTL76" s="156"/>
      <c r="UTM76" s="156"/>
      <c r="UTN76" s="156"/>
      <c r="UTO76" s="156"/>
      <c r="UTP76" s="156"/>
      <c r="UTQ76" s="156"/>
      <c r="UTR76" s="156"/>
      <c r="UTS76" s="156"/>
      <c r="UTT76" s="156"/>
      <c r="UTU76" s="156"/>
      <c r="UTV76" s="156"/>
      <c r="UTW76" s="156"/>
      <c r="UTX76" s="156"/>
      <c r="UTY76" s="156"/>
      <c r="UTZ76" s="156"/>
      <c r="UUA76" s="156"/>
      <c r="UUB76" s="156"/>
      <c r="UUC76" s="156"/>
      <c r="UUD76" s="156"/>
      <c r="UUE76" s="156"/>
      <c r="UUF76" s="156"/>
      <c r="UUG76" s="156"/>
      <c r="UUH76" s="156"/>
      <c r="UUI76" s="156"/>
      <c r="UUJ76" s="156"/>
      <c r="UUK76" s="156"/>
      <c r="UUL76" s="156"/>
      <c r="UUM76" s="156"/>
      <c r="UUN76" s="156"/>
      <c r="UUO76" s="156"/>
      <c r="UUP76" s="156"/>
      <c r="UUQ76" s="156"/>
      <c r="UUR76" s="156"/>
      <c r="UUS76" s="156"/>
      <c r="UUT76" s="156"/>
      <c r="UUU76" s="156"/>
      <c r="UUV76" s="156"/>
      <c r="UUW76" s="156"/>
      <c r="UUX76" s="156"/>
      <c r="UUY76" s="156"/>
      <c r="UUZ76" s="156"/>
      <c r="UVA76" s="156"/>
      <c r="UVB76" s="156"/>
      <c r="UVC76" s="156"/>
      <c r="UVD76" s="156"/>
      <c r="UVE76" s="156"/>
      <c r="UVF76" s="156"/>
      <c r="UVG76" s="156"/>
      <c r="UVH76" s="156"/>
      <c r="UVI76" s="156"/>
      <c r="UVJ76" s="156"/>
      <c r="UVK76" s="156"/>
      <c r="UVL76" s="156"/>
      <c r="UVM76" s="156"/>
      <c r="UVN76" s="156"/>
      <c r="UVO76" s="156"/>
      <c r="UVP76" s="156"/>
      <c r="UVQ76" s="156"/>
      <c r="UVR76" s="156"/>
      <c r="UVS76" s="156"/>
      <c r="UVT76" s="156"/>
      <c r="UVU76" s="156"/>
      <c r="UVV76" s="156"/>
      <c r="UVW76" s="156"/>
      <c r="UVX76" s="156"/>
      <c r="UVY76" s="156"/>
      <c r="UVZ76" s="156"/>
      <c r="UWA76" s="156"/>
      <c r="UWB76" s="156"/>
      <c r="UWC76" s="156"/>
      <c r="UWD76" s="156"/>
      <c r="UWE76" s="156"/>
      <c r="UWF76" s="156"/>
      <c r="UWG76" s="156"/>
      <c r="UWH76" s="156"/>
      <c r="UWI76" s="156"/>
      <c r="UWJ76" s="156"/>
      <c r="UWK76" s="156"/>
      <c r="UWL76" s="156"/>
      <c r="UWM76" s="156"/>
      <c r="UWN76" s="156"/>
      <c r="UWO76" s="156"/>
      <c r="UWP76" s="156"/>
      <c r="UWQ76" s="156"/>
      <c r="UWR76" s="156"/>
      <c r="UWS76" s="156"/>
      <c r="UWT76" s="156"/>
      <c r="UWU76" s="156"/>
      <c r="UWV76" s="156"/>
      <c r="UWW76" s="156"/>
      <c r="UWX76" s="156"/>
      <c r="UWY76" s="156"/>
      <c r="UWZ76" s="156"/>
      <c r="UXA76" s="156"/>
      <c r="UXB76" s="156"/>
      <c r="UXC76" s="156"/>
      <c r="UXD76" s="156"/>
      <c r="UXE76" s="156"/>
      <c r="UXF76" s="156"/>
      <c r="UXG76" s="156"/>
      <c r="UXH76" s="156"/>
      <c r="UXI76" s="156"/>
      <c r="UXJ76" s="156"/>
      <c r="UXK76" s="156"/>
      <c r="UXL76" s="156"/>
      <c r="UXM76" s="156"/>
      <c r="UXN76" s="156"/>
      <c r="UXO76" s="156"/>
      <c r="UXP76" s="156"/>
      <c r="UXQ76" s="156"/>
      <c r="UXR76" s="156"/>
      <c r="UXS76" s="156"/>
      <c r="UXT76" s="156"/>
      <c r="UXU76" s="156"/>
      <c r="UXV76" s="156"/>
      <c r="UXW76" s="156"/>
      <c r="UXX76" s="156"/>
      <c r="UXY76" s="156"/>
      <c r="UXZ76" s="156"/>
      <c r="UYA76" s="156"/>
      <c r="UYB76" s="156"/>
      <c r="UYC76" s="156"/>
      <c r="UYD76" s="156"/>
      <c r="UYE76" s="156"/>
      <c r="UYF76" s="156"/>
      <c r="UYG76" s="156"/>
      <c r="UYH76" s="156"/>
      <c r="UYI76" s="156"/>
      <c r="UYJ76" s="156"/>
      <c r="UYK76" s="156"/>
      <c r="UYL76" s="156"/>
      <c r="UYM76" s="156"/>
      <c r="UYN76" s="156"/>
      <c r="UYO76" s="156"/>
      <c r="UYP76" s="156"/>
      <c r="UYQ76" s="156"/>
      <c r="UYR76" s="156"/>
      <c r="UYS76" s="156"/>
      <c r="UYT76" s="156"/>
      <c r="UYU76" s="156"/>
      <c r="UYV76" s="156"/>
      <c r="UYW76" s="156"/>
      <c r="UYX76" s="156"/>
      <c r="UYY76" s="156"/>
      <c r="UYZ76" s="156"/>
      <c r="UZA76" s="156"/>
      <c r="UZB76" s="156"/>
      <c r="UZC76" s="156"/>
      <c r="UZD76" s="156"/>
      <c r="UZE76" s="156"/>
      <c r="UZF76" s="156"/>
      <c r="UZG76" s="156"/>
      <c r="UZH76" s="156"/>
      <c r="UZI76" s="156"/>
      <c r="UZJ76" s="156"/>
      <c r="UZK76" s="156"/>
      <c r="UZL76" s="156"/>
      <c r="UZM76" s="156"/>
      <c r="UZN76" s="156"/>
      <c r="UZO76" s="156"/>
      <c r="UZP76" s="156"/>
      <c r="UZQ76" s="156"/>
      <c r="UZR76" s="156"/>
      <c r="UZS76" s="156"/>
      <c r="UZT76" s="156"/>
      <c r="UZU76" s="156"/>
      <c r="UZV76" s="156"/>
      <c r="UZW76" s="156"/>
      <c r="UZX76" s="156"/>
      <c r="UZY76" s="156"/>
      <c r="UZZ76" s="156"/>
      <c r="VAA76" s="156"/>
      <c r="VAB76" s="156"/>
      <c r="VAC76" s="156"/>
      <c r="VAD76" s="156"/>
      <c r="VAE76" s="156"/>
      <c r="VAF76" s="156"/>
      <c r="VAG76" s="156"/>
      <c r="VAH76" s="156"/>
      <c r="VAI76" s="156"/>
      <c r="VAJ76" s="156"/>
      <c r="VAK76" s="156"/>
      <c r="VAL76" s="156"/>
      <c r="VAM76" s="156"/>
      <c r="VAN76" s="156"/>
      <c r="VAO76" s="156"/>
      <c r="VAP76" s="156"/>
      <c r="VAQ76" s="156"/>
      <c r="VAR76" s="156"/>
      <c r="VAS76" s="156"/>
      <c r="VAT76" s="156"/>
      <c r="VAU76" s="156"/>
      <c r="VAV76" s="156"/>
      <c r="VAW76" s="156"/>
      <c r="VAX76" s="156"/>
      <c r="VAY76" s="156"/>
      <c r="VAZ76" s="156"/>
      <c r="VBA76" s="156"/>
      <c r="VBB76" s="156"/>
      <c r="VBC76" s="156"/>
      <c r="VBD76" s="156"/>
      <c r="VBE76" s="156"/>
      <c r="VBF76" s="156"/>
      <c r="VBG76" s="156"/>
      <c r="VBH76" s="156"/>
      <c r="VBI76" s="156"/>
      <c r="VBJ76" s="156"/>
      <c r="VBK76" s="156"/>
      <c r="VBL76" s="156"/>
      <c r="VBM76" s="156"/>
      <c r="VBN76" s="156"/>
      <c r="VBO76" s="156"/>
      <c r="VBP76" s="156"/>
      <c r="VBQ76" s="156"/>
      <c r="VBR76" s="156"/>
      <c r="VBS76" s="156"/>
      <c r="VBT76" s="156"/>
      <c r="VBU76" s="156"/>
      <c r="VBV76" s="156"/>
      <c r="VBW76" s="156"/>
      <c r="VBX76" s="156"/>
      <c r="VBY76" s="156"/>
      <c r="VBZ76" s="156"/>
      <c r="VCA76" s="156"/>
      <c r="VCB76" s="156"/>
      <c r="VCC76" s="156"/>
      <c r="VCD76" s="156"/>
      <c r="VCE76" s="156"/>
      <c r="VCF76" s="156"/>
      <c r="VCG76" s="156"/>
      <c r="VCH76" s="156"/>
      <c r="VCI76" s="156"/>
      <c r="VCJ76" s="156"/>
      <c r="VCK76" s="156"/>
      <c r="VCL76" s="156"/>
      <c r="VCM76" s="156"/>
      <c r="VCN76" s="156"/>
      <c r="VCO76" s="156"/>
      <c r="VCP76" s="156"/>
      <c r="VCQ76" s="156"/>
      <c r="VCR76" s="156"/>
      <c r="VCS76" s="156"/>
      <c r="VCT76" s="156"/>
      <c r="VCU76" s="156"/>
      <c r="VCV76" s="156"/>
      <c r="VCW76" s="156"/>
      <c r="VCX76" s="156"/>
      <c r="VCY76" s="156"/>
      <c r="VCZ76" s="156"/>
      <c r="VDA76" s="156"/>
      <c r="VDB76" s="156"/>
      <c r="VDC76" s="156"/>
      <c r="VDD76" s="156"/>
      <c r="VDE76" s="156"/>
      <c r="VDF76" s="156"/>
      <c r="VDG76" s="156"/>
      <c r="VDH76" s="156"/>
      <c r="VDI76" s="156"/>
      <c r="VDJ76" s="156"/>
      <c r="VDK76" s="156"/>
      <c r="VDL76" s="156"/>
      <c r="VDM76" s="156"/>
      <c r="VDN76" s="156"/>
      <c r="VDO76" s="156"/>
      <c r="VDP76" s="156"/>
      <c r="VDQ76" s="156"/>
      <c r="VDR76" s="156"/>
      <c r="VDS76" s="156"/>
      <c r="VDT76" s="156"/>
      <c r="VDU76" s="156"/>
      <c r="VDV76" s="156"/>
      <c r="VDW76" s="156"/>
      <c r="VDX76" s="156"/>
      <c r="VDY76" s="156"/>
      <c r="VDZ76" s="156"/>
      <c r="VEA76" s="156"/>
      <c r="VEB76" s="156"/>
      <c r="VEC76" s="156"/>
      <c r="VED76" s="156"/>
      <c r="VEE76" s="156"/>
      <c r="VEF76" s="156"/>
      <c r="VEG76" s="156"/>
      <c r="VEH76" s="156"/>
      <c r="VEI76" s="156"/>
      <c r="VEJ76" s="156"/>
      <c r="VEK76" s="156"/>
      <c r="VEL76" s="156"/>
      <c r="VEM76" s="156"/>
      <c r="VEN76" s="156"/>
      <c r="VEO76" s="156"/>
      <c r="VEP76" s="156"/>
      <c r="VEQ76" s="156"/>
      <c r="VER76" s="156"/>
      <c r="VES76" s="156"/>
      <c r="VET76" s="156"/>
      <c r="VEU76" s="156"/>
      <c r="VEV76" s="156"/>
      <c r="VEW76" s="156"/>
      <c r="VEX76" s="156"/>
      <c r="VEY76" s="156"/>
      <c r="VEZ76" s="156"/>
      <c r="VFA76" s="156"/>
      <c r="VFB76" s="156"/>
      <c r="VFC76" s="156"/>
      <c r="VFD76" s="156"/>
      <c r="VFE76" s="156"/>
      <c r="VFF76" s="156"/>
      <c r="VFG76" s="156"/>
      <c r="VFH76" s="156"/>
      <c r="VFI76" s="156"/>
      <c r="VFJ76" s="156"/>
      <c r="VFK76" s="156"/>
      <c r="VFL76" s="156"/>
      <c r="VFM76" s="156"/>
      <c r="VFN76" s="156"/>
      <c r="VFO76" s="156"/>
      <c r="VFP76" s="156"/>
      <c r="VFQ76" s="156"/>
      <c r="VFR76" s="156"/>
      <c r="VFS76" s="156"/>
      <c r="VFT76" s="156"/>
      <c r="VFU76" s="156"/>
      <c r="VFV76" s="156"/>
      <c r="VFW76" s="156"/>
      <c r="VFX76" s="156"/>
      <c r="VFY76" s="156"/>
      <c r="VFZ76" s="156"/>
      <c r="VGA76" s="156"/>
      <c r="VGB76" s="156"/>
      <c r="VGC76" s="156"/>
      <c r="VGD76" s="156"/>
      <c r="VGE76" s="156"/>
      <c r="VGF76" s="156"/>
      <c r="VGG76" s="156"/>
      <c r="VGH76" s="156"/>
      <c r="VGI76" s="156"/>
      <c r="VGJ76" s="156"/>
      <c r="VGK76" s="156"/>
      <c r="VGL76" s="156"/>
      <c r="VGM76" s="156"/>
      <c r="VGN76" s="156"/>
      <c r="VGO76" s="156"/>
      <c r="VGP76" s="156"/>
      <c r="VGQ76" s="156"/>
      <c r="VGR76" s="156"/>
      <c r="VGS76" s="156"/>
      <c r="VGT76" s="156"/>
      <c r="VGU76" s="156"/>
      <c r="VGV76" s="156"/>
      <c r="VGW76" s="156"/>
      <c r="VGX76" s="156"/>
      <c r="VGY76" s="156"/>
      <c r="VGZ76" s="156"/>
      <c r="VHA76" s="156"/>
      <c r="VHB76" s="156"/>
      <c r="VHC76" s="156"/>
      <c r="VHD76" s="156"/>
      <c r="VHE76" s="156"/>
      <c r="VHF76" s="156"/>
      <c r="VHG76" s="156"/>
      <c r="VHH76" s="156"/>
      <c r="VHI76" s="156"/>
      <c r="VHJ76" s="156"/>
      <c r="VHK76" s="156"/>
      <c r="VHL76" s="156"/>
      <c r="VHM76" s="156"/>
      <c r="VHN76" s="156"/>
      <c r="VHO76" s="156"/>
      <c r="VHP76" s="156"/>
      <c r="VHQ76" s="156"/>
      <c r="VHR76" s="156"/>
      <c r="VHS76" s="156"/>
      <c r="VHT76" s="156"/>
      <c r="VHU76" s="156"/>
      <c r="VHV76" s="156"/>
      <c r="VHW76" s="156"/>
      <c r="VHX76" s="156"/>
      <c r="VHY76" s="156"/>
      <c r="VHZ76" s="156"/>
      <c r="VIA76" s="156"/>
      <c r="VIB76" s="156"/>
      <c r="VIC76" s="156"/>
      <c r="VID76" s="156"/>
      <c r="VIE76" s="156"/>
      <c r="VIF76" s="156"/>
      <c r="VIG76" s="156"/>
      <c r="VIH76" s="156"/>
      <c r="VII76" s="156"/>
      <c r="VIJ76" s="156"/>
      <c r="VIK76" s="156"/>
      <c r="VIL76" s="156"/>
      <c r="VIM76" s="156"/>
      <c r="VIN76" s="156"/>
      <c r="VIO76" s="156"/>
      <c r="VIP76" s="156"/>
      <c r="VIQ76" s="156"/>
      <c r="VIR76" s="156"/>
      <c r="VIS76" s="156"/>
      <c r="VIT76" s="156"/>
      <c r="VIU76" s="156"/>
      <c r="VIV76" s="156"/>
      <c r="VIW76" s="156"/>
      <c r="VIX76" s="156"/>
      <c r="VIY76" s="156"/>
      <c r="VIZ76" s="156"/>
      <c r="VJA76" s="156"/>
      <c r="VJB76" s="156"/>
      <c r="VJC76" s="156"/>
      <c r="VJD76" s="156"/>
      <c r="VJE76" s="156"/>
      <c r="VJF76" s="156"/>
      <c r="VJG76" s="156"/>
      <c r="VJH76" s="156"/>
      <c r="VJI76" s="156"/>
      <c r="VJJ76" s="156"/>
      <c r="VJK76" s="156"/>
      <c r="VJL76" s="156"/>
      <c r="VJM76" s="156"/>
      <c r="VJN76" s="156"/>
      <c r="VJO76" s="156"/>
      <c r="VJP76" s="156"/>
      <c r="VJQ76" s="156"/>
      <c r="VJR76" s="156"/>
      <c r="VJS76" s="156"/>
      <c r="VJT76" s="156"/>
      <c r="VJU76" s="156"/>
      <c r="VJV76" s="156"/>
      <c r="VJW76" s="156"/>
      <c r="VJX76" s="156"/>
      <c r="VJY76" s="156"/>
      <c r="VJZ76" s="156"/>
      <c r="VKA76" s="156"/>
      <c r="VKB76" s="156"/>
      <c r="VKC76" s="156"/>
      <c r="VKD76" s="156"/>
      <c r="VKE76" s="156"/>
      <c r="VKF76" s="156"/>
      <c r="VKG76" s="156"/>
      <c r="VKH76" s="156"/>
      <c r="VKI76" s="156"/>
      <c r="VKJ76" s="156"/>
      <c r="VKK76" s="156"/>
      <c r="VKL76" s="156"/>
      <c r="VKM76" s="156"/>
      <c r="VKN76" s="156"/>
      <c r="VKO76" s="156"/>
      <c r="VKP76" s="156"/>
      <c r="VKQ76" s="156"/>
      <c r="VKR76" s="156"/>
      <c r="VKS76" s="156"/>
      <c r="VKT76" s="156"/>
      <c r="VKU76" s="156"/>
      <c r="VKV76" s="156"/>
      <c r="VKW76" s="156"/>
      <c r="VKX76" s="156"/>
      <c r="VKY76" s="156"/>
      <c r="VKZ76" s="156"/>
      <c r="VLA76" s="156"/>
      <c r="VLB76" s="156"/>
      <c r="VLC76" s="156"/>
      <c r="VLD76" s="156"/>
      <c r="VLE76" s="156"/>
      <c r="VLF76" s="156"/>
      <c r="VLG76" s="156"/>
      <c r="VLH76" s="156"/>
      <c r="VLI76" s="156"/>
      <c r="VLJ76" s="156"/>
      <c r="VLK76" s="156"/>
      <c r="VLL76" s="156"/>
      <c r="VLM76" s="156"/>
      <c r="VLN76" s="156"/>
      <c r="VLO76" s="156"/>
      <c r="VLP76" s="156"/>
      <c r="VLQ76" s="156"/>
      <c r="VLR76" s="156"/>
      <c r="VLS76" s="156"/>
      <c r="VLT76" s="156"/>
      <c r="VLU76" s="156"/>
      <c r="VLV76" s="156"/>
      <c r="VLW76" s="156"/>
      <c r="VLX76" s="156"/>
      <c r="VLY76" s="156"/>
      <c r="VLZ76" s="156"/>
      <c r="VMA76" s="156"/>
      <c r="VMB76" s="156"/>
      <c r="VMC76" s="156"/>
      <c r="VMD76" s="156"/>
      <c r="VME76" s="156"/>
      <c r="VMF76" s="156"/>
      <c r="VMG76" s="156"/>
      <c r="VMH76" s="156"/>
      <c r="VMI76" s="156"/>
      <c r="VMJ76" s="156"/>
      <c r="VMK76" s="156"/>
      <c r="VML76" s="156"/>
      <c r="VMM76" s="156"/>
      <c r="VMN76" s="156"/>
      <c r="VMO76" s="156"/>
      <c r="VMP76" s="156"/>
      <c r="VMQ76" s="156"/>
      <c r="VMR76" s="156"/>
      <c r="VMS76" s="156"/>
      <c r="VMT76" s="156"/>
      <c r="VMU76" s="156"/>
      <c r="VMV76" s="156"/>
      <c r="VMW76" s="156"/>
      <c r="VMX76" s="156"/>
      <c r="VMY76" s="156"/>
      <c r="VMZ76" s="156"/>
      <c r="VNA76" s="156"/>
      <c r="VNB76" s="156"/>
      <c r="VNC76" s="156"/>
      <c r="VND76" s="156"/>
      <c r="VNE76" s="156"/>
      <c r="VNF76" s="156"/>
      <c r="VNG76" s="156"/>
      <c r="VNH76" s="156"/>
      <c r="VNI76" s="156"/>
      <c r="VNJ76" s="156"/>
      <c r="VNK76" s="156"/>
      <c r="VNL76" s="156"/>
      <c r="VNM76" s="156"/>
      <c r="VNN76" s="156"/>
      <c r="VNO76" s="156"/>
      <c r="VNP76" s="156"/>
      <c r="VNQ76" s="156"/>
      <c r="VNR76" s="156"/>
      <c r="VNS76" s="156"/>
      <c r="VNT76" s="156"/>
      <c r="VNU76" s="156"/>
      <c r="VNV76" s="156"/>
      <c r="VNW76" s="156"/>
      <c r="VNX76" s="156"/>
      <c r="VNY76" s="156"/>
      <c r="VNZ76" s="156"/>
      <c r="VOA76" s="156"/>
      <c r="VOB76" s="156"/>
      <c r="VOC76" s="156"/>
      <c r="VOD76" s="156"/>
      <c r="VOE76" s="156"/>
      <c r="VOF76" s="156"/>
      <c r="VOG76" s="156"/>
      <c r="VOH76" s="156"/>
      <c r="VOI76" s="156"/>
      <c r="VOJ76" s="156"/>
      <c r="VOK76" s="156"/>
      <c r="VOL76" s="156"/>
      <c r="VOM76" s="156"/>
      <c r="VON76" s="156"/>
      <c r="VOO76" s="156"/>
      <c r="VOP76" s="156"/>
      <c r="VOQ76" s="156"/>
      <c r="VOR76" s="156"/>
      <c r="VOS76" s="156"/>
      <c r="VOT76" s="156"/>
      <c r="VOU76" s="156"/>
      <c r="VOV76" s="156"/>
      <c r="VOW76" s="156"/>
      <c r="VOX76" s="156"/>
      <c r="VOY76" s="156"/>
      <c r="VOZ76" s="156"/>
      <c r="VPA76" s="156"/>
      <c r="VPB76" s="156"/>
      <c r="VPC76" s="156"/>
      <c r="VPD76" s="156"/>
      <c r="VPE76" s="156"/>
      <c r="VPF76" s="156"/>
      <c r="VPG76" s="156"/>
      <c r="VPH76" s="156"/>
      <c r="VPI76" s="156"/>
      <c r="VPJ76" s="156"/>
      <c r="VPK76" s="156"/>
      <c r="VPL76" s="156"/>
      <c r="VPM76" s="156"/>
      <c r="VPN76" s="156"/>
      <c r="VPO76" s="156"/>
      <c r="VPP76" s="156"/>
      <c r="VPQ76" s="156"/>
      <c r="VPR76" s="156"/>
      <c r="VPS76" s="156"/>
      <c r="VPT76" s="156"/>
      <c r="VPU76" s="156"/>
      <c r="VPV76" s="156"/>
      <c r="VPW76" s="156"/>
      <c r="VPX76" s="156"/>
      <c r="VPY76" s="156"/>
      <c r="VPZ76" s="156"/>
      <c r="VQA76" s="156"/>
      <c r="VQB76" s="156"/>
      <c r="VQC76" s="156"/>
      <c r="VQD76" s="156"/>
      <c r="VQE76" s="156"/>
      <c r="VQF76" s="156"/>
      <c r="VQG76" s="156"/>
      <c r="VQH76" s="156"/>
      <c r="VQI76" s="156"/>
      <c r="VQJ76" s="156"/>
      <c r="VQK76" s="156"/>
      <c r="VQL76" s="156"/>
      <c r="VQM76" s="156"/>
      <c r="VQN76" s="156"/>
      <c r="VQO76" s="156"/>
      <c r="VQP76" s="156"/>
      <c r="VQQ76" s="156"/>
      <c r="VQR76" s="156"/>
      <c r="VQS76" s="156"/>
      <c r="VQT76" s="156"/>
      <c r="VQU76" s="156"/>
      <c r="VQV76" s="156"/>
      <c r="VQW76" s="156"/>
      <c r="VQX76" s="156"/>
      <c r="VQY76" s="156"/>
      <c r="VQZ76" s="156"/>
      <c r="VRA76" s="156"/>
      <c r="VRB76" s="156"/>
      <c r="VRC76" s="156"/>
      <c r="VRD76" s="156"/>
      <c r="VRE76" s="156"/>
      <c r="VRF76" s="156"/>
      <c r="VRG76" s="156"/>
      <c r="VRH76" s="156"/>
      <c r="VRI76" s="156"/>
      <c r="VRJ76" s="156"/>
      <c r="VRK76" s="156"/>
      <c r="VRL76" s="156"/>
      <c r="VRM76" s="156"/>
      <c r="VRN76" s="156"/>
      <c r="VRO76" s="156"/>
      <c r="VRP76" s="156"/>
      <c r="VRQ76" s="156"/>
      <c r="VRR76" s="156"/>
      <c r="VRS76" s="156"/>
      <c r="VRT76" s="156"/>
      <c r="VRU76" s="156"/>
      <c r="VRV76" s="156"/>
      <c r="VRW76" s="156"/>
      <c r="VRX76" s="156"/>
      <c r="VRY76" s="156"/>
      <c r="VRZ76" s="156"/>
      <c r="VSA76" s="156"/>
      <c r="VSB76" s="156"/>
      <c r="VSC76" s="156"/>
      <c r="VSD76" s="156"/>
      <c r="VSE76" s="156"/>
      <c r="VSF76" s="156"/>
      <c r="VSG76" s="156"/>
      <c r="VSH76" s="156"/>
      <c r="VSI76" s="156"/>
      <c r="VSJ76" s="156"/>
      <c r="VSK76" s="156"/>
      <c r="VSL76" s="156"/>
      <c r="VSM76" s="156"/>
      <c r="VSN76" s="156"/>
      <c r="VSO76" s="156"/>
      <c r="VSP76" s="156"/>
      <c r="VSQ76" s="156"/>
      <c r="VSR76" s="156"/>
      <c r="VSS76" s="156"/>
      <c r="VST76" s="156"/>
      <c r="VSU76" s="156"/>
      <c r="VSV76" s="156"/>
      <c r="VSW76" s="156"/>
      <c r="VSX76" s="156"/>
      <c r="VSY76" s="156"/>
      <c r="VSZ76" s="156"/>
      <c r="VTA76" s="156"/>
      <c r="VTB76" s="156"/>
      <c r="VTC76" s="156"/>
      <c r="VTD76" s="156"/>
      <c r="VTE76" s="156"/>
      <c r="VTF76" s="156"/>
      <c r="VTG76" s="156"/>
      <c r="VTH76" s="156"/>
      <c r="VTI76" s="156"/>
      <c r="VTJ76" s="156"/>
      <c r="VTK76" s="156"/>
      <c r="VTL76" s="156"/>
      <c r="VTM76" s="156"/>
      <c r="VTN76" s="156"/>
      <c r="VTO76" s="156"/>
      <c r="VTP76" s="156"/>
      <c r="VTQ76" s="156"/>
      <c r="VTR76" s="156"/>
      <c r="VTS76" s="156"/>
      <c r="VTT76" s="156"/>
      <c r="VTU76" s="156"/>
      <c r="VTV76" s="156"/>
      <c r="VTW76" s="156"/>
      <c r="VTX76" s="156"/>
      <c r="VTY76" s="156"/>
      <c r="VTZ76" s="156"/>
      <c r="VUA76" s="156"/>
      <c r="VUB76" s="156"/>
      <c r="VUC76" s="156"/>
      <c r="VUD76" s="156"/>
      <c r="VUE76" s="156"/>
      <c r="VUF76" s="156"/>
      <c r="VUG76" s="156"/>
      <c r="VUH76" s="156"/>
      <c r="VUI76" s="156"/>
      <c r="VUJ76" s="156"/>
      <c r="VUK76" s="156"/>
      <c r="VUL76" s="156"/>
      <c r="VUM76" s="156"/>
      <c r="VUN76" s="156"/>
      <c r="VUO76" s="156"/>
      <c r="VUP76" s="156"/>
      <c r="VUQ76" s="156"/>
      <c r="VUR76" s="156"/>
      <c r="VUS76" s="156"/>
      <c r="VUT76" s="156"/>
      <c r="VUU76" s="156"/>
      <c r="VUV76" s="156"/>
      <c r="VUW76" s="156"/>
      <c r="VUX76" s="156"/>
      <c r="VUY76" s="156"/>
      <c r="VUZ76" s="156"/>
      <c r="VVA76" s="156"/>
      <c r="VVB76" s="156"/>
      <c r="VVC76" s="156"/>
      <c r="VVD76" s="156"/>
      <c r="VVE76" s="156"/>
      <c r="VVF76" s="156"/>
      <c r="VVG76" s="156"/>
      <c r="VVH76" s="156"/>
      <c r="VVI76" s="156"/>
      <c r="VVJ76" s="156"/>
      <c r="VVK76" s="156"/>
      <c r="VVL76" s="156"/>
      <c r="VVM76" s="156"/>
      <c r="VVN76" s="156"/>
      <c r="VVO76" s="156"/>
      <c r="VVP76" s="156"/>
      <c r="VVQ76" s="156"/>
      <c r="VVR76" s="156"/>
      <c r="VVS76" s="156"/>
      <c r="VVT76" s="156"/>
      <c r="VVU76" s="156"/>
      <c r="VVV76" s="156"/>
      <c r="VVW76" s="156"/>
      <c r="VVX76" s="156"/>
      <c r="VVY76" s="156"/>
      <c r="VVZ76" s="156"/>
      <c r="VWA76" s="156"/>
      <c r="VWB76" s="156"/>
      <c r="VWC76" s="156"/>
      <c r="VWD76" s="156"/>
      <c r="VWE76" s="156"/>
      <c r="VWF76" s="156"/>
      <c r="VWG76" s="156"/>
      <c r="VWH76" s="156"/>
      <c r="VWI76" s="156"/>
      <c r="VWJ76" s="156"/>
      <c r="VWK76" s="156"/>
      <c r="VWL76" s="156"/>
      <c r="VWM76" s="156"/>
      <c r="VWN76" s="156"/>
      <c r="VWO76" s="156"/>
      <c r="VWP76" s="156"/>
      <c r="VWQ76" s="156"/>
      <c r="VWR76" s="156"/>
      <c r="VWS76" s="156"/>
      <c r="VWT76" s="156"/>
      <c r="VWU76" s="156"/>
      <c r="VWV76" s="156"/>
      <c r="VWW76" s="156"/>
      <c r="VWX76" s="156"/>
      <c r="VWY76" s="156"/>
      <c r="VWZ76" s="156"/>
      <c r="VXA76" s="156"/>
      <c r="VXB76" s="156"/>
      <c r="VXC76" s="156"/>
      <c r="VXD76" s="156"/>
      <c r="VXE76" s="156"/>
      <c r="VXF76" s="156"/>
      <c r="VXG76" s="156"/>
      <c r="VXH76" s="156"/>
      <c r="VXI76" s="156"/>
      <c r="VXJ76" s="156"/>
      <c r="VXK76" s="156"/>
      <c r="VXL76" s="156"/>
      <c r="VXM76" s="156"/>
      <c r="VXN76" s="156"/>
      <c r="VXO76" s="156"/>
      <c r="VXP76" s="156"/>
      <c r="VXQ76" s="156"/>
      <c r="VXR76" s="156"/>
      <c r="VXS76" s="156"/>
      <c r="VXT76" s="156"/>
      <c r="VXU76" s="156"/>
      <c r="VXV76" s="156"/>
      <c r="VXW76" s="156"/>
      <c r="VXX76" s="156"/>
      <c r="VXY76" s="156"/>
      <c r="VXZ76" s="156"/>
      <c r="VYA76" s="156"/>
      <c r="VYB76" s="156"/>
      <c r="VYC76" s="156"/>
      <c r="VYD76" s="156"/>
      <c r="VYE76" s="156"/>
      <c r="VYF76" s="156"/>
      <c r="VYG76" s="156"/>
      <c r="VYH76" s="156"/>
      <c r="VYI76" s="156"/>
      <c r="VYJ76" s="156"/>
      <c r="VYK76" s="156"/>
      <c r="VYL76" s="156"/>
      <c r="VYM76" s="156"/>
      <c r="VYN76" s="156"/>
      <c r="VYO76" s="156"/>
      <c r="VYP76" s="156"/>
      <c r="VYQ76" s="156"/>
      <c r="VYR76" s="156"/>
      <c r="VYS76" s="156"/>
      <c r="VYT76" s="156"/>
      <c r="VYU76" s="156"/>
      <c r="VYV76" s="156"/>
      <c r="VYW76" s="156"/>
      <c r="VYX76" s="156"/>
      <c r="VYY76" s="156"/>
      <c r="VYZ76" s="156"/>
      <c r="VZA76" s="156"/>
      <c r="VZB76" s="156"/>
      <c r="VZC76" s="156"/>
      <c r="VZD76" s="156"/>
      <c r="VZE76" s="156"/>
      <c r="VZF76" s="156"/>
      <c r="VZG76" s="156"/>
      <c r="VZH76" s="156"/>
      <c r="VZI76" s="156"/>
      <c r="VZJ76" s="156"/>
      <c r="VZK76" s="156"/>
      <c r="VZL76" s="156"/>
      <c r="VZM76" s="156"/>
      <c r="VZN76" s="156"/>
      <c r="VZO76" s="156"/>
      <c r="VZP76" s="156"/>
      <c r="VZQ76" s="156"/>
      <c r="VZR76" s="156"/>
      <c r="VZS76" s="156"/>
      <c r="VZT76" s="156"/>
      <c r="VZU76" s="156"/>
      <c r="VZV76" s="156"/>
      <c r="VZW76" s="156"/>
      <c r="VZX76" s="156"/>
      <c r="VZY76" s="156"/>
      <c r="VZZ76" s="156"/>
      <c r="WAA76" s="156"/>
      <c r="WAB76" s="156"/>
      <c r="WAC76" s="156"/>
      <c r="WAD76" s="156"/>
      <c r="WAE76" s="156"/>
      <c r="WAF76" s="156"/>
      <c r="WAG76" s="156"/>
      <c r="WAH76" s="156"/>
      <c r="WAI76" s="156"/>
      <c r="WAJ76" s="156"/>
      <c r="WAK76" s="156"/>
      <c r="WAL76" s="156"/>
      <c r="WAM76" s="156"/>
      <c r="WAN76" s="156"/>
      <c r="WAO76" s="156"/>
      <c r="WAP76" s="156"/>
      <c r="WAQ76" s="156"/>
      <c r="WAR76" s="156"/>
      <c r="WAS76" s="156"/>
      <c r="WAT76" s="156"/>
      <c r="WAU76" s="156"/>
      <c r="WAV76" s="156"/>
      <c r="WAW76" s="156"/>
      <c r="WAX76" s="156"/>
      <c r="WAY76" s="156"/>
      <c r="WAZ76" s="156"/>
      <c r="WBA76" s="156"/>
      <c r="WBB76" s="156"/>
      <c r="WBC76" s="156"/>
      <c r="WBD76" s="156"/>
      <c r="WBE76" s="156"/>
      <c r="WBF76" s="156"/>
      <c r="WBG76" s="156"/>
      <c r="WBH76" s="156"/>
      <c r="WBI76" s="156"/>
      <c r="WBJ76" s="156"/>
      <c r="WBK76" s="156"/>
      <c r="WBL76" s="156"/>
      <c r="WBM76" s="156"/>
      <c r="WBN76" s="156"/>
      <c r="WBO76" s="156"/>
      <c r="WBP76" s="156"/>
      <c r="WBQ76" s="156"/>
      <c r="WBR76" s="156"/>
      <c r="WBS76" s="156"/>
      <c r="WBT76" s="156"/>
      <c r="WBU76" s="156"/>
      <c r="WBV76" s="156"/>
      <c r="WBW76" s="156"/>
      <c r="WBX76" s="156"/>
      <c r="WBY76" s="156"/>
      <c r="WBZ76" s="156"/>
      <c r="WCA76" s="156"/>
      <c r="WCB76" s="156"/>
      <c r="WCC76" s="156"/>
      <c r="WCD76" s="156"/>
      <c r="WCE76" s="156"/>
      <c r="WCF76" s="156"/>
      <c r="WCG76" s="156"/>
      <c r="WCH76" s="156"/>
      <c r="WCI76" s="156"/>
      <c r="WCJ76" s="156"/>
      <c r="WCK76" s="156"/>
      <c r="WCL76" s="156"/>
      <c r="WCM76" s="156"/>
      <c r="WCN76" s="156"/>
      <c r="WCO76" s="156"/>
      <c r="WCP76" s="156"/>
      <c r="WCQ76" s="156"/>
      <c r="WCR76" s="156"/>
      <c r="WCS76" s="156"/>
      <c r="WCT76" s="156"/>
      <c r="WCU76" s="156"/>
      <c r="WCV76" s="156"/>
      <c r="WCW76" s="156"/>
      <c r="WCX76" s="156"/>
      <c r="WCY76" s="156"/>
      <c r="WCZ76" s="156"/>
      <c r="WDA76" s="156"/>
      <c r="WDB76" s="156"/>
      <c r="WDC76" s="156"/>
      <c r="WDD76" s="156"/>
      <c r="WDE76" s="156"/>
      <c r="WDF76" s="156"/>
      <c r="WDG76" s="156"/>
      <c r="WDH76" s="156"/>
      <c r="WDI76" s="156"/>
      <c r="WDJ76" s="156"/>
      <c r="WDK76" s="156"/>
      <c r="WDL76" s="156"/>
      <c r="WDM76" s="156"/>
      <c r="WDN76" s="156"/>
      <c r="WDO76" s="156"/>
      <c r="WDP76" s="156"/>
      <c r="WDQ76" s="156"/>
      <c r="WDR76" s="156"/>
      <c r="WDS76" s="156"/>
      <c r="WDT76" s="156"/>
      <c r="WDU76" s="156"/>
      <c r="WDV76" s="156"/>
      <c r="WDW76" s="156"/>
      <c r="WDX76" s="156"/>
      <c r="WDY76" s="156"/>
      <c r="WDZ76" s="156"/>
      <c r="WEA76" s="156"/>
      <c r="WEB76" s="156"/>
      <c r="WEC76" s="156"/>
      <c r="WED76" s="156"/>
      <c r="WEE76" s="156"/>
      <c r="WEF76" s="156"/>
      <c r="WEG76" s="156"/>
      <c r="WEH76" s="156"/>
      <c r="WEI76" s="156"/>
      <c r="WEJ76" s="156"/>
      <c r="WEK76" s="156"/>
      <c r="WEL76" s="156"/>
      <c r="WEM76" s="156"/>
      <c r="WEN76" s="156"/>
      <c r="WEO76" s="156"/>
      <c r="WEP76" s="156"/>
      <c r="WEQ76" s="156"/>
      <c r="WER76" s="156"/>
      <c r="WES76" s="156"/>
      <c r="WET76" s="156"/>
      <c r="WEU76" s="156"/>
      <c r="WEV76" s="156"/>
      <c r="WEW76" s="156"/>
      <c r="WEX76" s="156"/>
      <c r="WEY76" s="156"/>
      <c r="WEZ76" s="156"/>
      <c r="WFA76" s="156"/>
      <c r="WFB76" s="156"/>
      <c r="WFC76" s="156"/>
      <c r="WFD76" s="156"/>
      <c r="WFE76" s="156"/>
      <c r="WFF76" s="156"/>
      <c r="WFG76" s="156"/>
      <c r="WFH76" s="156"/>
      <c r="WFI76" s="156"/>
      <c r="WFJ76" s="156"/>
      <c r="WFK76" s="156"/>
      <c r="WFL76" s="156"/>
      <c r="WFM76" s="156"/>
      <c r="WFN76" s="156"/>
      <c r="WFO76" s="156"/>
      <c r="WFP76" s="156"/>
      <c r="WFQ76" s="156"/>
      <c r="WFR76" s="156"/>
      <c r="WFS76" s="156"/>
      <c r="WFT76" s="156"/>
      <c r="WFU76" s="156"/>
      <c r="WFV76" s="156"/>
      <c r="WFW76" s="156"/>
      <c r="WFX76" s="156"/>
      <c r="WFY76" s="156"/>
      <c r="WFZ76" s="156"/>
      <c r="WGA76" s="156"/>
      <c r="WGB76" s="156"/>
      <c r="WGC76" s="156"/>
      <c r="WGD76" s="156"/>
      <c r="WGE76" s="156"/>
      <c r="WGF76" s="156"/>
      <c r="WGG76" s="156"/>
      <c r="WGH76" s="156"/>
      <c r="WGI76" s="156"/>
      <c r="WGJ76" s="156"/>
      <c r="WGK76" s="156"/>
      <c r="WGL76" s="156"/>
      <c r="WGM76" s="156"/>
      <c r="WGN76" s="156"/>
      <c r="WGO76" s="156"/>
      <c r="WGP76" s="156"/>
      <c r="WGQ76" s="156"/>
      <c r="WGR76" s="156"/>
      <c r="WGS76" s="156"/>
      <c r="WGT76" s="156"/>
      <c r="WGU76" s="156"/>
      <c r="WGV76" s="156"/>
      <c r="WGW76" s="156"/>
      <c r="WGX76" s="156"/>
      <c r="WGY76" s="156"/>
      <c r="WGZ76" s="156"/>
      <c r="WHA76" s="156"/>
      <c r="WHB76" s="156"/>
      <c r="WHC76" s="156"/>
      <c r="WHD76" s="156"/>
      <c r="WHE76" s="156"/>
      <c r="WHF76" s="156"/>
      <c r="WHG76" s="156"/>
      <c r="WHH76" s="156"/>
      <c r="WHI76" s="156"/>
      <c r="WHJ76" s="156"/>
      <c r="WHK76" s="156"/>
      <c r="WHL76" s="156"/>
      <c r="WHM76" s="156"/>
      <c r="WHN76" s="156"/>
      <c r="WHO76" s="156"/>
      <c r="WHP76" s="156"/>
      <c r="WHQ76" s="156"/>
      <c r="WHR76" s="156"/>
      <c r="WHS76" s="156"/>
      <c r="WHT76" s="156"/>
      <c r="WHU76" s="156"/>
      <c r="WHV76" s="156"/>
      <c r="WHW76" s="156"/>
      <c r="WHX76" s="156"/>
      <c r="WHY76" s="156"/>
      <c r="WHZ76" s="156"/>
      <c r="WIA76" s="156"/>
      <c r="WIB76" s="156"/>
      <c r="WIC76" s="156"/>
      <c r="WID76" s="156"/>
      <c r="WIE76" s="156"/>
      <c r="WIF76" s="156"/>
      <c r="WIG76" s="156"/>
      <c r="WIH76" s="156"/>
      <c r="WII76" s="156"/>
      <c r="WIJ76" s="156"/>
      <c r="WIK76" s="156"/>
      <c r="WIL76" s="156"/>
      <c r="WIM76" s="156"/>
      <c r="WIN76" s="156"/>
      <c r="WIO76" s="156"/>
      <c r="WIP76" s="156"/>
      <c r="WIQ76" s="156"/>
      <c r="WIR76" s="156"/>
      <c r="WIS76" s="156"/>
      <c r="WIT76" s="156"/>
      <c r="WIU76" s="156"/>
      <c r="WIV76" s="156"/>
      <c r="WIW76" s="156"/>
      <c r="WIX76" s="156"/>
      <c r="WIY76" s="156"/>
      <c r="WIZ76" s="156"/>
      <c r="WJA76" s="156"/>
      <c r="WJB76" s="156"/>
      <c r="WJC76" s="156"/>
      <c r="WJD76" s="156"/>
      <c r="WJE76" s="156"/>
      <c r="WJF76" s="156"/>
      <c r="WJG76" s="156"/>
      <c r="WJH76" s="156"/>
      <c r="WJI76" s="156"/>
      <c r="WJJ76" s="156"/>
      <c r="WJK76" s="156"/>
      <c r="WJL76" s="156"/>
      <c r="WJM76" s="156"/>
      <c r="WJN76" s="156"/>
      <c r="WJO76" s="156"/>
      <c r="WJP76" s="156"/>
      <c r="WJQ76" s="156"/>
      <c r="WJR76" s="156"/>
      <c r="WJS76" s="156"/>
      <c r="WJT76" s="156"/>
      <c r="WJU76" s="156"/>
      <c r="WJV76" s="156"/>
      <c r="WJW76" s="156"/>
      <c r="WJX76" s="156"/>
      <c r="WJY76" s="156"/>
      <c r="WJZ76" s="156"/>
      <c r="WKA76" s="156"/>
      <c r="WKB76" s="156"/>
      <c r="WKC76" s="156"/>
      <c r="WKD76" s="156"/>
      <c r="WKE76" s="156"/>
      <c r="WKF76" s="156"/>
      <c r="WKG76" s="156"/>
      <c r="WKH76" s="156"/>
      <c r="WKI76" s="156"/>
      <c r="WKJ76" s="156"/>
      <c r="WKK76" s="156"/>
      <c r="WKL76" s="156"/>
      <c r="WKM76" s="156"/>
      <c r="WKN76" s="156"/>
      <c r="WKO76" s="156"/>
      <c r="WKP76" s="156"/>
      <c r="WKQ76" s="156"/>
      <c r="WKR76" s="156"/>
      <c r="WKS76" s="156"/>
      <c r="WKT76" s="156"/>
      <c r="WKU76" s="156"/>
      <c r="WKV76" s="156"/>
      <c r="WKW76" s="156"/>
      <c r="WKX76" s="156"/>
      <c r="WKY76" s="156"/>
      <c r="WKZ76" s="156"/>
      <c r="WLA76" s="156"/>
      <c r="WLB76" s="156"/>
      <c r="WLC76" s="156"/>
      <c r="WLD76" s="156"/>
      <c r="WLE76" s="156"/>
      <c r="WLF76" s="156"/>
      <c r="WLG76" s="156"/>
      <c r="WLH76" s="156"/>
      <c r="WLI76" s="156"/>
      <c r="WLJ76" s="156"/>
      <c r="WLK76" s="156"/>
      <c r="WLL76" s="156"/>
      <c r="WLM76" s="156"/>
      <c r="WLN76" s="156"/>
      <c r="WLO76" s="156"/>
      <c r="WLP76" s="156"/>
      <c r="WLQ76" s="156"/>
      <c r="WLR76" s="156"/>
      <c r="WLS76" s="156"/>
      <c r="WLT76" s="156"/>
      <c r="WLU76" s="156"/>
      <c r="WLV76" s="156"/>
      <c r="WLW76" s="156"/>
      <c r="WLX76" s="156"/>
      <c r="WLY76" s="156"/>
      <c r="WLZ76" s="156"/>
      <c r="WMA76" s="156"/>
      <c r="WMB76" s="156"/>
      <c r="WMC76" s="156"/>
      <c r="WMD76" s="156"/>
      <c r="WME76" s="156"/>
      <c r="WMF76" s="156"/>
      <c r="WMG76" s="156"/>
      <c r="WMH76" s="156"/>
      <c r="WMI76" s="156"/>
      <c r="WMJ76" s="156"/>
      <c r="WMK76" s="156"/>
      <c r="WML76" s="156"/>
      <c r="WMM76" s="156"/>
      <c r="WMN76" s="156"/>
      <c r="WMO76" s="156"/>
      <c r="WMP76" s="156"/>
      <c r="WMQ76" s="156"/>
      <c r="WMR76" s="156"/>
      <c r="WMS76" s="156"/>
      <c r="WMT76" s="156"/>
      <c r="WMU76" s="156"/>
      <c r="WMV76" s="156"/>
      <c r="WMW76" s="156"/>
      <c r="WMX76" s="156"/>
      <c r="WMY76" s="156"/>
      <c r="WMZ76" s="156"/>
      <c r="WNA76" s="156"/>
      <c r="WNB76" s="156"/>
      <c r="WNC76" s="156"/>
      <c r="WND76" s="156"/>
      <c r="WNE76" s="156"/>
      <c r="WNF76" s="156"/>
      <c r="WNG76" s="156"/>
      <c r="WNH76" s="156"/>
      <c r="WNI76" s="156"/>
      <c r="WNJ76" s="156"/>
      <c r="WNK76" s="156"/>
      <c r="WNL76" s="156"/>
      <c r="WNM76" s="156"/>
      <c r="WNN76" s="156"/>
      <c r="WNO76" s="156"/>
      <c r="WNP76" s="156"/>
      <c r="WNQ76" s="156"/>
      <c r="WNR76" s="156"/>
      <c r="WNS76" s="156"/>
      <c r="WNT76" s="156"/>
      <c r="WNU76" s="156"/>
      <c r="WNV76" s="156"/>
      <c r="WNW76" s="156"/>
      <c r="WNX76" s="156"/>
      <c r="WNY76" s="156"/>
      <c r="WNZ76" s="156"/>
      <c r="WOA76" s="156"/>
      <c r="WOB76" s="156"/>
      <c r="WOC76" s="156"/>
      <c r="WOD76" s="156"/>
      <c r="WOE76" s="156"/>
      <c r="WOF76" s="156"/>
      <c r="WOG76" s="156"/>
      <c r="WOH76" s="156"/>
      <c r="WOI76" s="156"/>
      <c r="WOJ76" s="156"/>
      <c r="WOK76" s="156"/>
      <c r="WOL76" s="156"/>
      <c r="WOM76" s="156"/>
      <c r="WON76" s="156"/>
      <c r="WOO76" s="156"/>
      <c r="WOP76" s="156"/>
      <c r="WOQ76" s="156"/>
      <c r="WOR76" s="156"/>
      <c r="WOS76" s="156"/>
      <c r="WOT76" s="156"/>
      <c r="WOU76" s="156"/>
      <c r="WOV76" s="156"/>
      <c r="WOW76" s="156"/>
      <c r="WOX76" s="156"/>
      <c r="WOY76" s="156"/>
      <c r="WOZ76" s="156"/>
      <c r="WPA76" s="156"/>
      <c r="WPB76" s="156"/>
      <c r="WPC76" s="156"/>
      <c r="WPD76" s="156"/>
      <c r="WPE76" s="156"/>
      <c r="WPF76" s="156"/>
      <c r="WPG76" s="156"/>
      <c r="WPH76" s="156"/>
      <c r="WPI76" s="156"/>
      <c r="WPJ76" s="156"/>
      <c r="WPK76" s="156"/>
      <c r="WPL76" s="156"/>
      <c r="WPM76" s="156"/>
      <c r="WPN76" s="156"/>
      <c r="WPO76" s="156"/>
      <c r="WPP76" s="156"/>
      <c r="WPQ76" s="156"/>
      <c r="WPR76" s="156"/>
      <c r="WPS76" s="156"/>
      <c r="WPT76" s="156"/>
      <c r="WPU76" s="156"/>
      <c r="WPV76" s="156"/>
      <c r="WPW76" s="156"/>
      <c r="WPX76" s="156"/>
      <c r="WPY76" s="156"/>
      <c r="WPZ76" s="156"/>
      <c r="WQA76" s="156"/>
      <c r="WQB76" s="156"/>
      <c r="WQC76" s="156"/>
      <c r="WQD76" s="156"/>
      <c r="WQE76" s="156"/>
      <c r="WQF76" s="156"/>
      <c r="WQG76" s="156"/>
      <c r="WQH76" s="156"/>
      <c r="WQI76" s="156"/>
      <c r="WQJ76" s="156"/>
      <c r="WQK76" s="156"/>
      <c r="WQL76" s="156"/>
      <c r="WQM76" s="156"/>
      <c r="WQN76" s="156"/>
      <c r="WQO76" s="156"/>
      <c r="WQP76" s="156"/>
      <c r="WQQ76" s="156"/>
      <c r="WQR76" s="156"/>
      <c r="WQS76" s="156"/>
      <c r="WQT76" s="156"/>
      <c r="WQU76" s="156"/>
      <c r="WQV76" s="156"/>
      <c r="WQW76" s="156"/>
      <c r="WQX76" s="156"/>
      <c r="WQY76" s="156"/>
      <c r="WQZ76" s="156"/>
      <c r="WRA76" s="156"/>
      <c r="WRB76" s="156"/>
      <c r="WRC76" s="156"/>
      <c r="WRD76" s="156"/>
      <c r="WRE76" s="156"/>
      <c r="WRF76" s="156"/>
      <c r="WRG76" s="156"/>
      <c r="WRH76" s="156"/>
      <c r="WRI76" s="156"/>
      <c r="WRJ76" s="156"/>
      <c r="WRK76" s="156"/>
      <c r="WRL76" s="156"/>
      <c r="WRM76" s="156"/>
      <c r="WRN76" s="156"/>
      <c r="WRO76" s="156"/>
      <c r="WRP76" s="156"/>
      <c r="WRQ76" s="156"/>
      <c r="WRR76" s="156"/>
      <c r="WRS76" s="156"/>
      <c r="WRT76" s="156"/>
      <c r="WRU76" s="156"/>
      <c r="WRV76" s="156"/>
      <c r="WRW76" s="156"/>
      <c r="WRX76" s="156"/>
      <c r="WRY76" s="156"/>
      <c r="WRZ76" s="156"/>
      <c r="WSA76" s="156"/>
      <c r="WSB76" s="156"/>
      <c r="WSC76" s="156"/>
      <c r="WSD76" s="156"/>
      <c r="WSE76" s="156"/>
      <c r="WSF76" s="156"/>
      <c r="WSG76" s="156"/>
      <c r="WSH76" s="156"/>
      <c r="WSI76" s="156"/>
      <c r="WSJ76" s="156"/>
      <c r="WSK76" s="156"/>
      <c r="WSL76" s="156"/>
      <c r="WSM76" s="156"/>
      <c r="WSN76" s="156"/>
      <c r="WSO76" s="156"/>
      <c r="WSP76" s="156"/>
      <c r="WSQ76" s="156"/>
      <c r="WSR76" s="156"/>
      <c r="WSS76" s="156"/>
      <c r="WST76" s="156"/>
      <c r="WSU76" s="156"/>
      <c r="WSV76" s="156"/>
      <c r="WSW76" s="156"/>
      <c r="WSX76" s="156"/>
      <c r="WSY76" s="156"/>
      <c r="WSZ76" s="156"/>
      <c r="WTA76" s="156"/>
      <c r="WTB76" s="156"/>
      <c r="WTC76" s="156"/>
      <c r="WTD76" s="156"/>
      <c r="WTE76" s="156"/>
      <c r="WTF76" s="156"/>
      <c r="WTG76" s="156"/>
      <c r="WTH76" s="156"/>
      <c r="WTI76" s="156"/>
      <c r="WTJ76" s="156"/>
      <c r="WTK76" s="156"/>
      <c r="WTL76" s="156"/>
      <c r="WTM76" s="156"/>
      <c r="WTN76" s="156"/>
      <c r="WTO76" s="156"/>
      <c r="WTP76" s="156"/>
      <c r="WTQ76" s="156"/>
      <c r="WTR76" s="156"/>
      <c r="WTS76" s="156"/>
      <c r="WTT76" s="156"/>
      <c r="WTU76" s="156"/>
      <c r="WTV76" s="156"/>
      <c r="WTW76" s="156"/>
      <c r="WTX76" s="156"/>
      <c r="WTY76" s="156"/>
      <c r="WTZ76" s="156"/>
      <c r="WUA76" s="156"/>
      <c r="WUB76" s="156"/>
      <c r="WUC76" s="156"/>
      <c r="WUD76" s="156"/>
      <c r="WUE76" s="156"/>
      <c r="WUF76" s="156"/>
      <c r="WUG76" s="156"/>
      <c r="WUH76" s="156"/>
      <c r="WUI76" s="156"/>
      <c r="WUJ76" s="156"/>
      <c r="WUK76" s="156"/>
      <c r="WUL76" s="156"/>
      <c r="WUM76" s="156"/>
      <c r="WUN76" s="156"/>
      <c r="WUO76" s="156"/>
      <c r="WUP76" s="156"/>
      <c r="WUQ76" s="156"/>
      <c r="WUR76" s="156"/>
      <c r="WUS76" s="156"/>
      <c r="WUT76" s="156"/>
      <c r="WUU76" s="156"/>
      <c r="WUV76" s="156"/>
      <c r="WUW76" s="156"/>
      <c r="WUX76" s="156"/>
      <c r="WUY76" s="156"/>
      <c r="WUZ76" s="156"/>
      <c r="WVA76" s="156"/>
      <c r="WVB76" s="156"/>
      <c r="WVC76" s="156"/>
      <c r="WVD76" s="156"/>
      <c r="WVE76" s="156"/>
      <c r="WVF76" s="156"/>
      <c r="WVG76" s="156"/>
      <c r="WVH76" s="156"/>
      <c r="WVI76" s="156"/>
      <c r="WVJ76" s="156"/>
      <c r="WVK76" s="156"/>
      <c r="WVL76" s="156"/>
      <c r="WVM76" s="156"/>
      <c r="WVN76" s="156"/>
      <c r="WVO76" s="156"/>
      <c r="WVP76" s="156"/>
      <c r="WVQ76" s="156"/>
      <c r="WVR76" s="156"/>
      <c r="WVS76" s="156"/>
      <c r="WVT76" s="156"/>
      <c r="WVU76" s="156"/>
      <c r="WVV76" s="156"/>
      <c r="WVW76" s="156"/>
      <c r="WVX76" s="156"/>
      <c r="WVY76" s="156"/>
      <c r="WVZ76" s="156"/>
      <c r="WWA76" s="156"/>
      <c r="WWB76" s="156"/>
      <c r="WWC76" s="156"/>
      <c r="WWD76" s="156"/>
      <c r="WWE76" s="156"/>
      <c r="WWF76" s="156"/>
      <c r="WWG76" s="156"/>
      <c r="WWH76" s="156"/>
      <c r="WWI76" s="156"/>
      <c r="WWJ76" s="156"/>
      <c r="WWK76" s="156"/>
      <c r="WWL76" s="156"/>
      <c r="WWM76" s="156"/>
      <c r="WWN76" s="156"/>
      <c r="WWO76" s="156"/>
      <c r="WWP76" s="156"/>
      <c r="WWQ76" s="156"/>
      <c r="WWR76" s="156"/>
      <c r="WWS76" s="156"/>
      <c r="WWT76" s="156"/>
      <c r="WWU76" s="156"/>
      <c r="WWV76" s="156"/>
      <c r="WWW76" s="156"/>
      <c r="WWX76" s="156"/>
      <c r="WWY76" s="156"/>
      <c r="WWZ76" s="156"/>
      <c r="WXA76" s="156"/>
      <c r="WXB76" s="156"/>
      <c r="WXC76" s="156"/>
      <c r="WXD76" s="156"/>
      <c r="WXE76" s="156"/>
      <c r="WXF76" s="156"/>
      <c r="WXG76" s="156"/>
      <c r="WXH76" s="156"/>
      <c r="WXI76" s="156"/>
      <c r="WXJ76" s="156"/>
      <c r="WXK76" s="156"/>
      <c r="WXL76" s="156"/>
      <c r="WXM76" s="156"/>
      <c r="WXN76" s="156"/>
      <c r="WXO76" s="156"/>
      <c r="WXP76" s="156"/>
      <c r="WXQ76" s="156"/>
      <c r="WXR76" s="156"/>
      <c r="WXS76" s="156"/>
      <c r="WXT76" s="156"/>
      <c r="WXU76" s="156"/>
      <c r="WXV76" s="156"/>
      <c r="WXW76" s="156"/>
      <c r="WXX76" s="156"/>
      <c r="WXY76" s="156"/>
      <c r="WXZ76" s="156"/>
      <c r="WYA76" s="156"/>
      <c r="WYB76" s="156"/>
      <c r="WYC76" s="156"/>
      <c r="WYD76" s="156"/>
      <c r="WYE76" s="156"/>
      <c r="WYF76" s="156"/>
      <c r="WYG76" s="156"/>
      <c r="WYH76" s="156"/>
      <c r="WYI76" s="156"/>
      <c r="WYJ76" s="156"/>
      <c r="WYK76" s="156"/>
      <c r="WYL76" s="156"/>
      <c r="WYM76" s="156"/>
      <c r="WYN76" s="156"/>
      <c r="WYO76" s="156"/>
      <c r="WYP76" s="156"/>
      <c r="WYQ76" s="156"/>
      <c r="WYR76" s="156"/>
      <c r="WYS76" s="156"/>
      <c r="WYT76" s="156"/>
      <c r="WYU76" s="156"/>
      <c r="WYV76" s="156"/>
      <c r="WYW76" s="156"/>
      <c r="WYX76" s="156"/>
      <c r="WYY76" s="156"/>
      <c r="WYZ76" s="156"/>
      <c r="WZA76" s="156"/>
      <c r="WZB76" s="156"/>
      <c r="WZC76" s="156"/>
      <c r="WZD76" s="156"/>
      <c r="WZE76" s="156"/>
      <c r="WZF76" s="156"/>
      <c r="WZG76" s="156"/>
      <c r="WZH76" s="156"/>
      <c r="WZI76" s="156"/>
      <c r="WZJ76" s="156"/>
      <c r="WZK76" s="156"/>
      <c r="WZL76" s="156"/>
      <c r="WZM76" s="156"/>
      <c r="WZN76" s="156"/>
      <c r="WZO76" s="156"/>
      <c r="WZP76" s="156"/>
      <c r="WZQ76" s="156"/>
      <c r="WZR76" s="156"/>
      <c r="WZS76" s="156"/>
      <c r="WZT76" s="156"/>
      <c r="WZU76" s="156"/>
      <c r="WZV76" s="156"/>
      <c r="WZW76" s="156"/>
      <c r="WZX76" s="156"/>
      <c r="WZY76" s="156"/>
      <c r="WZZ76" s="156"/>
      <c r="XAA76" s="156"/>
      <c r="XAB76" s="156"/>
      <c r="XAC76" s="156"/>
      <c r="XAD76" s="156"/>
      <c r="XAE76" s="156"/>
      <c r="XAF76" s="156"/>
      <c r="XAG76" s="156"/>
      <c r="XAH76" s="156"/>
      <c r="XAI76" s="156"/>
      <c r="XAJ76" s="156"/>
      <c r="XAK76" s="156"/>
      <c r="XAL76" s="156"/>
      <c r="XAM76" s="156"/>
      <c r="XAN76" s="156"/>
      <c r="XAO76" s="156"/>
      <c r="XAP76" s="156"/>
      <c r="XAQ76" s="156"/>
      <c r="XAR76" s="156"/>
      <c r="XAS76" s="156"/>
      <c r="XAT76" s="156"/>
      <c r="XAU76" s="156"/>
      <c r="XAV76" s="156"/>
      <c r="XAW76" s="156"/>
      <c r="XAX76" s="156"/>
      <c r="XAY76" s="156"/>
      <c r="XAZ76" s="156"/>
      <c r="XBA76" s="156"/>
      <c r="XBB76" s="156"/>
      <c r="XBC76" s="156"/>
      <c r="XBD76" s="156"/>
      <c r="XBE76" s="156"/>
      <c r="XBF76" s="156"/>
      <c r="XBG76" s="156"/>
      <c r="XBH76" s="156"/>
      <c r="XBI76" s="156"/>
      <c r="XBJ76" s="156"/>
      <c r="XBK76" s="156"/>
      <c r="XBL76" s="156"/>
      <c r="XBM76" s="156"/>
      <c r="XBN76" s="156"/>
      <c r="XBO76" s="156"/>
      <c r="XBP76" s="156"/>
      <c r="XBQ76" s="156"/>
      <c r="XBR76" s="156"/>
      <c r="XBS76" s="156"/>
      <c r="XBT76" s="156"/>
      <c r="XBU76" s="156"/>
      <c r="XBV76" s="156"/>
      <c r="XBW76" s="156"/>
      <c r="XBX76" s="156"/>
      <c r="XBY76" s="156"/>
      <c r="XBZ76" s="156"/>
      <c r="XCA76" s="156"/>
      <c r="XCB76" s="156"/>
      <c r="XCC76" s="156"/>
      <c r="XCD76" s="156"/>
      <c r="XCE76" s="156"/>
      <c r="XCF76" s="156"/>
      <c r="XCG76" s="156"/>
      <c r="XCH76" s="156"/>
      <c r="XCI76" s="156"/>
      <c r="XCJ76" s="156"/>
      <c r="XCK76" s="156"/>
      <c r="XCL76" s="156"/>
      <c r="XCM76" s="156"/>
      <c r="XCN76" s="156"/>
      <c r="XCO76" s="156"/>
      <c r="XCP76" s="156"/>
      <c r="XCQ76" s="156"/>
      <c r="XCR76" s="156"/>
      <c r="XCS76" s="156"/>
      <c r="XCT76" s="156"/>
      <c r="XCU76" s="156"/>
      <c r="XCV76" s="156"/>
      <c r="XCW76" s="156"/>
      <c r="XCX76" s="156"/>
      <c r="XCY76" s="156"/>
      <c r="XCZ76" s="156"/>
      <c r="XDA76" s="156"/>
      <c r="XDB76" s="156"/>
      <c r="XDC76" s="156"/>
      <c r="XDD76" s="156"/>
      <c r="XDE76" s="156"/>
      <c r="XDF76" s="156"/>
      <c r="XDG76" s="156"/>
      <c r="XDH76" s="156"/>
      <c r="XDI76" s="156"/>
      <c r="XDJ76" s="156"/>
      <c r="XDK76" s="156"/>
      <c r="XDL76" s="156"/>
      <c r="XDM76" s="156"/>
      <c r="XDN76" s="156"/>
      <c r="XDO76" s="156"/>
      <c r="XDP76" s="156"/>
      <c r="XDQ76" s="156"/>
      <c r="XDR76" s="156"/>
      <c r="XDS76" s="156"/>
      <c r="XDT76" s="156"/>
      <c r="XDU76" s="156"/>
      <c r="XDV76" s="156"/>
      <c r="XDW76" s="156"/>
      <c r="XDX76" s="156"/>
      <c r="XDY76" s="156"/>
      <c r="XDZ76" s="156"/>
      <c r="XEA76" s="156"/>
      <c r="XEB76" s="156"/>
      <c r="XEC76" s="156"/>
      <c r="XED76" s="156"/>
      <c r="XEE76" s="156"/>
      <c r="XEF76" s="156"/>
      <c r="XEG76" s="156"/>
      <c r="XEH76" s="156"/>
      <c r="XEI76" s="156"/>
      <c r="XEJ76" s="156"/>
    </row>
    <row r="77" spans="1:16364" ht="14.1" customHeight="1" x14ac:dyDescent="0.2">
      <c r="A77" s="212" t="s">
        <v>107</v>
      </c>
      <c r="B77" s="213" t="s">
        <v>108</v>
      </c>
      <c r="C77" s="213" t="s">
        <v>428</v>
      </c>
      <c r="D77" s="215" t="s">
        <v>98</v>
      </c>
      <c r="E77" s="214">
        <v>6625012219367</v>
      </c>
      <c r="F77" s="287">
        <v>42285</v>
      </c>
      <c r="G77" s="215">
        <v>510</v>
      </c>
      <c r="H77" s="287">
        <v>42795</v>
      </c>
      <c r="I77" s="288">
        <v>42795</v>
      </c>
      <c r="J77" s="292"/>
      <c r="K77" s="293"/>
      <c r="L77" s="214"/>
      <c r="M77" s="214"/>
      <c r="N77" s="214" t="s">
        <v>1370</v>
      </c>
      <c r="O77" s="294" t="s">
        <v>1449</v>
      </c>
      <c r="P77" s="213" t="s">
        <v>367</v>
      </c>
      <c r="Q77" s="156"/>
      <c r="R77" s="156"/>
      <c r="S77" s="156"/>
      <c r="T77" s="156"/>
      <c r="U77" s="156"/>
      <c r="V77" s="156"/>
      <c r="W77" s="156"/>
      <c r="X77" s="156"/>
      <c r="Y77" s="156"/>
      <c r="Z77" s="156"/>
      <c r="AA77" s="156"/>
      <c r="AB77" s="156"/>
      <c r="AC77" s="156"/>
      <c r="AD77" s="156"/>
      <c r="AE77" s="156"/>
      <c r="AF77" s="156"/>
      <c r="AG77" s="156"/>
      <c r="AH77" s="156"/>
      <c r="AI77" s="156"/>
      <c r="AJ77" s="156"/>
      <c r="AK77" s="156"/>
      <c r="AL77" s="156"/>
      <c r="AM77" s="156"/>
      <c r="AN77" s="156"/>
      <c r="AO77" s="156"/>
      <c r="AP77" s="156"/>
      <c r="AQ77" s="156"/>
      <c r="AR77" s="156"/>
      <c r="AS77" s="156"/>
      <c r="AT77" s="156"/>
      <c r="AU77" s="156"/>
      <c r="AV77" s="156"/>
      <c r="AW77" s="156"/>
      <c r="AX77" s="156"/>
      <c r="AY77" s="156"/>
      <c r="AZ77" s="156"/>
      <c r="BA77" s="156"/>
      <c r="BB77" s="156"/>
      <c r="BC77" s="156"/>
      <c r="BD77" s="156"/>
      <c r="BE77" s="156"/>
      <c r="BF77" s="156"/>
      <c r="BG77" s="156"/>
      <c r="BH77" s="156"/>
      <c r="BI77" s="156"/>
      <c r="BJ77" s="156"/>
      <c r="BK77" s="156"/>
      <c r="BL77" s="156"/>
      <c r="BM77" s="156"/>
      <c r="BN77" s="156"/>
      <c r="BO77" s="156"/>
      <c r="BP77" s="156"/>
      <c r="BQ77" s="156"/>
      <c r="BR77" s="156"/>
      <c r="BS77" s="156"/>
      <c r="BT77" s="156"/>
      <c r="BU77" s="156"/>
      <c r="BV77" s="156"/>
      <c r="BW77" s="156"/>
      <c r="BX77" s="156"/>
      <c r="BY77" s="156"/>
      <c r="BZ77" s="156"/>
      <c r="CA77" s="156"/>
      <c r="CB77" s="156"/>
      <c r="CC77" s="156"/>
      <c r="CD77" s="156"/>
      <c r="CE77" s="156"/>
      <c r="CF77" s="156"/>
      <c r="CG77" s="156"/>
      <c r="CH77" s="156"/>
      <c r="CI77" s="156"/>
      <c r="CJ77" s="156"/>
      <c r="CK77" s="156"/>
      <c r="CL77" s="156"/>
      <c r="CM77" s="156"/>
      <c r="CN77" s="156"/>
      <c r="CO77" s="156"/>
      <c r="CP77" s="156"/>
      <c r="CQ77" s="156"/>
      <c r="CR77" s="156"/>
      <c r="CS77" s="156"/>
      <c r="CT77" s="156"/>
      <c r="CU77" s="156"/>
      <c r="CV77" s="156"/>
      <c r="CW77" s="156"/>
      <c r="CX77" s="156"/>
      <c r="CY77" s="156"/>
      <c r="CZ77" s="156"/>
      <c r="DA77" s="156"/>
      <c r="DB77" s="156"/>
      <c r="DC77" s="156"/>
      <c r="DD77" s="156"/>
      <c r="DE77" s="156"/>
      <c r="DF77" s="156"/>
      <c r="DG77" s="156"/>
      <c r="DH77" s="156"/>
      <c r="DI77" s="156"/>
      <c r="DJ77" s="156"/>
      <c r="DK77" s="156"/>
      <c r="DL77" s="156"/>
      <c r="DM77" s="156"/>
      <c r="DN77" s="156"/>
      <c r="DO77" s="156"/>
      <c r="DP77" s="156"/>
      <c r="DQ77" s="156"/>
      <c r="DR77" s="156"/>
      <c r="DS77" s="156"/>
      <c r="DT77" s="156"/>
      <c r="DU77" s="156"/>
      <c r="DV77" s="156"/>
      <c r="DW77" s="156"/>
      <c r="DX77" s="156"/>
      <c r="DY77" s="156"/>
      <c r="DZ77" s="156"/>
      <c r="EA77" s="156"/>
      <c r="EB77" s="156"/>
      <c r="EC77" s="156"/>
      <c r="ED77" s="156"/>
      <c r="EE77" s="156"/>
      <c r="EF77" s="156"/>
      <c r="EG77" s="156"/>
      <c r="EH77" s="156"/>
      <c r="EI77" s="156"/>
      <c r="EJ77" s="156"/>
      <c r="EK77" s="156"/>
      <c r="EL77" s="156"/>
      <c r="EM77" s="156"/>
      <c r="EN77" s="156"/>
      <c r="EO77" s="156"/>
      <c r="EP77" s="156"/>
      <c r="EQ77" s="156"/>
      <c r="ER77" s="156"/>
      <c r="ES77" s="156"/>
      <c r="ET77" s="156"/>
      <c r="EU77" s="156"/>
      <c r="EV77" s="156"/>
      <c r="EW77" s="156"/>
      <c r="EX77" s="156"/>
      <c r="EY77" s="156"/>
      <c r="EZ77" s="156"/>
      <c r="FA77" s="156"/>
      <c r="FB77" s="156"/>
      <c r="FC77" s="156"/>
      <c r="FD77" s="156"/>
      <c r="FE77" s="156"/>
      <c r="FF77" s="156"/>
      <c r="FG77" s="156"/>
      <c r="FH77" s="156"/>
      <c r="FI77" s="156"/>
      <c r="FJ77" s="156"/>
      <c r="FK77" s="156"/>
      <c r="FL77" s="156"/>
      <c r="FM77" s="156"/>
      <c r="FN77" s="156"/>
      <c r="FO77" s="156"/>
      <c r="FP77" s="156"/>
      <c r="FQ77" s="156"/>
      <c r="FR77" s="156"/>
      <c r="FS77" s="156"/>
      <c r="FT77" s="156"/>
      <c r="FU77" s="156"/>
      <c r="FV77" s="156"/>
      <c r="FW77" s="156"/>
      <c r="FX77" s="156"/>
      <c r="FY77" s="156"/>
      <c r="FZ77" s="156"/>
      <c r="GA77" s="156"/>
      <c r="GB77" s="156"/>
      <c r="GC77" s="156"/>
      <c r="GD77" s="156"/>
      <c r="GE77" s="156"/>
      <c r="GF77" s="156"/>
      <c r="GG77" s="156"/>
      <c r="GH77" s="156"/>
      <c r="GI77" s="156"/>
      <c r="GJ77" s="156"/>
      <c r="GK77" s="156"/>
      <c r="GL77" s="156"/>
      <c r="GM77" s="156"/>
      <c r="GN77" s="156"/>
      <c r="GO77" s="156"/>
      <c r="GP77" s="156"/>
      <c r="GQ77" s="156"/>
      <c r="GR77" s="156"/>
      <c r="GS77" s="156"/>
      <c r="GT77" s="156"/>
      <c r="GU77" s="156"/>
      <c r="GV77" s="156"/>
      <c r="GW77" s="156"/>
      <c r="GX77" s="156"/>
      <c r="GY77" s="156"/>
      <c r="GZ77" s="156"/>
      <c r="HA77" s="156"/>
      <c r="HB77" s="156"/>
      <c r="HC77" s="156"/>
      <c r="HD77" s="156"/>
      <c r="HE77" s="156"/>
      <c r="HF77" s="156"/>
      <c r="HG77" s="156"/>
      <c r="HH77" s="156"/>
      <c r="HI77" s="156"/>
      <c r="HJ77" s="156"/>
      <c r="HK77" s="156"/>
      <c r="HL77" s="156"/>
      <c r="HM77" s="156"/>
      <c r="HN77" s="156"/>
      <c r="HO77" s="156"/>
      <c r="HP77" s="156"/>
      <c r="HQ77" s="156"/>
      <c r="HR77" s="156"/>
      <c r="HS77" s="156"/>
      <c r="HT77" s="156"/>
      <c r="HU77" s="156"/>
      <c r="HV77" s="156"/>
      <c r="HW77" s="156"/>
      <c r="HX77" s="156"/>
      <c r="HY77" s="156"/>
      <c r="HZ77" s="156"/>
      <c r="IA77" s="156"/>
      <c r="IB77" s="156"/>
      <c r="IC77" s="156"/>
      <c r="ID77" s="156"/>
      <c r="IE77" s="156"/>
      <c r="IF77" s="156"/>
      <c r="IG77" s="156"/>
      <c r="IH77" s="156"/>
      <c r="II77" s="156"/>
      <c r="IJ77" s="156"/>
      <c r="IK77" s="156"/>
      <c r="IL77" s="156"/>
      <c r="IM77" s="156"/>
      <c r="IN77" s="156"/>
      <c r="IO77" s="156"/>
      <c r="IP77" s="156"/>
      <c r="IQ77" s="156"/>
      <c r="IR77" s="156"/>
      <c r="IS77" s="156"/>
      <c r="IT77" s="156"/>
      <c r="IU77" s="156"/>
      <c r="IV77" s="156"/>
      <c r="IW77" s="156"/>
      <c r="IX77" s="156"/>
      <c r="IY77" s="156"/>
      <c r="IZ77" s="156"/>
      <c r="JA77" s="156"/>
      <c r="JB77" s="156"/>
      <c r="JC77" s="156"/>
      <c r="JD77" s="156"/>
      <c r="JE77" s="156"/>
      <c r="JF77" s="156"/>
      <c r="JG77" s="156"/>
      <c r="JH77" s="156"/>
      <c r="JI77" s="156"/>
      <c r="JJ77" s="156"/>
      <c r="JK77" s="156"/>
      <c r="JL77" s="156"/>
      <c r="JM77" s="156"/>
      <c r="JN77" s="156"/>
      <c r="JO77" s="156"/>
      <c r="JP77" s="156"/>
      <c r="JQ77" s="156"/>
      <c r="JR77" s="156"/>
      <c r="JS77" s="156"/>
      <c r="JT77" s="156"/>
      <c r="JU77" s="156"/>
      <c r="JV77" s="156"/>
      <c r="JW77" s="156"/>
      <c r="JX77" s="156"/>
      <c r="JY77" s="156"/>
      <c r="JZ77" s="156"/>
      <c r="KA77" s="156"/>
      <c r="KB77" s="156"/>
      <c r="KC77" s="156"/>
      <c r="KD77" s="156"/>
      <c r="KE77" s="156"/>
      <c r="KF77" s="156"/>
      <c r="KG77" s="156"/>
      <c r="KH77" s="156"/>
      <c r="KI77" s="156"/>
      <c r="KJ77" s="156"/>
      <c r="KK77" s="156"/>
      <c r="KL77" s="156"/>
      <c r="KM77" s="156"/>
      <c r="KN77" s="156"/>
      <c r="KO77" s="156"/>
      <c r="KP77" s="156"/>
      <c r="KQ77" s="156"/>
      <c r="KR77" s="156"/>
      <c r="KS77" s="156"/>
      <c r="KT77" s="156"/>
      <c r="KU77" s="156"/>
      <c r="KV77" s="156"/>
      <c r="KW77" s="156"/>
      <c r="KX77" s="156"/>
      <c r="KY77" s="156"/>
      <c r="KZ77" s="156"/>
      <c r="LA77" s="156"/>
      <c r="LB77" s="156"/>
      <c r="LC77" s="156"/>
      <c r="LD77" s="156"/>
      <c r="LE77" s="156"/>
      <c r="LF77" s="156"/>
      <c r="LG77" s="156"/>
      <c r="LH77" s="156"/>
      <c r="LI77" s="156"/>
      <c r="LJ77" s="156"/>
      <c r="LK77" s="156"/>
      <c r="LL77" s="156"/>
      <c r="LM77" s="156"/>
      <c r="LN77" s="156"/>
      <c r="LO77" s="156"/>
      <c r="LP77" s="156"/>
      <c r="LQ77" s="156"/>
      <c r="LR77" s="156"/>
      <c r="LS77" s="156"/>
      <c r="LT77" s="156"/>
      <c r="LU77" s="156"/>
      <c r="LV77" s="156"/>
      <c r="LW77" s="156"/>
      <c r="LX77" s="156"/>
      <c r="LY77" s="156"/>
      <c r="LZ77" s="156"/>
      <c r="MA77" s="156"/>
      <c r="MB77" s="156"/>
      <c r="MC77" s="156"/>
      <c r="MD77" s="156"/>
      <c r="ME77" s="156"/>
      <c r="MF77" s="156"/>
      <c r="MG77" s="156"/>
      <c r="MH77" s="156"/>
      <c r="MI77" s="156"/>
      <c r="MJ77" s="156"/>
      <c r="MK77" s="156"/>
      <c r="ML77" s="156"/>
      <c r="MM77" s="156"/>
      <c r="MN77" s="156"/>
      <c r="MO77" s="156"/>
      <c r="MP77" s="156"/>
      <c r="MQ77" s="156"/>
      <c r="MR77" s="156"/>
      <c r="MS77" s="156"/>
      <c r="MT77" s="156"/>
      <c r="MU77" s="156"/>
      <c r="MV77" s="156"/>
      <c r="MW77" s="156"/>
      <c r="MX77" s="156"/>
      <c r="MY77" s="156"/>
      <c r="MZ77" s="156"/>
      <c r="NA77" s="156"/>
      <c r="NB77" s="156"/>
      <c r="NC77" s="156"/>
      <c r="ND77" s="156"/>
      <c r="NE77" s="156"/>
      <c r="NF77" s="156"/>
      <c r="NG77" s="156"/>
      <c r="NH77" s="156"/>
      <c r="NI77" s="156"/>
      <c r="NJ77" s="156"/>
      <c r="NK77" s="156"/>
      <c r="NL77" s="156"/>
      <c r="NM77" s="156"/>
      <c r="NN77" s="156"/>
      <c r="NO77" s="156"/>
      <c r="NP77" s="156"/>
      <c r="NQ77" s="156"/>
      <c r="NR77" s="156"/>
      <c r="NS77" s="156"/>
      <c r="NT77" s="156"/>
      <c r="NU77" s="156"/>
      <c r="NV77" s="156"/>
      <c r="NW77" s="156"/>
      <c r="NX77" s="156"/>
      <c r="NY77" s="156"/>
      <c r="NZ77" s="156"/>
      <c r="OA77" s="156"/>
      <c r="OB77" s="156"/>
      <c r="OC77" s="156"/>
      <c r="OD77" s="156"/>
      <c r="OE77" s="156"/>
      <c r="OF77" s="156"/>
      <c r="OG77" s="156"/>
      <c r="OH77" s="156"/>
      <c r="OI77" s="156"/>
      <c r="OJ77" s="156"/>
      <c r="OK77" s="156"/>
      <c r="OL77" s="156"/>
      <c r="OM77" s="156"/>
      <c r="ON77" s="156"/>
      <c r="OO77" s="156"/>
      <c r="OP77" s="156"/>
      <c r="OQ77" s="156"/>
      <c r="OR77" s="156"/>
      <c r="OS77" s="156"/>
      <c r="OT77" s="156"/>
      <c r="OU77" s="156"/>
      <c r="OV77" s="156"/>
      <c r="OW77" s="156"/>
      <c r="OX77" s="156"/>
      <c r="OY77" s="156"/>
      <c r="OZ77" s="156"/>
      <c r="PA77" s="156"/>
      <c r="PB77" s="156"/>
      <c r="PC77" s="156"/>
      <c r="PD77" s="156"/>
      <c r="PE77" s="156"/>
      <c r="PF77" s="156"/>
      <c r="PG77" s="156"/>
      <c r="PH77" s="156"/>
      <c r="PI77" s="156"/>
      <c r="PJ77" s="156"/>
      <c r="PK77" s="156"/>
      <c r="PL77" s="156"/>
      <c r="PM77" s="156"/>
      <c r="PN77" s="156"/>
      <c r="PO77" s="156"/>
      <c r="PP77" s="156"/>
      <c r="PQ77" s="156"/>
      <c r="PR77" s="156"/>
      <c r="PS77" s="156"/>
      <c r="PT77" s="156"/>
      <c r="PU77" s="156"/>
      <c r="PV77" s="156"/>
      <c r="PW77" s="156"/>
      <c r="PX77" s="156"/>
      <c r="PY77" s="156"/>
      <c r="PZ77" s="156"/>
      <c r="QA77" s="156"/>
      <c r="QB77" s="156"/>
      <c r="QC77" s="156"/>
      <c r="QD77" s="156"/>
      <c r="QE77" s="156"/>
      <c r="QF77" s="156"/>
      <c r="QG77" s="156"/>
      <c r="QH77" s="156"/>
      <c r="QI77" s="156"/>
      <c r="QJ77" s="156"/>
      <c r="QK77" s="156"/>
      <c r="QL77" s="156"/>
      <c r="QM77" s="156"/>
      <c r="QN77" s="156"/>
      <c r="QO77" s="156"/>
      <c r="QP77" s="156"/>
      <c r="QQ77" s="156"/>
      <c r="QR77" s="156"/>
      <c r="QS77" s="156"/>
      <c r="QT77" s="156"/>
      <c r="QU77" s="156"/>
      <c r="QV77" s="156"/>
      <c r="QW77" s="156"/>
      <c r="QX77" s="156"/>
      <c r="QY77" s="156"/>
      <c r="QZ77" s="156"/>
      <c r="RA77" s="156"/>
      <c r="RB77" s="156"/>
      <c r="RC77" s="156"/>
      <c r="RD77" s="156"/>
      <c r="RE77" s="156"/>
      <c r="RF77" s="156"/>
      <c r="RG77" s="156"/>
      <c r="RH77" s="156"/>
      <c r="RI77" s="156"/>
      <c r="RJ77" s="156"/>
      <c r="RK77" s="156"/>
      <c r="RL77" s="156"/>
      <c r="RM77" s="156"/>
      <c r="RN77" s="156"/>
      <c r="RO77" s="156"/>
      <c r="RP77" s="156"/>
      <c r="RQ77" s="156"/>
      <c r="RR77" s="156"/>
      <c r="RS77" s="156"/>
      <c r="RT77" s="156"/>
      <c r="RU77" s="156"/>
      <c r="RV77" s="156"/>
      <c r="RW77" s="156"/>
      <c r="RX77" s="156"/>
      <c r="RY77" s="156"/>
      <c r="RZ77" s="156"/>
      <c r="SA77" s="156"/>
      <c r="SB77" s="156"/>
      <c r="SC77" s="156"/>
      <c r="SD77" s="156"/>
      <c r="SE77" s="156"/>
      <c r="SF77" s="156"/>
      <c r="SG77" s="156"/>
      <c r="SH77" s="156"/>
      <c r="SI77" s="156"/>
      <c r="SJ77" s="156"/>
      <c r="SK77" s="156"/>
      <c r="SL77" s="156"/>
      <c r="SM77" s="156"/>
      <c r="SN77" s="156"/>
      <c r="SO77" s="156"/>
      <c r="SP77" s="156"/>
      <c r="SQ77" s="156"/>
      <c r="SR77" s="156"/>
      <c r="SS77" s="156"/>
      <c r="ST77" s="156"/>
      <c r="SU77" s="156"/>
      <c r="SV77" s="156"/>
      <c r="SW77" s="156"/>
      <c r="SX77" s="156"/>
      <c r="SY77" s="156"/>
      <c r="SZ77" s="156"/>
      <c r="TA77" s="156"/>
      <c r="TB77" s="156"/>
      <c r="TC77" s="156"/>
      <c r="TD77" s="156"/>
      <c r="TE77" s="156"/>
      <c r="TF77" s="156"/>
      <c r="TG77" s="156"/>
      <c r="TH77" s="156"/>
      <c r="TI77" s="156"/>
      <c r="TJ77" s="156"/>
      <c r="TK77" s="156"/>
      <c r="TL77" s="156"/>
      <c r="TM77" s="156"/>
      <c r="TN77" s="156"/>
      <c r="TO77" s="156"/>
      <c r="TP77" s="156"/>
      <c r="TQ77" s="156"/>
      <c r="TR77" s="156"/>
      <c r="TS77" s="156"/>
      <c r="TT77" s="156"/>
      <c r="TU77" s="156"/>
      <c r="TV77" s="156"/>
      <c r="TW77" s="156"/>
      <c r="TX77" s="156"/>
      <c r="TY77" s="156"/>
      <c r="TZ77" s="156"/>
      <c r="UA77" s="156"/>
      <c r="UB77" s="156"/>
      <c r="UC77" s="156"/>
      <c r="UD77" s="156"/>
      <c r="UE77" s="156"/>
      <c r="UF77" s="156"/>
      <c r="UG77" s="156"/>
      <c r="UH77" s="156"/>
      <c r="UI77" s="156"/>
      <c r="UJ77" s="156"/>
      <c r="UK77" s="156"/>
      <c r="UL77" s="156"/>
      <c r="UM77" s="156"/>
      <c r="UN77" s="156"/>
      <c r="UO77" s="156"/>
      <c r="UP77" s="156"/>
      <c r="UQ77" s="156"/>
      <c r="UR77" s="156"/>
      <c r="US77" s="156"/>
      <c r="UT77" s="156"/>
      <c r="UU77" s="156"/>
      <c r="UV77" s="156"/>
      <c r="UW77" s="156"/>
      <c r="UX77" s="156"/>
      <c r="UY77" s="156"/>
      <c r="UZ77" s="156"/>
      <c r="VA77" s="156"/>
      <c r="VB77" s="156"/>
      <c r="VC77" s="156"/>
      <c r="VD77" s="156"/>
      <c r="VE77" s="156"/>
      <c r="VF77" s="156"/>
      <c r="VG77" s="156"/>
      <c r="VH77" s="156"/>
      <c r="VI77" s="156"/>
      <c r="VJ77" s="156"/>
      <c r="VK77" s="156"/>
      <c r="VL77" s="156"/>
      <c r="VM77" s="156"/>
      <c r="VN77" s="156"/>
      <c r="VO77" s="156"/>
      <c r="VP77" s="156"/>
      <c r="VQ77" s="156"/>
      <c r="VR77" s="156"/>
      <c r="VS77" s="156"/>
      <c r="VT77" s="156"/>
      <c r="VU77" s="156"/>
      <c r="VV77" s="156"/>
      <c r="VW77" s="156"/>
      <c r="VX77" s="156"/>
      <c r="VY77" s="156"/>
      <c r="VZ77" s="156"/>
      <c r="WA77" s="156"/>
      <c r="WB77" s="156"/>
      <c r="WC77" s="156"/>
      <c r="WD77" s="156"/>
      <c r="WE77" s="156"/>
      <c r="WF77" s="156"/>
      <c r="WG77" s="156"/>
      <c r="WH77" s="156"/>
      <c r="WI77" s="156"/>
      <c r="WJ77" s="156"/>
      <c r="WK77" s="156"/>
      <c r="WL77" s="156"/>
      <c r="WM77" s="156"/>
      <c r="WN77" s="156"/>
      <c r="WO77" s="156"/>
      <c r="WP77" s="156"/>
      <c r="WQ77" s="156"/>
      <c r="WR77" s="156"/>
      <c r="WS77" s="156"/>
      <c r="WT77" s="156"/>
      <c r="WU77" s="156"/>
      <c r="WV77" s="156"/>
      <c r="WW77" s="156"/>
      <c r="WX77" s="156"/>
      <c r="WY77" s="156"/>
      <c r="WZ77" s="156"/>
      <c r="XA77" s="156"/>
      <c r="XB77" s="156"/>
      <c r="XC77" s="156"/>
      <c r="XD77" s="156"/>
      <c r="XE77" s="156"/>
      <c r="XF77" s="156"/>
      <c r="XG77" s="156"/>
      <c r="XH77" s="156"/>
      <c r="XI77" s="156"/>
      <c r="XJ77" s="156"/>
      <c r="XK77" s="156"/>
      <c r="XL77" s="156"/>
      <c r="XM77" s="156"/>
      <c r="XN77" s="156"/>
      <c r="XO77" s="156"/>
      <c r="XP77" s="156"/>
      <c r="XQ77" s="156"/>
      <c r="XR77" s="156"/>
      <c r="XS77" s="156"/>
      <c r="XT77" s="156"/>
      <c r="XU77" s="156"/>
      <c r="XV77" s="156"/>
      <c r="XW77" s="156"/>
      <c r="XX77" s="156"/>
      <c r="XY77" s="156"/>
      <c r="XZ77" s="156"/>
      <c r="YA77" s="156"/>
      <c r="YB77" s="156"/>
      <c r="YC77" s="156"/>
      <c r="YD77" s="156"/>
      <c r="YE77" s="156"/>
      <c r="YF77" s="156"/>
      <c r="YG77" s="156"/>
      <c r="YH77" s="156"/>
      <c r="YI77" s="156"/>
      <c r="YJ77" s="156"/>
      <c r="YK77" s="156"/>
      <c r="YL77" s="156"/>
      <c r="YM77" s="156"/>
      <c r="YN77" s="156"/>
      <c r="YO77" s="156"/>
      <c r="YP77" s="156"/>
      <c r="YQ77" s="156"/>
      <c r="YR77" s="156"/>
      <c r="YS77" s="156"/>
      <c r="YT77" s="156"/>
      <c r="YU77" s="156"/>
      <c r="YV77" s="156"/>
      <c r="YW77" s="156"/>
      <c r="YX77" s="156"/>
      <c r="YY77" s="156"/>
      <c r="YZ77" s="156"/>
      <c r="ZA77" s="156"/>
      <c r="ZB77" s="156"/>
      <c r="ZC77" s="156"/>
      <c r="ZD77" s="156"/>
      <c r="ZE77" s="156"/>
      <c r="ZF77" s="156"/>
      <c r="ZG77" s="156"/>
      <c r="ZH77" s="156"/>
      <c r="ZI77" s="156"/>
      <c r="ZJ77" s="156"/>
      <c r="ZK77" s="156"/>
      <c r="ZL77" s="156"/>
      <c r="ZM77" s="156"/>
      <c r="ZN77" s="156"/>
      <c r="ZO77" s="156"/>
      <c r="ZP77" s="156"/>
      <c r="ZQ77" s="156"/>
      <c r="ZR77" s="156"/>
      <c r="ZS77" s="156"/>
      <c r="ZT77" s="156"/>
      <c r="ZU77" s="156"/>
      <c r="ZV77" s="156"/>
      <c r="ZW77" s="156"/>
      <c r="ZX77" s="156"/>
      <c r="ZY77" s="156"/>
      <c r="ZZ77" s="156"/>
      <c r="AAA77" s="156"/>
      <c r="AAB77" s="156"/>
      <c r="AAC77" s="156"/>
      <c r="AAD77" s="156"/>
      <c r="AAE77" s="156"/>
      <c r="AAF77" s="156"/>
      <c r="AAG77" s="156"/>
      <c r="AAH77" s="156"/>
      <c r="AAI77" s="156"/>
      <c r="AAJ77" s="156"/>
      <c r="AAK77" s="156"/>
      <c r="AAL77" s="156"/>
      <c r="AAM77" s="156"/>
      <c r="AAN77" s="156"/>
      <c r="AAO77" s="156"/>
      <c r="AAP77" s="156"/>
      <c r="AAQ77" s="156"/>
      <c r="AAR77" s="156"/>
      <c r="AAS77" s="156"/>
      <c r="AAT77" s="156"/>
      <c r="AAU77" s="156"/>
      <c r="AAV77" s="156"/>
      <c r="AAW77" s="156"/>
      <c r="AAX77" s="156"/>
      <c r="AAY77" s="156"/>
      <c r="AAZ77" s="156"/>
      <c r="ABA77" s="156"/>
      <c r="ABB77" s="156"/>
      <c r="ABC77" s="156"/>
      <c r="ABD77" s="156"/>
      <c r="ABE77" s="156"/>
      <c r="ABF77" s="156"/>
      <c r="ABG77" s="156"/>
      <c r="ABH77" s="156"/>
      <c r="ABI77" s="156"/>
      <c r="ABJ77" s="156"/>
      <c r="ABK77" s="156"/>
      <c r="ABL77" s="156"/>
      <c r="ABM77" s="156"/>
      <c r="ABN77" s="156"/>
      <c r="ABO77" s="156"/>
      <c r="ABP77" s="156"/>
      <c r="ABQ77" s="156"/>
      <c r="ABR77" s="156"/>
      <c r="ABS77" s="156"/>
      <c r="ABT77" s="156"/>
      <c r="ABU77" s="156"/>
      <c r="ABV77" s="156"/>
      <c r="ABW77" s="156"/>
      <c r="ABX77" s="156"/>
      <c r="ABY77" s="156"/>
      <c r="ABZ77" s="156"/>
      <c r="ACA77" s="156"/>
      <c r="ACB77" s="156"/>
      <c r="ACC77" s="156"/>
      <c r="ACD77" s="156"/>
      <c r="ACE77" s="156"/>
      <c r="ACF77" s="156"/>
      <c r="ACG77" s="156"/>
      <c r="ACH77" s="156"/>
      <c r="ACI77" s="156"/>
      <c r="ACJ77" s="156"/>
      <c r="ACK77" s="156"/>
      <c r="ACL77" s="156"/>
      <c r="ACM77" s="156"/>
      <c r="ACN77" s="156"/>
      <c r="ACO77" s="156"/>
      <c r="ACP77" s="156"/>
      <c r="ACQ77" s="156"/>
      <c r="ACR77" s="156"/>
      <c r="ACS77" s="156"/>
      <c r="ACT77" s="156"/>
      <c r="ACU77" s="156"/>
      <c r="ACV77" s="156"/>
      <c r="ACW77" s="156"/>
      <c r="ACX77" s="156"/>
      <c r="ACY77" s="156"/>
      <c r="ACZ77" s="156"/>
      <c r="ADA77" s="156"/>
      <c r="ADB77" s="156"/>
      <c r="ADC77" s="156"/>
      <c r="ADD77" s="156"/>
      <c r="ADE77" s="156"/>
      <c r="ADF77" s="156"/>
      <c r="ADG77" s="156"/>
      <c r="ADH77" s="156"/>
      <c r="ADI77" s="156"/>
      <c r="ADJ77" s="156"/>
      <c r="ADK77" s="156"/>
      <c r="ADL77" s="156"/>
      <c r="ADM77" s="156"/>
      <c r="ADN77" s="156"/>
      <c r="ADO77" s="156"/>
      <c r="ADP77" s="156"/>
      <c r="ADQ77" s="156"/>
      <c r="ADR77" s="156"/>
      <c r="ADS77" s="156"/>
      <c r="ADT77" s="156"/>
      <c r="ADU77" s="156"/>
      <c r="ADV77" s="156"/>
      <c r="ADW77" s="156"/>
      <c r="ADX77" s="156"/>
      <c r="ADY77" s="156"/>
      <c r="ADZ77" s="156"/>
      <c r="AEA77" s="156"/>
      <c r="AEB77" s="156"/>
      <c r="AEC77" s="156"/>
      <c r="AED77" s="156"/>
      <c r="AEE77" s="156"/>
      <c r="AEF77" s="156"/>
      <c r="AEG77" s="156"/>
      <c r="AEH77" s="156"/>
      <c r="AEI77" s="156"/>
      <c r="AEJ77" s="156"/>
      <c r="AEK77" s="156"/>
      <c r="AEL77" s="156"/>
      <c r="AEM77" s="156"/>
      <c r="AEN77" s="156"/>
      <c r="AEO77" s="156"/>
      <c r="AEP77" s="156"/>
      <c r="AEQ77" s="156"/>
      <c r="AER77" s="156"/>
      <c r="AES77" s="156"/>
      <c r="AET77" s="156"/>
      <c r="AEU77" s="156"/>
      <c r="AEV77" s="156"/>
      <c r="AEW77" s="156"/>
      <c r="AEX77" s="156"/>
      <c r="AEY77" s="156"/>
      <c r="AEZ77" s="156"/>
      <c r="AFA77" s="156"/>
      <c r="AFB77" s="156"/>
      <c r="AFC77" s="156"/>
      <c r="AFD77" s="156"/>
      <c r="AFE77" s="156"/>
      <c r="AFF77" s="156"/>
      <c r="AFG77" s="156"/>
      <c r="AFH77" s="156"/>
      <c r="AFI77" s="156"/>
      <c r="AFJ77" s="156"/>
      <c r="AFK77" s="156"/>
      <c r="AFL77" s="156"/>
      <c r="AFM77" s="156"/>
      <c r="AFN77" s="156"/>
      <c r="AFO77" s="156"/>
      <c r="AFP77" s="156"/>
      <c r="AFQ77" s="156"/>
      <c r="AFR77" s="156"/>
      <c r="AFS77" s="156"/>
      <c r="AFT77" s="156"/>
      <c r="AFU77" s="156"/>
      <c r="AFV77" s="156"/>
      <c r="AFW77" s="156"/>
      <c r="AFX77" s="156"/>
      <c r="AFY77" s="156"/>
      <c r="AFZ77" s="156"/>
      <c r="AGA77" s="156"/>
      <c r="AGB77" s="156"/>
      <c r="AGC77" s="156"/>
      <c r="AGD77" s="156"/>
      <c r="AGE77" s="156"/>
      <c r="AGF77" s="156"/>
      <c r="AGG77" s="156"/>
      <c r="AGH77" s="156"/>
      <c r="AGI77" s="156"/>
      <c r="AGJ77" s="156"/>
      <c r="AGK77" s="156"/>
      <c r="AGL77" s="156"/>
      <c r="AGM77" s="156"/>
      <c r="AGN77" s="156"/>
      <c r="AGO77" s="156"/>
      <c r="AGP77" s="156"/>
      <c r="AGQ77" s="156"/>
      <c r="AGR77" s="156"/>
      <c r="AGS77" s="156"/>
      <c r="AGT77" s="156"/>
      <c r="AGU77" s="156"/>
      <c r="AGV77" s="156"/>
      <c r="AGW77" s="156"/>
      <c r="AGX77" s="156"/>
      <c r="AGY77" s="156"/>
      <c r="AGZ77" s="156"/>
      <c r="AHA77" s="156"/>
      <c r="AHB77" s="156"/>
      <c r="AHC77" s="156"/>
      <c r="AHD77" s="156"/>
      <c r="AHE77" s="156"/>
      <c r="AHF77" s="156"/>
      <c r="AHG77" s="156"/>
      <c r="AHH77" s="156"/>
      <c r="AHI77" s="156"/>
      <c r="AHJ77" s="156"/>
      <c r="AHK77" s="156"/>
      <c r="AHL77" s="156"/>
      <c r="AHM77" s="156"/>
      <c r="AHN77" s="156"/>
      <c r="AHO77" s="156"/>
      <c r="AHP77" s="156"/>
      <c r="AHQ77" s="156"/>
      <c r="AHR77" s="156"/>
      <c r="AHS77" s="156"/>
      <c r="AHT77" s="156"/>
      <c r="AHU77" s="156"/>
      <c r="AHV77" s="156"/>
      <c r="AHW77" s="156"/>
      <c r="AHX77" s="156"/>
      <c r="AHY77" s="156"/>
      <c r="AHZ77" s="156"/>
      <c r="AIA77" s="156"/>
      <c r="AIB77" s="156"/>
      <c r="AIC77" s="156"/>
      <c r="AID77" s="156"/>
      <c r="AIE77" s="156"/>
      <c r="AIF77" s="156"/>
      <c r="AIG77" s="156"/>
      <c r="AIH77" s="156"/>
      <c r="AII77" s="156"/>
      <c r="AIJ77" s="156"/>
      <c r="AIK77" s="156"/>
      <c r="AIL77" s="156"/>
      <c r="AIM77" s="156"/>
      <c r="AIN77" s="156"/>
      <c r="AIO77" s="156"/>
      <c r="AIP77" s="156"/>
      <c r="AIQ77" s="156"/>
      <c r="AIR77" s="156"/>
      <c r="AIS77" s="156"/>
      <c r="AIT77" s="156"/>
      <c r="AIU77" s="156"/>
      <c r="AIV77" s="156"/>
      <c r="AIW77" s="156"/>
      <c r="AIX77" s="156"/>
      <c r="AIY77" s="156"/>
      <c r="AIZ77" s="156"/>
      <c r="AJA77" s="156"/>
      <c r="AJB77" s="156"/>
      <c r="AJC77" s="156"/>
      <c r="AJD77" s="156"/>
      <c r="AJE77" s="156"/>
      <c r="AJF77" s="156"/>
      <c r="AJG77" s="156"/>
      <c r="AJH77" s="156"/>
      <c r="AJI77" s="156"/>
      <c r="AJJ77" s="156"/>
      <c r="AJK77" s="156"/>
      <c r="AJL77" s="156"/>
      <c r="AJM77" s="156"/>
      <c r="AJN77" s="156"/>
      <c r="AJO77" s="156"/>
      <c r="AJP77" s="156"/>
      <c r="AJQ77" s="156"/>
      <c r="AJR77" s="156"/>
      <c r="AJS77" s="156"/>
      <c r="AJT77" s="156"/>
      <c r="AJU77" s="156"/>
      <c r="AJV77" s="156"/>
      <c r="AJW77" s="156"/>
      <c r="AJX77" s="156"/>
      <c r="AJY77" s="156"/>
      <c r="AJZ77" s="156"/>
      <c r="AKA77" s="156"/>
      <c r="AKB77" s="156"/>
      <c r="AKC77" s="156"/>
      <c r="AKD77" s="156"/>
      <c r="AKE77" s="156"/>
      <c r="AKF77" s="156"/>
      <c r="AKG77" s="156"/>
      <c r="AKH77" s="156"/>
      <c r="AKI77" s="156"/>
      <c r="AKJ77" s="156"/>
      <c r="AKK77" s="156"/>
      <c r="AKL77" s="156"/>
      <c r="AKM77" s="156"/>
      <c r="AKN77" s="156"/>
      <c r="AKO77" s="156"/>
      <c r="AKP77" s="156"/>
      <c r="AKQ77" s="156"/>
      <c r="AKR77" s="156"/>
      <c r="AKS77" s="156"/>
      <c r="AKT77" s="156"/>
      <c r="AKU77" s="156"/>
      <c r="AKV77" s="156"/>
      <c r="AKW77" s="156"/>
      <c r="AKX77" s="156"/>
      <c r="AKY77" s="156"/>
      <c r="AKZ77" s="156"/>
      <c r="ALA77" s="156"/>
      <c r="ALB77" s="156"/>
      <c r="ALC77" s="156"/>
      <c r="ALD77" s="156"/>
      <c r="ALE77" s="156"/>
      <c r="ALF77" s="156"/>
      <c r="ALG77" s="156"/>
      <c r="ALH77" s="156"/>
      <c r="ALI77" s="156"/>
      <c r="ALJ77" s="156"/>
      <c r="ALK77" s="156"/>
      <c r="ALL77" s="156"/>
      <c r="ALM77" s="156"/>
      <c r="ALN77" s="156"/>
      <c r="ALO77" s="156"/>
      <c r="ALP77" s="156"/>
      <c r="ALQ77" s="156"/>
      <c r="ALR77" s="156"/>
      <c r="ALS77" s="156"/>
      <c r="ALT77" s="156"/>
      <c r="ALU77" s="156"/>
      <c r="ALV77" s="156"/>
      <c r="ALW77" s="156"/>
      <c r="ALX77" s="156"/>
      <c r="ALY77" s="156"/>
      <c r="ALZ77" s="156"/>
      <c r="AMA77" s="156"/>
      <c r="AMB77" s="156"/>
      <c r="AMC77" s="156"/>
      <c r="AMD77" s="156"/>
      <c r="AME77" s="156"/>
      <c r="AMF77" s="156"/>
      <c r="AMG77" s="156"/>
      <c r="AMH77" s="156"/>
      <c r="AMI77" s="156"/>
      <c r="AMJ77" s="156"/>
      <c r="AMK77" s="156"/>
      <c r="AML77" s="156"/>
      <c r="AMM77" s="156"/>
      <c r="AMN77" s="156"/>
      <c r="AMO77" s="156"/>
      <c r="AMP77" s="156"/>
      <c r="AMQ77" s="156"/>
      <c r="AMR77" s="156"/>
      <c r="AMS77" s="156"/>
      <c r="AMT77" s="156"/>
      <c r="AMU77" s="156"/>
      <c r="AMV77" s="156"/>
      <c r="AMW77" s="156"/>
      <c r="AMX77" s="156"/>
      <c r="AMY77" s="156"/>
      <c r="AMZ77" s="156"/>
      <c r="ANA77" s="156"/>
      <c r="ANB77" s="156"/>
      <c r="ANC77" s="156"/>
      <c r="AND77" s="156"/>
      <c r="ANE77" s="156"/>
      <c r="ANF77" s="156"/>
      <c r="ANG77" s="156"/>
      <c r="ANH77" s="156"/>
      <c r="ANI77" s="156"/>
      <c r="ANJ77" s="156"/>
      <c r="ANK77" s="156"/>
      <c r="ANL77" s="156"/>
      <c r="ANM77" s="156"/>
      <c r="ANN77" s="156"/>
      <c r="ANO77" s="156"/>
      <c r="ANP77" s="156"/>
      <c r="ANQ77" s="156"/>
      <c r="ANR77" s="156"/>
      <c r="ANS77" s="156"/>
      <c r="ANT77" s="156"/>
      <c r="ANU77" s="156"/>
      <c r="ANV77" s="156"/>
      <c r="ANW77" s="156"/>
      <c r="ANX77" s="156"/>
      <c r="ANY77" s="156"/>
      <c r="ANZ77" s="156"/>
      <c r="AOA77" s="156"/>
      <c r="AOB77" s="156"/>
      <c r="AOC77" s="156"/>
      <c r="AOD77" s="156"/>
      <c r="AOE77" s="156"/>
      <c r="AOF77" s="156"/>
      <c r="AOG77" s="156"/>
      <c r="AOH77" s="156"/>
      <c r="AOI77" s="156"/>
      <c r="AOJ77" s="156"/>
      <c r="AOK77" s="156"/>
      <c r="AOL77" s="156"/>
      <c r="AOM77" s="156"/>
      <c r="AON77" s="156"/>
      <c r="AOO77" s="156"/>
      <c r="AOP77" s="156"/>
      <c r="AOQ77" s="156"/>
      <c r="AOR77" s="156"/>
      <c r="AOS77" s="156"/>
      <c r="AOT77" s="156"/>
      <c r="AOU77" s="156"/>
      <c r="AOV77" s="156"/>
      <c r="AOW77" s="156"/>
      <c r="AOX77" s="156"/>
      <c r="AOY77" s="156"/>
      <c r="AOZ77" s="156"/>
      <c r="APA77" s="156"/>
      <c r="APB77" s="156"/>
      <c r="APC77" s="156"/>
      <c r="APD77" s="156"/>
      <c r="APE77" s="156"/>
      <c r="APF77" s="156"/>
      <c r="APG77" s="156"/>
      <c r="APH77" s="156"/>
      <c r="API77" s="156"/>
      <c r="APJ77" s="156"/>
      <c r="APK77" s="156"/>
      <c r="APL77" s="156"/>
      <c r="APM77" s="156"/>
      <c r="APN77" s="156"/>
      <c r="APO77" s="156"/>
      <c r="APP77" s="156"/>
      <c r="APQ77" s="156"/>
      <c r="APR77" s="156"/>
      <c r="APS77" s="156"/>
      <c r="APT77" s="156"/>
      <c r="APU77" s="156"/>
      <c r="APV77" s="156"/>
      <c r="APW77" s="156"/>
      <c r="APX77" s="156"/>
      <c r="APY77" s="156"/>
      <c r="APZ77" s="156"/>
      <c r="AQA77" s="156"/>
      <c r="AQB77" s="156"/>
      <c r="AQC77" s="156"/>
      <c r="AQD77" s="156"/>
      <c r="AQE77" s="156"/>
      <c r="AQF77" s="156"/>
      <c r="AQG77" s="156"/>
      <c r="AQH77" s="156"/>
      <c r="AQI77" s="156"/>
      <c r="AQJ77" s="156"/>
      <c r="AQK77" s="156"/>
      <c r="AQL77" s="156"/>
      <c r="AQM77" s="156"/>
      <c r="AQN77" s="156"/>
      <c r="AQO77" s="156"/>
      <c r="AQP77" s="156"/>
      <c r="AQQ77" s="156"/>
      <c r="AQR77" s="156"/>
      <c r="AQS77" s="156"/>
      <c r="AQT77" s="156"/>
      <c r="AQU77" s="156"/>
      <c r="AQV77" s="156"/>
      <c r="AQW77" s="156"/>
      <c r="AQX77" s="156"/>
      <c r="AQY77" s="156"/>
      <c r="AQZ77" s="156"/>
      <c r="ARA77" s="156"/>
      <c r="ARB77" s="156"/>
      <c r="ARC77" s="156"/>
      <c r="ARD77" s="156"/>
      <c r="ARE77" s="156"/>
      <c r="ARF77" s="156"/>
      <c r="ARG77" s="156"/>
      <c r="ARH77" s="156"/>
      <c r="ARI77" s="156"/>
      <c r="ARJ77" s="156"/>
      <c r="ARK77" s="156"/>
      <c r="ARL77" s="156"/>
      <c r="ARM77" s="156"/>
      <c r="ARN77" s="156"/>
      <c r="ARO77" s="156"/>
      <c r="ARP77" s="156"/>
      <c r="ARQ77" s="156"/>
      <c r="ARR77" s="156"/>
      <c r="ARS77" s="156"/>
      <c r="ART77" s="156"/>
      <c r="ARU77" s="156"/>
      <c r="ARV77" s="156"/>
      <c r="ARW77" s="156"/>
      <c r="ARX77" s="156"/>
      <c r="ARY77" s="156"/>
      <c r="ARZ77" s="156"/>
      <c r="ASA77" s="156"/>
      <c r="ASB77" s="156"/>
      <c r="ASC77" s="156"/>
      <c r="ASD77" s="156"/>
      <c r="ASE77" s="156"/>
      <c r="ASF77" s="156"/>
      <c r="ASG77" s="156"/>
      <c r="ASH77" s="156"/>
      <c r="ASI77" s="156"/>
      <c r="ASJ77" s="156"/>
      <c r="ASK77" s="156"/>
      <c r="ASL77" s="156"/>
      <c r="ASM77" s="156"/>
      <c r="ASN77" s="156"/>
      <c r="ASO77" s="156"/>
      <c r="ASP77" s="156"/>
      <c r="ASQ77" s="156"/>
      <c r="ASR77" s="156"/>
      <c r="ASS77" s="156"/>
      <c r="AST77" s="156"/>
      <c r="ASU77" s="156"/>
      <c r="ASV77" s="156"/>
      <c r="ASW77" s="156"/>
      <c r="ASX77" s="156"/>
      <c r="ASY77" s="156"/>
      <c r="ASZ77" s="156"/>
      <c r="ATA77" s="156"/>
      <c r="ATB77" s="156"/>
      <c r="ATC77" s="156"/>
      <c r="ATD77" s="156"/>
      <c r="ATE77" s="156"/>
      <c r="ATF77" s="156"/>
      <c r="ATG77" s="156"/>
      <c r="ATH77" s="156"/>
      <c r="ATI77" s="156"/>
      <c r="ATJ77" s="156"/>
      <c r="ATK77" s="156"/>
      <c r="ATL77" s="156"/>
      <c r="ATM77" s="156"/>
      <c r="ATN77" s="156"/>
      <c r="ATO77" s="156"/>
      <c r="ATP77" s="156"/>
      <c r="ATQ77" s="156"/>
      <c r="ATR77" s="156"/>
      <c r="ATS77" s="156"/>
      <c r="ATT77" s="156"/>
      <c r="ATU77" s="156"/>
      <c r="ATV77" s="156"/>
      <c r="ATW77" s="156"/>
      <c r="ATX77" s="156"/>
      <c r="ATY77" s="156"/>
      <c r="ATZ77" s="156"/>
      <c r="AUA77" s="156"/>
      <c r="AUB77" s="156"/>
      <c r="AUC77" s="156"/>
      <c r="AUD77" s="156"/>
      <c r="AUE77" s="156"/>
      <c r="AUF77" s="156"/>
      <c r="AUG77" s="156"/>
      <c r="AUH77" s="156"/>
      <c r="AUI77" s="156"/>
      <c r="AUJ77" s="156"/>
      <c r="AUK77" s="156"/>
      <c r="AUL77" s="156"/>
      <c r="AUM77" s="156"/>
      <c r="AUN77" s="156"/>
      <c r="AUO77" s="156"/>
      <c r="AUP77" s="156"/>
      <c r="AUQ77" s="156"/>
      <c r="AUR77" s="156"/>
      <c r="AUS77" s="156"/>
      <c r="AUT77" s="156"/>
      <c r="AUU77" s="156"/>
      <c r="AUV77" s="156"/>
      <c r="AUW77" s="156"/>
      <c r="AUX77" s="156"/>
      <c r="AUY77" s="156"/>
      <c r="AUZ77" s="156"/>
      <c r="AVA77" s="156"/>
      <c r="AVB77" s="156"/>
      <c r="AVC77" s="156"/>
      <c r="AVD77" s="156"/>
      <c r="AVE77" s="156"/>
      <c r="AVF77" s="156"/>
      <c r="AVG77" s="156"/>
      <c r="AVH77" s="156"/>
      <c r="AVI77" s="156"/>
      <c r="AVJ77" s="156"/>
      <c r="AVK77" s="156"/>
      <c r="AVL77" s="156"/>
      <c r="AVM77" s="156"/>
      <c r="AVN77" s="156"/>
      <c r="AVO77" s="156"/>
      <c r="AVP77" s="156"/>
      <c r="AVQ77" s="156"/>
      <c r="AVR77" s="156"/>
      <c r="AVS77" s="156"/>
      <c r="AVT77" s="156"/>
      <c r="AVU77" s="156"/>
      <c r="AVV77" s="156"/>
      <c r="AVW77" s="156"/>
      <c r="AVX77" s="156"/>
      <c r="AVY77" s="156"/>
      <c r="AVZ77" s="156"/>
      <c r="AWA77" s="156"/>
      <c r="AWB77" s="156"/>
      <c r="AWC77" s="156"/>
      <c r="AWD77" s="156"/>
      <c r="AWE77" s="156"/>
      <c r="AWF77" s="156"/>
      <c r="AWG77" s="156"/>
      <c r="AWH77" s="156"/>
      <c r="AWI77" s="156"/>
      <c r="AWJ77" s="156"/>
      <c r="AWK77" s="156"/>
      <c r="AWL77" s="156"/>
      <c r="AWM77" s="156"/>
      <c r="AWN77" s="156"/>
      <c r="AWO77" s="156"/>
      <c r="AWP77" s="156"/>
      <c r="AWQ77" s="156"/>
      <c r="AWR77" s="156"/>
      <c r="AWS77" s="156"/>
      <c r="AWT77" s="156"/>
      <c r="AWU77" s="156"/>
      <c r="AWV77" s="156"/>
      <c r="AWW77" s="156"/>
      <c r="AWX77" s="156"/>
      <c r="AWY77" s="156"/>
      <c r="AWZ77" s="156"/>
      <c r="AXA77" s="156"/>
      <c r="AXB77" s="156"/>
      <c r="AXC77" s="156"/>
      <c r="AXD77" s="156"/>
      <c r="AXE77" s="156"/>
      <c r="AXF77" s="156"/>
      <c r="AXG77" s="156"/>
      <c r="AXH77" s="156"/>
      <c r="AXI77" s="156"/>
      <c r="AXJ77" s="156"/>
      <c r="AXK77" s="156"/>
      <c r="AXL77" s="156"/>
      <c r="AXM77" s="156"/>
      <c r="AXN77" s="156"/>
      <c r="AXO77" s="156"/>
      <c r="AXP77" s="156"/>
      <c r="AXQ77" s="156"/>
      <c r="AXR77" s="156"/>
      <c r="AXS77" s="156"/>
      <c r="AXT77" s="156"/>
      <c r="AXU77" s="156"/>
      <c r="AXV77" s="156"/>
      <c r="AXW77" s="156"/>
      <c r="AXX77" s="156"/>
      <c r="AXY77" s="156"/>
      <c r="AXZ77" s="156"/>
      <c r="AYA77" s="156"/>
      <c r="AYB77" s="156"/>
      <c r="AYC77" s="156"/>
      <c r="AYD77" s="156"/>
      <c r="AYE77" s="156"/>
      <c r="AYF77" s="156"/>
      <c r="AYG77" s="156"/>
      <c r="AYH77" s="156"/>
      <c r="AYI77" s="156"/>
      <c r="AYJ77" s="156"/>
      <c r="AYK77" s="156"/>
      <c r="AYL77" s="156"/>
      <c r="AYM77" s="156"/>
      <c r="AYN77" s="156"/>
      <c r="AYO77" s="156"/>
      <c r="AYP77" s="156"/>
      <c r="AYQ77" s="156"/>
      <c r="AYR77" s="156"/>
      <c r="AYS77" s="156"/>
      <c r="AYT77" s="156"/>
      <c r="AYU77" s="156"/>
      <c r="AYV77" s="156"/>
      <c r="AYW77" s="156"/>
      <c r="AYX77" s="156"/>
      <c r="AYY77" s="156"/>
      <c r="AYZ77" s="156"/>
      <c r="AZA77" s="156"/>
      <c r="AZB77" s="156"/>
      <c r="AZC77" s="156"/>
      <c r="AZD77" s="156"/>
      <c r="AZE77" s="156"/>
      <c r="AZF77" s="156"/>
      <c r="AZG77" s="156"/>
      <c r="AZH77" s="156"/>
      <c r="AZI77" s="156"/>
      <c r="AZJ77" s="156"/>
      <c r="AZK77" s="156"/>
      <c r="AZL77" s="156"/>
      <c r="AZM77" s="156"/>
      <c r="AZN77" s="156"/>
      <c r="AZO77" s="156"/>
      <c r="AZP77" s="156"/>
      <c r="AZQ77" s="156"/>
      <c r="AZR77" s="156"/>
      <c r="AZS77" s="156"/>
      <c r="AZT77" s="156"/>
      <c r="AZU77" s="156"/>
      <c r="AZV77" s="156"/>
      <c r="AZW77" s="156"/>
      <c r="AZX77" s="156"/>
      <c r="AZY77" s="156"/>
      <c r="AZZ77" s="156"/>
      <c r="BAA77" s="156"/>
      <c r="BAB77" s="156"/>
      <c r="BAC77" s="156"/>
      <c r="BAD77" s="156"/>
      <c r="BAE77" s="156"/>
      <c r="BAF77" s="156"/>
      <c r="BAG77" s="156"/>
      <c r="BAH77" s="156"/>
      <c r="BAI77" s="156"/>
      <c r="BAJ77" s="156"/>
      <c r="BAK77" s="156"/>
      <c r="BAL77" s="156"/>
      <c r="BAM77" s="156"/>
      <c r="BAN77" s="156"/>
      <c r="BAO77" s="156"/>
      <c r="BAP77" s="156"/>
      <c r="BAQ77" s="156"/>
      <c r="BAR77" s="156"/>
      <c r="BAS77" s="156"/>
      <c r="BAT77" s="156"/>
      <c r="BAU77" s="156"/>
      <c r="BAV77" s="156"/>
      <c r="BAW77" s="156"/>
      <c r="BAX77" s="156"/>
      <c r="BAY77" s="156"/>
      <c r="BAZ77" s="156"/>
      <c r="BBA77" s="156"/>
      <c r="BBB77" s="156"/>
      <c r="BBC77" s="156"/>
      <c r="BBD77" s="156"/>
      <c r="BBE77" s="156"/>
      <c r="BBF77" s="156"/>
      <c r="BBG77" s="156"/>
      <c r="BBH77" s="156"/>
      <c r="BBI77" s="156"/>
      <c r="BBJ77" s="156"/>
      <c r="BBK77" s="156"/>
      <c r="BBL77" s="156"/>
      <c r="BBM77" s="156"/>
      <c r="BBN77" s="156"/>
      <c r="BBO77" s="156"/>
      <c r="BBP77" s="156"/>
      <c r="BBQ77" s="156"/>
      <c r="BBR77" s="156"/>
      <c r="BBS77" s="156"/>
      <c r="BBT77" s="156"/>
      <c r="BBU77" s="156"/>
      <c r="BBV77" s="156"/>
      <c r="BBW77" s="156"/>
      <c r="BBX77" s="156"/>
      <c r="BBY77" s="156"/>
      <c r="BBZ77" s="156"/>
      <c r="BCA77" s="156"/>
      <c r="BCB77" s="156"/>
      <c r="BCC77" s="156"/>
      <c r="BCD77" s="156"/>
      <c r="BCE77" s="156"/>
      <c r="BCF77" s="156"/>
      <c r="BCG77" s="156"/>
      <c r="BCH77" s="156"/>
      <c r="BCI77" s="156"/>
      <c r="BCJ77" s="156"/>
      <c r="BCK77" s="156"/>
      <c r="BCL77" s="156"/>
      <c r="BCM77" s="156"/>
      <c r="BCN77" s="156"/>
      <c r="BCO77" s="156"/>
      <c r="BCP77" s="156"/>
      <c r="BCQ77" s="156"/>
      <c r="BCR77" s="156"/>
      <c r="BCS77" s="156"/>
      <c r="BCT77" s="156"/>
      <c r="BCU77" s="156"/>
      <c r="BCV77" s="156"/>
      <c r="BCW77" s="156"/>
      <c r="BCX77" s="156"/>
      <c r="BCY77" s="156"/>
      <c r="BCZ77" s="156"/>
      <c r="BDA77" s="156"/>
      <c r="BDB77" s="156"/>
      <c r="BDC77" s="156"/>
      <c r="BDD77" s="156"/>
      <c r="BDE77" s="156"/>
      <c r="BDF77" s="156"/>
      <c r="BDG77" s="156"/>
      <c r="BDH77" s="156"/>
      <c r="BDI77" s="156"/>
      <c r="BDJ77" s="156"/>
      <c r="BDK77" s="156"/>
      <c r="BDL77" s="156"/>
      <c r="BDM77" s="156"/>
      <c r="BDN77" s="156"/>
      <c r="BDO77" s="156"/>
      <c r="BDP77" s="156"/>
      <c r="BDQ77" s="156"/>
      <c r="BDR77" s="156"/>
      <c r="BDS77" s="156"/>
      <c r="BDT77" s="156"/>
      <c r="BDU77" s="156"/>
      <c r="BDV77" s="156"/>
      <c r="BDW77" s="156"/>
      <c r="BDX77" s="156"/>
      <c r="BDY77" s="156"/>
      <c r="BDZ77" s="156"/>
      <c r="BEA77" s="156"/>
      <c r="BEB77" s="156"/>
      <c r="BEC77" s="156"/>
      <c r="BED77" s="156"/>
      <c r="BEE77" s="156"/>
      <c r="BEF77" s="156"/>
      <c r="BEG77" s="156"/>
      <c r="BEH77" s="156"/>
      <c r="BEI77" s="156"/>
      <c r="BEJ77" s="156"/>
      <c r="BEK77" s="156"/>
      <c r="BEL77" s="156"/>
      <c r="BEM77" s="156"/>
      <c r="BEN77" s="156"/>
      <c r="BEO77" s="156"/>
      <c r="BEP77" s="156"/>
      <c r="BEQ77" s="156"/>
      <c r="BER77" s="156"/>
      <c r="BES77" s="156"/>
      <c r="BET77" s="156"/>
      <c r="BEU77" s="156"/>
      <c r="BEV77" s="156"/>
      <c r="BEW77" s="156"/>
      <c r="BEX77" s="156"/>
      <c r="BEY77" s="156"/>
      <c r="BEZ77" s="156"/>
      <c r="BFA77" s="156"/>
      <c r="BFB77" s="156"/>
      <c r="BFC77" s="156"/>
      <c r="BFD77" s="156"/>
      <c r="BFE77" s="156"/>
      <c r="BFF77" s="156"/>
      <c r="BFG77" s="156"/>
      <c r="BFH77" s="156"/>
      <c r="BFI77" s="156"/>
      <c r="BFJ77" s="156"/>
      <c r="BFK77" s="156"/>
      <c r="BFL77" s="156"/>
      <c r="BFM77" s="156"/>
      <c r="BFN77" s="156"/>
      <c r="BFO77" s="156"/>
      <c r="BFP77" s="156"/>
      <c r="BFQ77" s="156"/>
      <c r="BFR77" s="156"/>
      <c r="BFS77" s="156"/>
      <c r="BFT77" s="156"/>
      <c r="BFU77" s="156"/>
      <c r="BFV77" s="156"/>
      <c r="BFW77" s="156"/>
      <c r="BFX77" s="156"/>
      <c r="BFY77" s="156"/>
      <c r="BFZ77" s="156"/>
      <c r="BGA77" s="156"/>
      <c r="BGB77" s="156"/>
      <c r="BGC77" s="156"/>
      <c r="BGD77" s="156"/>
      <c r="BGE77" s="156"/>
      <c r="BGF77" s="156"/>
      <c r="BGG77" s="156"/>
      <c r="BGH77" s="156"/>
      <c r="BGI77" s="156"/>
      <c r="BGJ77" s="156"/>
      <c r="BGK77" s="156"/>
      <c r="BGL77" s="156"/>
      <c r="BGM77" s="156"/>
      <c r="BGN77" s="156"/>
      <c r="BGO77" s="156"/>
      <c r="BGP77" s="156"/>
      <c r="BGQ77" s="156"/>
      <c r="BGR77" s="156"/>
      <c r="BGS77" s="156"/>
      <c r="BGT77" s="156"/>
      <c r="BGU77" s="156"/>
      <c r="BGV77" s="156"/>
      <c r="BGW77" s="156"/>
      <c r="BGX77" s="156"/>
      <c r="BGY77" s="156"/>
      <c r="BGZ77" s="156"/>
      <c r="BHA77" s="156"/>
      <c r="BHB77" s="156"/>
      <c r="BHC77" s="156"/>
      <c r="BHD77" s="156"/>
      <c r="BHE77" s="156"/>
      <c r="BHF77" s="156"/>
      <c r="BHG77" s="156"/>
      <c r="BHH77" s="156"/>
      <c r="BHI77" s="156"/>
      <c r="BHJ77" s="156"/>
      <c r="BHK77" s="156"/>
      <c r="BHL77" s="156"/>
      <c r="BHM77" s="156"/>
      <c r="BHN77" s="156"/>
      <c r="BHO77" s="156"/>
      <c r="BHP77" s="156"/>
      <c r="BHQ77" s="156"/>
      <c r="BHR77" s="156"/>
      <c r="BHS77" s="156"/>
      <c r="BHT77" s="156"/>
      <c r="BHU77" s="156"/>
      <c r="BHV77" s="156"/>
      <c r="BHW77" s="156"/>
      <c r="BHX77" s="156"/>
      <c r="BHY77" s="156"/>
      <c r="BHZ77" s="156"/>
      <c r="BIA77" s="156"/>
      <c r="BIB77" s="156"/>
      <c r="BIC77" s="156"/>
      <c r="BID77" s="156"/>
      <c r="BIE77" s="156"/>
      <c r="BIF77" s="156"/>
      <c r="BIG77" s="156"/>
      <c r="BIH77" s="156"/>
      <c r="BII77" s="156"/>
      <c r="BIJ77" s="156"/>
      <c r="BIK77" s="156"/>
      <c r="BIL77" s="156"/>
      <c r="BIM77" s="156"/>
      <c r="BIN77" s="156"/>
      <c r="BIO77" s="156"/>
      <c r="BIP77" s="156"/>
      <c r="BIQ77" s="156"/>
      <c r="BIR77" s="156"/>
      <c r="BIS77" s="156"/>
      <c r="BIT77" s="156"/>
      <c r="BIU77" s="156"/>
      <c r="BIV77" s="156"/>
      <c r="BIW77" s="156"/>
      <c r="BIX77" s="156"/>
      <c r="BIY77" s="156"/>
      <c r="BIZ77" s="156"/>
      <c r="BJA77" s="156"/>
      <c r="BJB77" s="156"/>
      <c r="BJC77" s="156"/>
      <c r="BJD77" s="156"/>
      <c r="BJE77" s="156"/>
      <c r="BJF77" s="156"/>
      <c r="BJG77" s="156"/>
      <c r="BJH77" s="156"/>
      <c r="BJI77" s="156"/>
      <c r="BJJ77" s="156"/>
      <c r="BJK77" s="156"/>
      <c r="BJL77" s="156"/>
      <c r="BJM77" s="156"/>
      <c r="BJN77" s="156"/>
      <c r="BJO77" s="156"/>
      <c r="BJP77" s="156"/>
      <c r="BJQ77" s="156"/>
      <c r="BJR77" s="156"/>
      <c r="BJS77" s="156"/>
      <c r="BJT77" s="156"/>
      <c r="BJU77" s="156"/>
      <c r="BJV77" s="156"/>
      <c r="BJW77" s="156"/>
      <c r="BJX77" s="156"/>
      <c r="BJY77" s="156"/>
      <c r="BJZ77" s="156"/>
      <c r="BKA77" s="156"/>
      <c r="BKB77" s="156"/>
      <c r="BKC77" s="156"/>
      <c r="BKD77" s="156"/>
      <c r="BKE77" s="156"/>
      <c r="BKF77" s="156"/>
      <c r="BKG77" s="156"/>
      <c r="BKH77" s="156"/>
      <c r="BKI77" s="156"/>
      <c r="BKJ77" s="156"/>
      <c r="BKK77" s="156"/>
      <c r="BKL77" s="156"/>
      <c r="BKM77" s="156"/>
      <c r="BKN77" s="156"/>
      <c r="BKO77" s="156"/>
      <c r="BKP77" s="156"/>
      <c r="BKQ77" s="156"/>
      <c r="BKR77" s="156"/>
      <c r="BKS77" s="156"/>
      <c r="BKT77" s="156"/>
      <c r="BKU77" s="156"/>
      <c r="BKV77" s="156"/>
      <c r="BKW77" s="156"/>
      <c r="BKX77" s="156"/>
      <c r="BKY77" s="156"/>
      <c r="BKZ77" s="156"/>
      <c r="BLA77" s="156"/>
      <c r="BLB77" s="156"/>
      <c r="BLC77" s="156"/>
      <c r="BLD77" s="156"/>
      <c r="BLE77" s="156"/>
      <c r="BLF77" s="156"/>
      <c r="BLG77" s="156"/>
      <c r="BLH77" s="156"/>
      <c r="BLI77" s="156"/>
      <c r="BLJ77" s="156"/>
      <c r="BLK77" s="156"/>
      <c r="BLL77" s="156"/>
      <c r="BLM77" s="156"/>
      <c r="BLN77" s="156"/>
      <c r="BLO77" s="156"/>
      <c r="BLP77" s="156"/>
      <c r="BLQ77" s="156"/>
      <c r="BLR77" s="156"/>
      <c r="BLS77" s="156"/>
      <c r="BLT77" s="156"/>
      <c r="BLU77" s="156"/>
      <c r="BLV77" s="156"/>
      <c r="BLW77" s="156"/>
      <c r="BLX77" s="156"/>
      <c r="BLY77" s="156"/>
      <c r="BLZ77" s="156"/>
      <c r="BMA77" s="156"/>
      <c r="BMB77" s="156"/>
      <c r="BMC77" s="156"/>
      <c r="BMD77" s="156"/>
      <c r="BME77" s="156"/>
      <c r="BMF77" s="156"/>
      <c r="BMG77" s="156"/>
      <c r="BMH77" s="156"/>
      <c r="BMI77" s="156"/>
      <c r="BMJ77" s="156"/>
      <c r="BMK77" s="156"/>
      <c r="BML77" s="156"/>
      <c r="BMM77" s="156"/>
      <c r="BMN77" s="156"/>
      <c r="BMO77" s="156"/>
      <c r="BMP77" s="156"/>
      <c r="BMQ77" s="156"/>
      <c r="BMR77" s="156"/>
      <c r="BMS77" s="156"/>
      <c r="BMT77" s="156"/>
      <c r="BMU77" s="156"/>
      <c r="BMV77" s="156"/>
      <c r="BMW77" s="156"/>
      <c r="BMX77" s="156"/>
      <c r="BMY77" s="156"/>
      <c r="BMZ77" s="156"/>
      <c r="BNA77" s="156"/>
      <c r="BNB77" s="156"/>
      <c r="BNC77" s="156"/>
      <c r="BND77" s="156"/>
      <c r="BNE77" s="156"/>
      <c r="BNF77" s="156"/>
      <c r="BNG77" s="156"/>
      <c r="BNH77" s="156"/>
      <c r="BNI77" s="156"/>
      <c r="BNJ77" s="156"/>
      <c r="BNK77" s="156"/>
      <c r="BNL77" s="156"/>
      <c r="BNM77" s="156"/>
      <c r="BNN77" s="156"/>
      <c r="BNO77" s="156"/>
      <c r="BNP77" s="156"/>
      <c r="BNQ77" s="156"/>
      <c r="BNR77" s="156"/>
      <c r="BNS77" s="156"/>
      <c r="BNT77" s="156"/>
      <c r="BNU77" s="156"/>
      <c r="BNV77" s="156"/>
      <c r="BNW77" s="156"/>
      <c r="BNX77" s="156"/>
      <c r="BNY77" s="156"/>
      <c r="BNZ77" s="156"/>
      <c r="BOA77" s="156"/>
      <c r="BOB77" s="156"/>
      <c r="BOC77" s="156"/>
      <c r="BOD77" s="156"/>
      <c r="BOE77" s="156"/>
      <c r="BOF77" s="156"/>
      <c r="BOG77" s="156"/>
      <c r="BOH77" s="156"/>
      <c r="BOI77" s="156"/>
      <c r="BOJ77" s="156"/>
      <c r="BOK77" s="156"/>
      <c r="BOL77" s="156"/>
      <c r="BOM77" s="156"/>
      <c r="BON77" s="156"/>
      <c r="BOO77" s="156"/>
      <c r="BOP77" s="156"/>
      <c r="BOQ77" s="156"/>
      <c r="BOR77" s="156"/>
      <c r="BOS77" s="156"/>
      <c r="BOT77" s="156"/>
      <c r="BOU77" s="156"/>
      <c r="BOV77" s="156"/>
      <c r="BOW77" s="156"/>
      <c r="BOX77" s="156"/>
      <c r="BOY77" s="156"/>
      <c r="BOZ77" s="156"/>
      <c r="BPA77" s="156"/>
      <c r="BPB77" s="156"/>
      <c r="BPC77" s="156"/>
      <c r="BPD77" s="156"/>
      <c r="BPE77" s="156"/>
      <c r="BPF77" s="156"/>
      <c r="BPG77" s="156"/>
      <c r="BPH77" s="156"/>
      <c r="BPI77" s="156"/>
      <c r="BPJ77" s="156"/>
      <c r="BPK77" s="156"/>
      <c r="BPL77" s="156"/>
      <c r="BPM77" s="156"/>
      <c r="BPN77" s="156"/>
      <c r="BPO77" s="156"/>
      <c r="BPP77" s="156"/>
      <c r="BPQ77" s="156"/>
      <c r="BPR77" s="156"/>
      <c r="BPS77" s="156"/>
      <c r="BPT77" s="156"/>
      <c r="BPU77" s="156"/>
      <c r="BPV77" s="156"/>
      <c r="BPW77" s="156"/>
      <c r="BPX77" s="156"/>
      <c r="BPY77" s="156"/>
      <c r="BPZ77" s="156"/>
      <c r="BQA77" s="156"/>
      <c r="BQB77" s="156"/>
      <c r="BQC77" s="156"/>
      <c r="BQD77" s="156"/>
      <c r="BQE77" s="156"/>
      <c r="BQF77" s="156"/>
      <c r="BQG77" s="156"/>
      <c r="BQH77" s="156"/>
      <c r="BQI77" s="156"/>
      <c r="BQJ77" s="156"/>
      <c r="BQK77" s="156"/>
      <c r="BQL77" s="156"/>
      <c r="BQM77" s="156"/>
      <c r="BQN77" s="156"/>
      <c r="BQO77" s="156"/>
      <c r="BQP77" s="156"/>
      <c r="BQQ77" s="156"/>
      <c r="BQR77" s="156"/>
      <c r="BQS77" s="156"/>
      <c r="BQT77" s="156"/>
      <c r="BQU77" s="156"/>
      <c r="BQV77" s="156"/>
      <c r="BQW77" s="156"/>
      <c r="BQX77" s="156"/>
      <c r="BQY77" s="156"/>
      <c r="BQZ77" s="156"/>
      <c r="BRA77" s="156"/>
      <c r="BRB77" s="156"/>
      <c r="BRC77" s="156"/>
      <c r="BRD77" s="156"/>
      <c r="BRE77" s="156"/>
      <c r="BRF77" s="156"/>
      <c r="BRG77" s="156"/>
      <c r="BRH77" s="156"/>
      <c r="BRI77" s="156"/>
      <c r="BRJ77" s="156"/>
      <c r="BRK77" s="156"/>
      <c r="BRL77" s="156"/>
      <c r="BRM77" s="156"/>
      <c r="BRN77" s="156"/>
      <c r="BRO77" s="156"/>
      <c r="BRP77" s="156"/>
      <c r="BRQ77" s="156"/>
      <c r="BRR77" s="156"/>
      <c r="BRS77" s="156"/>
      <c r="BRT77" s="156"/>
      <c r="BRU77" s="156"/>
      <c r="BRV77" s="156"/>
      <c r="BRW77" s="156"/>
      <c r="BRX77" s="156"/>
      <c r="BRY77" s="156"/>
      <c r="BRZ77" s="156"/>
      <c r="BSA77" s="156"/>
      <c r="BSB77" s="156"/>
      <c r="BSC77" s="156"/>
      <c r="BSD77" s="156"/>
      <c r="BSE77" s="156"/>
      <c r="BSF77" s="156"/>
      <c r="BSG77" s="156"/>
      <c r="BSH77" s="156"/>
      <c r="BSI77" s="156"/>
      <c r="BSJ77" s="156"/>
      <c r="BSK77" s="156"/>
      <c r="BSL77" s="156"/>
      <c r="BSM77" s="156"/>
      <c r="BSN77" s="156"/>
      <c r="BSO77" s="156"/>
      <c r="BSP77" s="156"/>
      <c r="BSQ77" s="156"/>
      <c r="BSR77" s="156"/>
      <c r="BSS77" s="156"/>
      <c r="BST77" s="156"/>
      <c r="BSU77" s="156"/>
      <c r="BSV77" s="156"/>
      <c r="BSW77" s="156"/>
      <c r="BSX77" s="156"/>
      <c r="BSY77" s="156"/>
      <c r="BSZ77" s="156"/>
      <c r="BTA77" s="156"/>
      <c r="BTB77" s="156"/>
      <c r="BTC77" s="156"/>
      <c r="BTD77" s="156"/>
      <c r="BTE77" s="156"/>
      <c r="BTF77" s="156"/>
      <c r="BTG77" s="156"/>
      <c r="BTH77" s="156"/>
      <c r="BTI77" s="156"/>
      <c r="BTJ77" s="156"/>
      <c r="BTK77" s="156"/>
      <c r="BTL77" s="156"/>
      <c r="BTM77" s="156"/>
      <c r="BTN77" s="156"/>
      <c r="BTO77" s="156"/>
      <c r="BTP77" s="156"/>
      <c r="BTQ77" s="156"/>
      <c r="BTR77" s="156"/>
      <c r="BTS77" s="156"/>
      <c r="BTT77" s="156"/>
      <c r="BTU77" s="156"/>
      <c r="BTV77" s="156"/>
      <c r="BTW77" s="156"/>
      <c r="BTX77" s="156"/>
      <c r="BTY77" s="156"/>
      <c r="BTZ77" s="156"/>
      <c r="BUA77" s="156"/>
      <c r="BUB77" s="156"/>
      <c r="BUC77" s="156"/>
      <c r="BUD77" s="156"/>
      <c r="BUE77" s="156"/>
      <c r="BUF77" s="156"/>
      <c r="BUG77" s="156"/>
      <c r="BUH77" s="156"/>
      <c r="BUI77" s="156"/>
      <c r="BUJ77" s="156"/>
      <c r="BUK77" s="156"/>
      <c r="BUL77" s="156"/>
      <c r="BUM77" s="156"/>
      <c r="BUN77" s="156"/>
      <c r="BUO77" s="156"/>
      <c r="BUP77" s="156"/>
      <c r="BUQ77" s="156"/>
      <c r="BUR77" s="156"/>
      <c r="BUS77" s="156"/>
      <c r="BUT77" s="156"/>
      <c r="BUU77" s="156"/>
      <c r="BUV77" s="156"/>
      <c r="BUW77" s="156"/>
      <c r="BUX77" s="156"/>
      <c r="BUY77" s="156"/>
      <c r="BUZ77" s="156"/>
      <c r="BVA77" s="156"/>
      <c r="BVB77" s="156"/>
      <c r="BVC77" s="156"/>
      <c r="BVD77" s="156"/>
      <c r="BVE77" s="156"/>
      <c r="BVF77" s="156"/>
      <c r="BVG77" s="156"/>
      <c r="BVH77" s="156"/>
      <c r="BVI77" s="156"/>
      <c r="BVJ77" s="156"/>
      <c r="BVK77" s="156"/>
      <c r="BVL77" s="156"/>
      <c r="BVM77" s="156"/>
      <c r="BVN77" s="156"/>
      <c r="BVO77" s="156"/>
      <c r="BVP77" s="156"/>
      <c r="BVQ77" s="156"/>
      <c r="BVR77" s="156"/>
      <c r="BVS77" s="156"/>
      <c r="BVT77" s="156"/>
      <c r="BVU77" s="156"/>
      <c r="BVV77" s="156"/>
      <c r="BVW77" s="156"/>
      <c r="BVX77" s="156"/>
      <c r="BVY77" s="156"/>
      <c r="BVZ77" s="156"/>
      <c r="BWA77" s="156"/>
      <c r="BWB77" s="156"/>
      <c r="BWC77" s="156"/>
      <c r="BWD77" s="156"/>
      <c r="BWE77" s="156"/>
      <c r="BWF77" s="156"/>
      <c r="BWG77" s="156"/>
      <c r="BWH77" s="156"/>
      <c r="BWI77" s="156"/>
      <c r="BWJ77" s="156"/>
      <c r="BWK77" s="156"/>
      <c r="BWL77" s="156"/>
      <c r="BWM77" s="156"/>
      <c r="BWN77" s="156"/>
      <c r="BWO77" s="156"/>
      <c r="BWP77" s="156"/>
      <c r="BWQ77" s="156"/>
      <c r="BWR77" s="156"/>
      <c r="BWS77" s="156"/>
      <c r="BWT77" s="156"/>
      <c r="BWU77" s="156"/>
      <c r="BWV77" s="156"/>
      <c r="BWW77" s="156"/>
      <c r="BWX77" s="156"/>
      <c r="BWY77" s="156"/>
      <c r="BWZ77" s="156"/>
      <c r="BXA77" s="156"/>
      <c r="BXB77" s="156"/>
      <c r="BXC77" s="156"/>
      <c r="BXD77" s="156"/>
      <c r="BXE77" s="156"/>
      <c r="BXF77" s="156"/>
      <c r="BXG77" s="156"/>
      <c r="BXH77" s="156"/>
      <c r="BXI77" s="156"/>
      <c r="BXJ77" s="156"/>
      <c r="BXK77" s="156"/>
      <c r="BXL77" s="156"/>
      <c r="BXM77" s="156"/>
      <c r="BXN77" s="156"/>
      <c r="BXO77" s="156"/>
      <c r="BXP77" s="156"/>
      <c r="BXQ77" s="156"/>
      <c r="BXR77" s="156"/>
      <c r="BXS77" s="156"/>
      <c r="BXT77" s="156"/>
      <c r="BXU77" s="156"/>
      <c r="BXV77" s="156"/>
      <c r="BXW77" s="156"/>
      <c r="BXX77" s="156"/>
      <c r="BXY77" s="156"/>
      <c r="BXZ77" s="156"/>
      <c r="BYA77" s="156"/>
      <c r="BYB77" s="156"/>
      <c r="BYC77" s="156"/>
      <c r="BYD77" s="156"/>
      <c r="BYE77" s="156"/>
      <c r="BYF77" s="156"/>
      <c r="BYG77" s="156"/>
      <c r="BYH77" s="156"/>
      <c r="BYI77" s="156"/>
      <c r="BYJ77" s="156"/>
      <c r="BYK77" s="156"/>
      <c r="BYL77" s="156"/>
      <c r="BYM77" s="156"/>
      <c r="BYN77" s="156"/>
      <c r="BYO77" s="156"/>
      <c r="BYP77" s="156"/>
      <c r="BYQ77" s="156"/>
      <c r="BYR77" s="156"/>
      <c r="BYS77" s="156"/>
      <c r="BYT77" s="156"/>
      <c r="BYU77" s="156"/>
      <c r="BYV77" s="156"/>
      <c r="BYW77" s="156"/>
      <c r="BYX77" s="156"/>
      <c r="BYY77" s="156"/>
      <c r="BYZ77" s="156"/>
      <c r="BZA77" s="156"/>
      <c r="BZB77" s="156"/>
      <c r="BZC77" s="156"/>
      <c r="BZD77" s="156"/>
      <c r="BZE77" s="156"/>
      <c r="BZF77" s="156"/>
      <c r="BZG77" s="156"/>
      <c r="BZH77" s="156"/>
      <c r="BZI77" s="156"/>
      <c r="BZJ77" s="156"/>
      <c r="BZK77" s="156"/>
      <c r="BZL77" s="156"/>
      <c r="BZM77" s="156"/>
      <c r="BZN77" s="156"/>
      <c r="BZO77" s="156"/>
      <c r="BZP77" s="156"/>
      <c r="BZQ77" s="156"/>
      <c r="BZR77" s="156"/>
      <c r="BZS77" s="156"/>
      <c r="BZT77" s="156"/>
      <c r="BZU77" s="156"/>
      <c r="BZV77" s="156"/>
      <c r="BZW77" s="156"/>
      <c r="BZX77" s="156"/>
      <c r="BZY77" s="156"/>
      <c r="BZZ77" s="156"/>
      <c r="CAA77" s="156"/>
      <c r="CAB77" s="156"/>
      <c r="CAC77" s="156"/>
      <c r="CAD77" s="156"/>
      <c r="CAE77" s="156"/>
      <c r="CAF77" s="156"/>
      <c r="CAG77" s="156"/>
      <c r="CAH77" s="156"/>
      <c r="CAI77" s="156"/>
      <c r="CAJ77" s="156"/>
      <c r="CAK77" s="156"/>
      <c r="CAL77" s="156"/>
      <c r="CAM77" s="156"/>
      <c r="CAN77" s="156"/>
      <c r="CAO77" s="156"/>
      <c r="CAP77" s="156"/>
      <c r="CAQ77" s="156"/>
      <c r="CAR77" s="156"/>
      <c r="CAS77" s="156"/>
      <c r="CAT77" s="156"/>
      <c r="CAU77" s="156"/>
      <c r="CAV77" s="156"/>
      <c r="CAW77" s="156"/>
      <c r="CAX77" s="156"/>
      <c r="CAY77" s="156"/>
      <c r="CAZ77" s="156"/>
      <c r="CBA77" s="156"/>
      <c r="CBB77" s="156"/>
      <c r="CBC77" s="156"/>
      <c r="CBD77" s="156"/>
      <c r="CBE77" s="156"/>
      <c r="CBF77" s="156"/>
      <c r="CBG77" s="156"/>
      <c r="CBH77" s="156"/>
      <c r="CBI77" s="156"/>
      <c r="CBJ77" s="156"/>
      <c r="CBK77" s="156"/>
      <c r="CBL77" s="156"/>
      <c r="CBM77" s="156"/>
      <c r="CBN77" s="156"/>
      <c r="CBO77" s="156"/>
      <c r="CBP77" s="156"/>
      <c r="CBQ77" s="156"/>
      <c r="CBR77" s="156"/>
      <c r="CBS77" s="156"/>
      <c r="CBT77" s="156"/>
      <c r="CBU77" s="156"/>
      <c r="CBV77" s="156"/>
      <c r="CBW77" s="156"/>
      <c r="CBX77" s="156"/>
      <c r="CBY77" s="156"/>
      <c r="CBZ77" s="156"/>
      <c r="CCA77" s="156"/>
      <c r="CCB77" s="156"/>
      <c r="CCC77" s="156"/>
      <c r="CCD77" s="156"/>
      <c r="CCE77" s="156"/>
      <c r="CCF77" s="156"/>
      <c r="CCG77" s="156"/>
      <c r="CCH77" s="156"/>
      <c r="CCI77" s="156"/>
      <c r="CCJ77" s="156"/>
      <c r="CCK77" s="156"/>
      <c r="CCL77" s="156"/>
      <c r="CCM77" s="156"/>
      <c r="CCN77" s="156"/>
      <c r="CCO77" s="156"/>
      <c r="CCP77" s="156"/>
      <c r="CCQ77" s="156"/>
      <c r="CCR77" s="156"/>
      <c r="CCS77" s="156"/>
      <c r="CCT77" s="156"/>
      <c r="CCU77" s="156"/>
      <c r="CCV77" s="156"/>
      <c r="CCW77" s="156"/>
      <c r="CCX77" s="156"/>
      <c r="CCY77" s="156"/>
      <c r="CCZ77" s="156"/>
      <c r="CDA77" s="156"/>
      <c r="CDB77" s="156"/>
      <c r="CDC77" s="156"/>
      <c r="CDD77" s="156"/>
      <c r="CDE77" s="156"/>
      <c r="CDF77" s="156"/>
      <c r="CDG77" s="156"/>
      <c r="CDH77" s="156"/>
      <c r="CDI77" s="156"/>
      <c r="CDJ77" s="156"/>
      <c r="CDK77" s="156"/>
      <c r="CDL77" s="156"/>
      <c r="CDM77" s="156"/>
      <c r="CDN77" s="156"/>
      <c r="CDO77" s="156"/>
      <c r="CDP77" s="156"/>
      <c r="CDQ77" s="156"/>
      <c r="CDR77" s="156"/>
      <c r="CDS77" s="156"/>
      <c r="CDT77" s="156"/>
      <c r="CDU77" s="156"/>
      <c r="CDV77" s="156"/>
      <c r="CDW77" s="156"/>
      <c r="CDX77" s="156"/>
      <c r="CDY77" s="156"/>
      <c r="CDZ77" s="156"/>
      <c r="CEA77" s="156"/>
      <c r="CEB77" s="156"/>
      <c r="CEC77" s="156"/>
      <c r="CED77" s="156"/>
      <c r="CEE77" s="156"/>
      <c r="CEF77" s="156"/>
      <c r="CEG77" s="156"/>
      <c r="CEH77" s="156"/>
      <c r="CEI77" s="156"/>
      <c r="CEJ77" s="156"/>
      <c r="CEK77" s="156"/>
      <c r="CEL77" s="156"/>
      <c r="CEM77" s="156"/>
      <c r="CEN77" s="156"/>
      <c r="CEO77" s="156"/>
      <c r="CEP77" s="156"/>
      <c r="CEQ77" s="156"/>
      <c r="CER77" s="156"/>
      <c r="CES77" s="156"/>
      <c r="CET77" s="156"/>
      <c r="CEU77" s="156"/>
      <c r="CEV77" s="156"/>
      <c r="CEW77" s="156"/>
      <c r="CEX77" s="156"/>
      <c r="CEY77" s="156"/>
      <c r="CEZ77" s="156"/>
      <c r="CFA77" s="156"/>
      <c r="CFB77" s="156"/>
      <c r="CFC77" s="156"/>
      <c r="CFD77" s="156"/>
      <c r="CFE77" s="156"/>
      <c r="CFF77" s="156"/>
      <c r="CFG77" s="156"/>
      <c r="CFH77" s="156"/>
      <c r="CFI77" s="156"/>
      <c r="CFJ77" s="156"/>
      <c r="CFK77" s="156"/>
      <c r="CFL77" s="156"/>
      <c r="CFM77" s="156"/>
      <c r="CFN77" s="156"/>
      <c r="CFO77" s="156"/>
      <c r="CFP77" s="156"/>
      <c r="CFQ77" s="156"/>
      <c r="CFR77" s="156"/>
      <c r="CFS77" s="156"/>
      <c r="CFT77" s="156"/>
      <c r="CFU77" s="156"/>
      <c r="CFV77" s="156"/>
      <c r="CFW77" s="156"/>
      <c r="CFX77" s="156"/>
      <c r="CFY77" s="156"/>
      <c r="CFZ77" s="156"/>
      <c r="CGA77" s="156"/>
      <c r="CGB77" s="156"/>
      <c r="CGC77" s="156"/>
      <c r="CGD77" s="156"/>
      <c r="CGE77" s="156"/>
      <c r="CGF77" s="156"/>
      <c r="CGG77" s="156"/>
      <c r="CGH77" s="156"/>
      <c r="CGI77" s="156"/>
      <c r="CGJ77" s="156"/>
      <c r="CGK77" s="156"/>
      <c r="CGL77" s="156"/>
      <c r="CGM77" s="156"/>
      <c r="CGN77" s="156"/>
      <c r="CGO77" s="156"/>
      <c r="CGP77" s="156"/>
      <c r="CGQ77" s="156"/>
      <c r="CGR77" s="156"/>
      <c r="CGS77" s="156"/>
      <c r="CGT77" s="156"/>
      <c r="CGU77" s="156"/>
      <c r="CGV77" s="156"/>
      <c r="CGW77" s="156"/>
      <c r="CGX77" s="156"/>
      <c r="CGY77" s="156"/>
      <c r="CGZ77" s="156"/>
      <c r="CHA77" s="156"/>
      <c r="CHB77" s="156"/>
      <c r="CHC77" s="156"/>
      <c r="CHD77" s="156"/>
      <c r="CHE77" s="156"/>
      <c r="CHF77" s="156"/>
      <c r="CHG77" s="156"/>
      <c r="CHH77" s="156"/>
      <c r="CHI77" s="156"/>
      <c r="CHJ77" s="156"/>
      <c r="CHK77" s="156"/>
      <c r="CHL77" s="156"/>
      <c r="CHM77" s="156"/>
      <c r="CHN77" s="156"/>
      <c r="CHO77" s="156"/>
      <c r="CHP77" s="156"/>
      <c r="CHQ77" s="156"/>
      <c r="CHR77" s="156"/>
      <c r="CHS77" s="156"/>
      <c r="CHT77" s="156"/>
      <c r="CHU77" s="156"/>
      <c r="CHV77" s="156"/>
      <c r="CHW77" s="156"/>
      <c r="CHX77" s="156"/>
      <c r="CHY77" s="156"/>
      <c r="CHZ77" s="156"/>
      <c r="CIA77" s="156"/>
      <c r="CIB77" s="156"/>
      <c r="CIC77" s="156"/>
      <c r="CID77" s="156"/>
      <c r="CIE77" s="156"/>
      <c r="CIF77" s="156"/>
      <c r="CIG77" s="156"/>
      <c r="CIH77" s="156"/>
      <c r="CII77" s="156"/>
      <c r="CIJ77" s="156"/>
      <c r="CIK77" s="156"/>
      <c r="CIL77" s="156"/>
      <c r="CIM77" s="156"/>
      <c r="CIN77" s="156"/>
      <c r="CIO77" s="156"/>
      <c r="CIP77" s="156"/>
      <c r="CIQ77" s="156"/>
      <c r="CIR77" s="156"/>
      <c r="CIS77" s="156"/>
      <c r="CIT77" s="156"/>
      <c r="CIU77" s="156"/>
      <c r="CIV77" s="156"/>
      <c r="CIW77" s="156"/>
      <c r="CIX77" s="156"/>
      <c r="CIY77" s="156"/>
      <c r="CIZ77" s="156"/>
      <c r="CJA77" s="156"/>
      <c r="CJB77" s="156"/>
      <c r="CJC77" s="156"/>
      <c r="CJD77" s="156"/>
      <c r="CJE77" s="156"/>
      <c r="CJF77" s="156"/>
      <c r="CJG77" s="156"/>
      <c r="CJH77" s="156"/>
      <c r="CJI77" s="156"/>
      <c r="CJJ77" s="156"/>
      <c r="CJK77" s="156"/>
      <c r="CJL77" s="156"/>
      <c r="CJM77" s="156"/>
      <c r="CJN77" s="156"/>
      <c r="CJO77" s="156"/>
      <c r="CJP77" s="156"/>
      <c r="CJQ77" s="156"/>
      <c r="CJR77" s="156"/>
      <c r="CJS77" s="156"/>
      <c r="CJT77" s="156"/>
      <c r="CJU77" s="156"/>
      <c r="CJV77" s="156"/>
      <c r="CJW77" s="156"/>
      <c r="CJX77" s="156"/>
      <c r="CJY77" s="156"/>
      <c r="CJZ77" s="156"/>
      <c r="CKA77" s="156"/>
      <c r="CKB77" s="156"/>
      <c r="CKC77" s="156"/>
      <c r="CKD77" s="156"/>
      <c r="CKE77" s="156"/>
      <c r="CKF77" s="156"/>
      <c r="CKG77" s="156"/>
      <c r="CKH77" s="156"/>
      <c r="CKI77" s="156"/>
      <c r="CKJ77" s="156"/>
      <c r="CKK77" s="156"/>
      <c r="CKL77" s="156"/>
      <c r="CKM77" s="156"/>
      <c r="CKN77" s="156"/>
      <c r="CKO77" s="156"/>
      <c r="CKP77" s="156"/>
      <c r="CKQ77" s="156"/>
      <c r="CKR77" s="156"/>
      <c r="CKS77" s="156"/>
      <c r="CKT77" s="156"/>
      <c r="CKU77" s="156"/>
      <c r="CKV77" s="156"/>
      <c r="CKW77" s="156"/>
      <c r="CKX77" s="156"/>
      <c r="CKY77" s="156"/>
      <c r="CKZ77" s="156"/>
      <c r="CLA77" s="156"/>
      <c r="CLB77" s="156"/>
      <c r="CLC77" s="156"/>
      <c r="CLD77" s="156"/>
      <c r="CLE77" s="156"/>
      <c r="CLF77" s="156"/>
      <c r="CLG77" s="156"/>
      <c r="CLH77" s="156"/>
      <c r="CLI77" s="156"/>
      <c r="CLJ77" s="156"/>
      <c r="CLK77" s="156"/>
      <c r="CLL77" s="156"/>
      <c r="CLM77" s="156"/>
      <c r="CLN77" s="156"/>
      <c r="CLO77" s="156"/>
      <c r="CLP77" s="156"/>
      <c r="CLQ77" s="156"/>
      <c r="CLR77" s="156"/>
      <c r="CLS77" s="156"/>
      <c r="CLT77" s="156"/>
      <c r="CLU77" s="156"/>
      <c r="CLV77" s="156"/>
      <c r="CLW77" s="156"/>
      <c r="CLX77" s="156"/>
      <c r="CLY77" s="156"/>
      <c r="CLZ77" s="156"/>
      <c r="CMA77" s="156"/>
      <c r="CMB77" s="156"/>
      <c r="CMC77" s="156"/>
      <c r="CMD77" s="156"/>
      <c r="CME77" s="156"/>
      <c r="CMF77" s="156"/>
      <c r="CMG77" s="156"/>
      <c r="CMH77" s="156"/>
      <c r="CMI77" s="156"/>
      <c r="CMJ77" s="156"/>
      <c r="CMK77" s="156"/>
      <c r="CML77" s="156"/>
      <c r="CMM77" s="156"/>
      <c r="CMN77" s="156"/>
      <c r="CMO77" s="156"/>
      <c r="CMP77" s="156"/>
      <c r="CMQ77" s="156"/>
      <c r="CMR77" s="156"/>
      <c r="CMS77" s="156"/>
      <c r="CMT77" s="156"/>
      <c r="CMU77" s="156"/>
      <c r="CMV77" s="156"/>
      <c r="CMW77" s="156"/>
      <c r="CMX77" s="156"/>
      <c r="CMY77" s="156"/>
      <c r="CMZ77" s="156"/>
      <c r="CNA77" s="156"/>
      <c r="CNB77" s="156"/>
      <c r="CNC77" s="156"/>
      <c r="CND77" s="156"/>
      <c r="CNE77" s="156"/>
      <c r="CNF77" s="156"/>
      <c r="CNG77" s="156"/>
      <c r="CNH77" s="156"/>
      <c r="CNI77" s="156"/>
      <c r="CNJ77" s="156"/>
      <c r="CNK77" s="156"/>
      <c r="CNL77" s="156"/>
      <c r="CNM77" s="156"/>
      <c r="CNN77" s="156"/>
      <c r="CNO77" s="156"/>
      <c r="CNP77" s="156"/>
      <c r="CNQ77" s="156"/>
      <c r="CNR77" s="156"/>
      <c r="CNS77" s="156"/>
      <c r="CNT77" s="156"/>
      <c r="CNU77" s="156"/>
      <c r="CNV77" s="156"/>
      <c r="CNW77" s="156"/>
      <c r="CNX77" s="156"/>
      <c r="CNY77" s="156"/>
      <c r="CNZ77" s="156"/>
      <c r="COA77" s="156"/>
      <c r="COB77" s="156"/>
      <c r="COC77" s="156"/>
      <c r="COD77" s="156"/>
      <c r="COE77" s="156"/>
      <c r="COF77" s="156"/>
      <c r="COG77" s="156"/>
      <c r="COH77" s="156"/>
      <c r="COI77" s="156"/>
      <c r="COJ77" s="156"/>
      <c r="COK77" s="156"/>
      <c r="COL77" s="156"/>
      <c r="COM77" s="156"/>
      <c r="CON77" s="156"/>
      <c r="COO77" s="156"/>
      <c r="COP77" s="156"/>
      <c r="COQ77" s="156"/>
      <c r="COR77" s="156"/>
      <c r="COS77" s="156"/>
      <c r="COT77" s="156"/>
      <c r="COU77" s="156"/>
      <c r="COV77" s="156"/>
      <c r="COW77" s="156"/>
      <c r="COX77" s="156"/>
      <c r="COY77" s="156"/>
      <c r="COZ77" s="156"/>
      <c r="CPA77" s="156"/>
      <c r="CPB77" s="156"/>
      <c r="CPC77" s="156"/>
      <c r="CPD77" s="156"/>
      <c r="CPE77" s="156"/>
      <c r="CPF77" s="156"/>
      <c r="CPG77" s="156"/>
      <c r="CPH77" s="156"/>
      <c r="CPI77" s="156"/>
      <c r="CPJ77" s="156"/>
      <c r="CPK77" s="156"/>
      <c r="CPL77" s="156"/>
      <c r="CPM77" s="156"/>
      <c r="CPN77" s="156"/>
      <c r="CPO77" s="156"/>
      <c r="CPP77" s="156"/>
      <c r="CPQ77" s="156"/>
      <c r="CPR77" s="156"/>
      <c r="CPS77" s="156"/>
      <c r="CPT77" s="156"/>
      <c r="CPU77" s="156"/>
      <c r="CPV77" s="156"/>
      <c r="CPW77" s="156"/>
      <c r="CPX77" s="156"/>
      <c r="CPY77" s="156"/>
      <c r="CPZ77" s="156"/>
      <c r="CQA77" s="156"/>
      <c r="CQB77" s="156"/>
      <c r="CQC77" s="156"/>
      <c r="CQD77" s="156"/>
      <c r="CQE77" s="156"/>
      <c r="CQF77" s="156"/>
      <c r="CQG77" s="156"/>
      <c r="CQH77" s="156"/>
      <c r="CQI77" s="156"/>
      <c r="CQJ77" s="156"/>
      <c r="CQK77" s="156"/>
      <c r="CQL77" s="156"/>
      <c r="CQM77" s="156"/>
      <c r="CQN77" s="156"/>
      <c r="CQO77" s="156"/>
      <c r="CQP77" s="156"/>
      <c r="CQQ77" s="156"/>
      <c r="CQR77" s="156"/>
      <c r="CQS77" s="156"/>
      <c r="CQT77" s="156"/>
      <c r="CQU77" s="156"/>
      <c r="CQV77" s="156"/>
      <c r="CQW77" s="156"/>
      <c r="CQX77" s="156"/>
      <c r="CQY77" s="156"/>
      <c r="CQZ77" s="156"/>
      <c r="CRA77" s="156"/>
      <c r="CRB77" s="156"/>
      <c r="CRC77" s="156"/>
      <c r="CRD77" s="156"/>
      <c r="CRE77" s="156"/>
      <c r="CRF77" s="156"/>
      <c r="CRG77" s="156"/>
      <c r="CRH77" s="156"/>
      <c r="CRI77" s="156"/>
      <c r="CRJ77" s="156"/>
      <c r="CRK77" s="156"/>
      <c r="CRL77" s="156"/>
      <c r="CRM77" s="156"/>
      <c r="CRN77" s="156"/>
      <c r="CRO77" s="156"/>
      <c r="CRP77" s="156"/>
      <c r="CRQ77" s="156"/>
      <c r="CRR77" s="156"/>
      <c r="CRS77" s="156"/>
      <c r="CRT77" s="156"/>
      <c r="CRU77" s="156"/>
      <c r="CRV77" s="156"/>
      <c r="CRW77" s="156"/>
      <c r="CRX77" s="156"/>
      <c r="CRY77" s="156"/>
      <c r="CRZ77" s="156"/>
      <c r="CSA77" s="156"/>
      <c r="CSB77" s="156"/>
      <c r="CSC77" s="156"/>
      <c r="CSD77" s="156"/>
      <c r="CSE77" s="156"/>
      <c r="CSF77" s="156"/>
      <c r="CSG77" s="156"/>
      <c r="CSH77" s="156"/>
      <c r="CSI77" s="156"/>
      <c r="CSJ77" s="156"/>
      <c r="CSK77" s="156"/>
      <c r="CSL77" s="156"/>
      <c r="CSM77" s="156"/>
      <c r="CSN77" s="156"/>
      <c r="CSO77" s="156"/>
      <c r="CSP77" s="156"/>
      <c r="CSQ77" s="156"/>
      <c r="CSR77" s="156"/>
      <c r="CSS77" s="156"/>
      <c r="CST77" s="156"/>
      <c r="CSU77" s="156"/>
      <c r="CSV77" s="156"/>
      <c r="CSW77" s="156"/>
      <c r="CSX77" s="156"/>
      <c r="CSY77" s="156"/>
      <c r="CSZ77" s="156"/>
      <c r="CTA77" s="156"/>
      <c r="CTB77" s="156"/>
      <c r="CTC77" s="156"/>
      <c r="CTD77" s="156"/>
      <c r="CTE77" s="156"/>
      <c r="CTF77" s="156"/>
      <c r="CTG77" s="156"/>
      <c r="CTH77" s="156"/>
      <c r="CTI77" s="156"/>
      <c r="CTJ77" s="156"/>
      <c r="CTK77" s="156"/>
      <c r="CTL77" s="156"/>
      <c r="CTM77" s="156"/>
      <c r="CTN77" s="156"/>
      <c r="CTO77" s="156"/>
      <c r="CTP77" s="156"/>
      <c r="CTQ77" s="156"/>
      <c r="CTR77" s="156"/>
      <c r="CTS77" s="156"/>
      <c r="CTT77" s="156"/>
      <c r="CTU77" s="156"/>
      <c r="CTV77" s="156"/>
      <c r="CTW77" s="156"/>
      <c r="CTX77" s="156"/>
      <c r="CTY77" s="156"/>
      <c r="CTZ77" s="156"/>
      <c r="CUA77" s="156"/>
      <c r="CUB77" s="156"/>
      <c r="CUC77" s="156"/>
      <c r="CUD77" s="156"/>
      <c r="CUE77" s="156"/>
      <c r="CUF77" s="156"/>
      <c r="CUG77" s="156"/>
      <c r="CUH77" s="156"/>
      <c r="CUI77" s="156"/>
      <c r="CUJ77" s="156"/>
      <c r="CUK77" s="156"/>
      <c r="CUL77" s="156"/>
      <c r="CUM77" s="156"/>
      <c r="CUN77" s="156"/>
      <c r="CUO77" s="156"/>
      <c r="CUP77" s="156"/>
      <c r="CUQ77" s="156"/>
      <c r="CUR77" s="156"/>
      <c r="CUS77" s="156"/>
      <c r="CUT77" s="156"/>
      <c r="CUU77" s="156"/>
      <c r="CUV77" s="156"/>
      <c r="CUW77" s="156"/>
      <c r="CUX77" s="156"/>
      <c r="CUY77" s="156"/>
      <c r="CUZ77" s="156"/>
      <c r="CVA77" s="156"/>
      <c r="CVB77" s="156"/>
      <c r="CVC77" s="156"/>
      <c r="CVD77" s="156"/>
      <c r="CVE77" s="156"/>
      <c r="CVF77" s="156"/>
      <c r="CVG77" s="156"/>
      <c r="CVH77" s="156"/>
      <c r="CVI77" s="156"/>
      <c r="CVJ77" s="156"/>
      <c r="CVK77" s="156"/>
      <c r="CVL77" s="156"/>
      <c r="CVM77" s="156"/>
      <c r="CVN77" s="156"/>
      <c r="CVO77" s="156"/>
      <c r="CVP77" s="156"/>
      <c r="CVQ77" s="156"/>
      <c r="CVR77" s="156"/>
      <c r="CVS77" s="156"/>
      <c r="CVT77" s="156"/>
      <c r="CVU77" s="156"/>
      <c r="CVV77" s="156"/>
      <c r="CVW77" s="156"/>
      <c r="CVX77" s="156"/>
      <c r="CVY77" s="156"/>
      <c r="CVZ77" s="156"/>
      <c r="CWA77" s="156"/>
      <c r="CWB77" s="156"/>
      <c r="CWC77" s="156"/>
      <c r="CWD77" s="156"/>
      <c r="CWE77" s="156"/>
      <c r="CWF77" s="156"/>
      <c r="CWG77" s="156"/>
      <c r="CWH77" s="156"/>
      <c r="CWI77" s="156"/>
      <c r="CWJ77" s="156"/>
      <c r="CWK77" s="156"/>
      <c r="CWL77" s="156"/>
      <c r="CWM77" s="156"/>
      <c r="CWN77" s="156"/>
      <c r="CWO77" s="156"/>
      <c r="CWP77" s="156"/>
      <c r="CWQ77" s="156"/>
      <c r="CWR77" s="156"/>
      <c r="CWS77" s="156"/>
      <c r="CWT77" s="156"/>
      <c r="CWU77" s="156"/>
      <c r="CWV77" s="156"/>
      <c r="CWW77" s="156"/>
      <c r="CWX77" s="156"/>
      <c r="CWY77" s="156"/>
      <c r="CWZ77" s="156"/>
      <c r="CXA77" s="156"/>
      <c r="CXB77" s="156"/>
      <c r="CXC77" s="156"/>
      <c r="CXD77" s="156"/>
      <c r="CXE77" s="156"/>
      <c r="CXF77" s="156"/>
      <c r="CXG77" s="156"/>
      <c r="CXH77" s="156"/>
      <c r="CXI77" s="156"/>
      <c r="CXJ77" s="156"/>
      <c r="CXK77" s="156"/>
      <c r="CXL77" s="156"/>
      <c r="CXM77" s="156"/>
      <c r="CXN77" s="156"/>
      <c r="CXO77" s="156"/>
      <c r="CXP77" s="156"/>
      <c r="CXQ77" s="156"/>
      <c r="CXR77" s="156"/>
      <c r="CXS77" s="156"/>
      <c r="CXT77" s="156"/>
      <c r="CXU77" s="156"/>
      <c r="CXV77" s="156"/>
      <c r="CXW77" s="156"/>
      <c r="CXX77" s="156"/>
      <c r="CXY77" s="156"/>
      <c r="CXZ77" s="156"/>
      <c r="CYA77" s="156"/>
      <c r="CYB77" s="156"/>
      <c r="CYC77" s="156"/>
      <c r="CYD77" s="156"/>
      <c r="CYE77" s="156"/>
      <c r="CYF77" s="156"/>
      <c r="CYG77" s="156"/>
      <c r="CYH77" s="156"/>
      <c r="CYI77" s="156"/>
      <c r="CYJ77" s="156"/>
      <c r="CYK77" s="156"/>
      <c r="CYL77" s="156"/>
      <c r="CYM77" s="156"/>
      <c r="CYN77" s="156"/>
      <c r="CYO77" s="156"/>
      <c r="CYP77" s="156"/>
      <c r="CYQ77" s="156"/>
      <c r="CYR77" s="156"/>
      <c r="CYS77" s="156"/>
      <c r="CYT77" s="156"/>
      <c r="CYU77" s="156"/>
      <c r="CYV77" s="156"/>
      <c r="CYW77" s="156"/>
      <c r="CYX77" s="156"/>
      <c r="CYY77" s="156"/>
      <c r="CYZ77" s="156"/>
      <c r="CZA77" s="156"/>
      <c r="CZB77" s="156"/>
      <c r="CZC77" s="156"/>
      <c r="CZD77" s="156"/>
      <c r="CZE77" s="156"/>
      <c r="CZF77" s="156"/>
      <c r="CZG77" s="156"/>
      <c r="CZH77" s="156"/>
      <c r="CZI77" s="156"/>
      <c r="CZJ77" s="156"/>
      <c r="CZK77" s="156"/>
      <c r="CZL77" s="156"/>
      <c r="CZM77" s="156"/>
      <c r="CZN77" s="156"/>
      <c r="CZO77" s="156"/>
      <c r="CZP77" s="156"/>
      <c r="CZQ77" s="156"/>
      <c r="CZR77" s="156"/>
      <c r="CZS77" s="156"/>
      <c r="CZT77" s="156"/>
      <c r="CZU77" s="156"/>
      <c r="CZV77" s="156"/>
      <c r="CZW77" s="156"/>
      <c r="CZX77" s="156"/>
      <c r="CZY77" s="156"/>
      <c r="CZZ77" s="156"/>
      <c r="DAA77" s="156"/>
      <c r="DAB77" s="156"/>
      <c r="DAC77" s="156"/>
      <c r="DAD77" s="156"/>
      <c r="DAE77" s="156"/>
      <c r="DAF77" s="156"/>
      <c r="DAG77" s="156"/>
      <c r="DAH77" s="156"/>
      <c r="DAI77" s="156"/>
      <c r="DAJ77" s="156"/>
      <c r="DAK77" s="156"/>
      <c r="DAL77" s="156"/>
      <c r="DAM77" s="156"/>
      <c r="DAN77" s="156"/>
      <c r="DAO77" s="156"/>
      <c r="DAP77" s="156"/>
      <c r="DAQ77" s="156"/>
      <c r="DAR77" s="156"/>
      <c r="DAS77" s="156"/>
      <c r="DAT77" s="156"/>
      <c r="DAU77" s="156"/>
      <c r="DAV77" s="156"/>
      <c r="DAW77" s="156"/>
      <c r="DAX77" s="156"/>
      <c r="DAY77" s="156"/>
      <c r="DAZ77" s="156"/>
      <c r="DBA77" s="156"/>
      <c r="DBB77" s="156"/>
      <c r="DBC77" s="156"/>
      <c r="DBD77" s="156"/>
      <c r="DBE77" s="156"/>
      <c r="DBF77" s="156"/>
      <c r="DBG77" s="156"/>
      <c r="DBH77" s="156"/>
      <c r="DBI77" s="156"/>
      <c r="DBJ77" s="156"/>
      <c r="DBK77" s="156"/>
      <c r="DBL77" s="156"/>
      <c r="DBM77" s="156"/>
      <c r="DBN77" s="156"/>
      <c r="DBO77" s="156"/>
      <c r="DBP77" s="156"/>
      <c r="DBQ77" s="156"/>
      <c r="DBR77" s="156"/>
      <c r="DBS77" s="156"/>
      <c r="DBT77" s="156"/>
      <c r="DBU77" s="156"/>
      <c r="DBV77" s="156"/>
      <c r="DBW77" s="156"/>
      <c r="DBX77" s="156"/>
      <c r="DBY77" s="156"/>
      <c r="DBZ77" s="156"/>
      <c r="DCA77" s="156"/>
      <c r="DCB77" s="156"/>
      <c r="DCC77" s="156"/>
      <c r="DCD77" s="156"/>
      <c r="DCE77" s="156"/>
      <c r="DCF77" s="156"/>
      <c r="DCG77" s="156"/>
      <c r="DCH77" s="156"/>
      <c r="DCI77" s="156"/>
      <c r="DCJ77" s="156"/>
      <c r="DCK77" s="156"/>
      <c r="DCL77" s="156"/>
      <c r="DCM77" s="156"/>
      <c r="DCN77" s="156"/>
      <c r="DCO77" s="156"/>
      <c r="DCP77" s="156"/>
      <c r="DCQ77" s="156"/>
      <c r="DCR77" s="156"/>
      <c r="DCS77" s="156"/>
      <c r="DCT77" s="156"/>
      <c r="DCU77" s="156"/>
      <c r="DCV77" s="156"/>
      <c r="DCW77" s="156"/>
      <c r="DCX77" s="156"/>
      <c r="DCY77" s="156"/>
      <c r="DCZ77" s="156"/>
      <c r="DDA77" s="156"/>
      <c r="DDB77" s="156"/>
      <c r="DDC77" s="156"/>
      <c r="DDD77" s="156"/>
      <c r="DDE77" s="156"/>
      <c r="DDF77" s="156"/>
      <c r="DDG77" s="156"/>
      <c r="DDH77" s="156"/>
      <c r="DDI77" s="156"/>
      <c r="DDJ77" s="156"/>
      <c r="DDK77" s="156"/>
      <c r="DDL77" s="156"/>
      <c r="DDM77" s="156"/>
      <c r="DDN77" s="156"/>
      <c r="DDO77" s="156"/>
      <c r="DDP77" s="156"/>
      <c r="DDQ77" s="156"/>
      <c r="DDR77" s="156"/>
      <c r="DDS77" s="156"/>
      <c r="DDT77" s="156"/>
      <c r="DDU77" s="156"/>
      <c r="DDV77" s="156"/>
      <c r="DDW77" s="156"/>
      <c r="DDX77" s="156"/>
      <c r="DDY77" s="156"/>
      <c r="DDZ77" s="156"/>
      <c r="DEA77" s="156"/>
      <c r="DEB77" s="156"/>
      <c r="DEC77" s="156"/>
      <c r="DED77" s="156"/>
      <c r="DEE77" s="156"/>
      <c r="DEF77" s="156"/>
      <c r="DEG77" s="156"/>
      <c r="DEH77" s="156"/>
      <c r="DEI77" s="156"/>
      <c r="DEJ77" s="156"/>
      <c r="DEK77" s="156"/>
      <c r="DEL77" s="156"/>
      <c r="DEM77" s="156"/>
      <c r="DEN77" s="156"/>
      <c r="DEO77" s="156"/>
      <c r="DEP77" s="156"/>
      <c r="DEQ77" s="156"/>
      <c r="DER77" s="156"/>
      <c r="DES77" s="156"/>
      <c r="DET77" s="156"/>
      <c r="DEU77" s="156"/>
      <c r="DEV77" s="156"/>
      <c r="DEW77" s="156"/>
      <c r="DEX77" s="156"/>
      <c r="DEY77" s="156"/>
      <c r="DEZ77" s="156"/>
      <c r="DFA77" s="156"/>
      <c r="DFB77" s="156"/>
      <c r="DFC77" s="156"/>
      <c r="DFD77" s="156"/>
      <c r="DFE77" s="156"/>
      <c r="DFF77" s="156"/>
      <c r="DFG77" s="156"/>
      <c r="DFH77" s="156"/>
      <c r="DFI77" s="156"/>
      <c r="DFJ77" s="156"/>
      <c r="DFK77" s="156"/>
      <c r="DFL77" s="156"/>
      <c r="DFM77" s="156"/>
      <c r="DFN77" s="156"/>
      <c r="DFO77" s="156"/>
      <c r="DFP77" s="156"/>
      <c r="DFQ77" s="156"/>
      <c r="DFR77" s="156"/>
      <c r="DFS77" s="156"/>
      <c r="DFT77" s="156"/>
      <c r="DFU77" s="156"/>
      <c r="DFV77" s="156"/>
      <c r="DFW77" s="156"/>
      <c r="DFX77" s="156"/>
      <c r="DFY77" s="156"/>
      <c r="DFZ77" s="156"/>
      <c r="DGA77" s="156"/>
      <c r="DGB77" s="156"/>
      <c r="DGC77" s="156"/>
      <c r="DGD77" s="156"/>
      <c r="DGE77" s="156"/>
      <c r="DGF77" s="156"/>
      <c r="DGG77" s="156"/>
      <c r="DGH77" s="156"/>
      <c r="DGI77" s="156"/>
      <c r="DGJ77" s="156"/>
      <c r="DGK77" s="156"/>
      <c r="DGL77" s="156"/>
      <c r="DGM77" s="156"/>
      <c r="DGN77" s="156"/>
      <c r="DGO77" s="156"/>
      <c r="DGP77" s="156"/>
      <c r="DGQ77" s="156"/>
      <c r="DGR77" s="156"/>
      <c r="DGS77" s="156"/>
      <c r="DGT77" s="156"/>
      <c r="DGU77" s="156"/>
      <c r="DGV77" s="156"/>
      <c r="DGW77" s="156"/>
      <c r="DGX77" s="156"/>
      <c r="DGY77" s="156"/>
      <c r="DGZ77" s="156"/>
      <c r="DHA77" s="156"/>
      <c r="DHB77" s="156"/>
      <c r="DHC77" s="156"/>
      <c r="DHD77" s="156"/>
      <c r="DHE77" s="156"/>
      <c r="DHF77" s="156"/>
      <c r="DHG77" s="156"/>
      <c r="DHH77" s="156"/>
      <c r="DHI77" s="156"/>
      <c r="DHJ77" s="156"/>
      <c r="DHK77" s="156"/>
      <c r="DHL77" s="156"/>
      <c r="DHM77" s="156"/>
      <c r="DHN77" s="156"/>
      <c r="DHO77" s="156"/>
      <c r="DHP77" s="156"/>
      <c r="DHQ77" s="156"/>
      <c r="DHR77" s="156"/>
      <c r="DHS77" s="156"/>
      <c r="DHT77" s="156"/>
      <c r="DHU77" s="156"/>
      <c r="DHV77" s="156"/>
      <c r="DHW77" s="156"/>
      <c r="DHX77" s="156"/>
      <c r="DHY77" s="156"/>
      <c r="DHZ77" s="156"/>
      <c r="DIA77" s="156"/>
      <c r="DIB77" s="156"/>
      <c r="DIC77" s="156"/>
      <c r="DID77" s="156"/>
      <c r="DIE77" s="156"/>
      <c r="DIF77" s="156"/>
      <c r="DIG77" s="156"/>
      <c r="DIH77" s="156"/>
      <c r="DII77" s="156"/>
      <c r="DIJ77" s="156"/>
      <c r="DIK77" s="156"/>
      <c r="DIL77" s="156"/>
      <c r="DIM77" s="156"/>
      <c r="DIN77" s="156"/>
      <c r="DIO77" s="156"/>
      <c r="DIP77" s="156"/>
      <c r="DIQ77" s="156"/>
      <c r="DIR77" s="156"/>
      <c r="DIS77" s="156"/>
      <c r="DIT77" s="156"/>
      <c r="DIU77" s="156"/>
      <c r="DIV77" s="156"/>
      <c r="DIW77" s="156"/>
      <c r="DIX77" s="156"/>
      <c r="DIY77" s="156"/>
      <c r="DIZ77" s="156"/>
      <c r="DJA77" s="156"/>
      <c r="DJB77" s="156"/>
      <c r="DJC77" s="156"/>
      <c r="DJD77" s="156"/>
      <c r="DJE77" s="156"/>
      <c r="DJF77" s="156"/>
      <c r="DJG77" s="156"/>
      <c r="DJH77" s="156"/>
      <c r="DJI77" s="156"/>
      <c r="DJJ77" s="156"/>
      <c r="DJK77" s="156"/>
      <c r="DJL77" s="156"/>
      <c r="DJM77" s="156"/>
      <c r="DJN77" s="156"/>
      <c r="DJO77" s="156"/>
      <c r="DJP77" s="156"/>
      <c r="DJQ77" s="156"/>
      <c r="DJR77" s="156"/>
      <c r="DJS77" s="156"/>
      <c r="DJT77" s="156"/>
      <c r="DJU77" s="156"/>
      <c r="DJV77" s="156"/>
      <c r="DJW77" s="156"/>
      <c r="DJX77" s="156"/>
      <c r="DJY77" s="156"/>
      <c r="DJZ77" s="156"/>
      <c r="DKA77" s="156"/>
      <c r="DKB77" s="156"/>
      <c r="DKC77" s="156"/>
      <c r="DKD77" s="156"/>
      <c r="DKE77" s="156"/>
      <c r="DKF77" s="156"/>
      <c r="DKG77" s="156"/>
      <c r="DKH77" s="156"/>
      <c r="DKI77" s="156"/>
      <c r="DKJ77" s="156"/>
      <c r="DKK77" s="156"/>
      <c r="DKL77" s="156"/>
      <c r="DKM77" s="156"/>
      <c r="DKN77" s="156"/>
      <c r="DKO77" s="156"/>
      <c r="DKP77" s="156"/>
      <c r="DKQ77" s="156"/>
      <c r="DKR77" s="156"/>
      <c r="DKS77" s="156"/>
      <c r="DKT77" s="156"/>
      <c r="DKU77" s="156"/>
      <c r="DKV77" s="156"/>
      <c r="DKW77" s="156"/>
      <c r="DKX77" s="156"/>
      <c r="DKY77" s="156"/>
      <c r="DKZ77" s="156"/>
      <c r="DLA77" s="156"/>
      <c r="DLB77" s="156"/>
      <c r="DLC77" s="156"/>
      <c r="DLD77" s="156"/>
      <c r="DLE77" s="156"/>
      <c r="DLF77" s="156"/>
      <c r="DLG77" s="156"/>
      <c r="DLH77" s="156"/>
      <c r="DLI77" s="156"/>
      <c r="DLJ77" s="156"/>
      <c r="DLK77" s="156"/>
      <c r="DLL77" s="156"/>
      <c r="DLM77" s="156"/>
      <c r="DLN77" s="156"/>
      <c r="DLO77" s="156"/>
      <c r="DLP77" s="156"/>
      <c r="DLQ77" s="156"/>
      <c r="DLR77" s="156"/>
      <c r="DLS77" s="156"/>
      <c r="DLT77" s="156"/>
      <c r="DLU77" s="156"/>
      <c r="DLV77" s="156"/>
      <c r="DLW77" s="156"/>
      <c r="DLX77" s="156"/>
      <c r="DLY77" s="156"/>
      <c r="DLZ77" s="156"/>
      <c r="DMA77" s="156"/>
      <c r="DMB77" s="156"/>
      <c r="DMC77" s="156"/>
      <c r="DMD77" s="156"/>
      <c r="DME77" s="156"/>
      <c r="DMF77" s="156"/>
      <c r="DMG77" s="156"/>
      <c r="DMH77" s="156"/>
      <c r="DMI77" s="156"/>
      <c r="DMJ77" s="156"/>
      <c r="DMK77" s="156"/>
      <c r="DML77" s="156"/>
      <c r="DMM77" s="156"/>
      <c r="DMN77" s="156"/>
      <c r="DMO77" s="156"/>
      <c r="DMP77" s="156"/>
      <c r="DMQ77" s="156"/>
      <c r="DMR77" s="156"/>
      <c r="DMS77" s="156"/>
      <c r="DMT77" s="156"/>
      <c r="DMU77" s="156"/>
      <c r="DMV77" s="156"/>
      <c r="DMW77" s="156"/>
      <c r="DMX77" s="156"/>
      <c r="DMY77" s="156"/>
      <c r="DMZ77" s="156"/>
      <c r="DNA77" s="156"/>
      <c r="DNB77" s="156"/>
      <c r="DNC77" s="156"/>
      <c r="DND77" s="156"/>
      <c r="DNE77" s="156"/>
      <c r="DNF77" s="156"/>
      <c r="DNG77" s="156"/>
      <c r="DNH77" s="156"/>
      <c r="DNI77" s="156"/>
      <c r="DNJ77" s="156"/>
      <c r="DNK77" s="156"/>
      <c r="DNL77" s="156"/>
      <c r="DNM77" s="156"/>
      <c r="DNN77" s="156"/>
      <c r="DNO77" s="156"/>
      <c r="DNP77" s="156"/>
      <c r="DNQ77" s="156"/>
      <c r="DNR77" s="156"/>
      <c r="DNS77" s="156"/>
      <c r="DNT77" s="156"/>
      <c r="DNU77" s="156"/>
      <c r="DNV77" s="156"/>
      <c r="DNW77" s="156"/>
      <c r="DNX77" s="156"/>
      <c r="DNY77" s="156"/>
      <c r="DNZ77" s="156"/>
      <c r="DOA77" s="156"/>
      <c r="DOB77" s="156"/>
      <c r="DOC77" s="156"/>
      <c r="DOD77" s="156"/>
      <c r="DOE77" s="156"/>
      <c r="DOF77" s="156"/>
      <c r="DOG77" s="156"/>
      <c r="DOH77" s="156"/>
      <c r="DOI77" s="156"/>
      <c r="DOJ77" s="156"/>
      <c r="DOK77" s="156"/>
      <c r="DOL77" s="156"/>
      <c r="DOM77" s="156"/>
      <c r="DON77" s="156"/>
      <c r="DOO77" s="156"/>
      <c r="DOP77" s="156"/>
      <c r="DOQ77" s="156"/>
      <c r="DOR77" s="156"/>
      <c r="DOS77" s="156"/>
      <c r="DOT77" s="156"/>
      <c r="DOU77" s="156"/>
      <c r="DOV77" s="156"/>
      <c r="DOW77" s="156"/>
      <c r="DOX77" s="156"/>
      <c r="DOY77" s="156"/>
      <c r="DOZ77" s="156"/>
      <c r="DPA77" s="156"/>
      <c r="DPB77" s="156"/>
      <c r="DPC77" s="156"/>
      <c r="DPD77" s="156"/>
      <c r="DPE77" s="156"/>
      <c r="DPF77" s="156"/>
      <c r="DPG77" s="156"/>
      <c r="DPH77" s="156"/>
      <c r="DPI77" s="156"/>
      <c r="DPJ77" s="156"/>
      <c r="DPK77" s="156"/>
      <c r="DPL77" s="156"/>
      <c r="DPM77" s="156"/>
      <c r="DPN77" s="156"/>
      <c r="DPO77" s="156"/>
      <c r="DPP77" s="156"/>
      <c r="DPQ77" s="156"/>
      <c r="DPR77" s="156"/>
      <c r="DPS77" s="156"/>
      <c r="DPT77" s="156"/>
      <c r="DPU77" s="156"/>
      <c r="DPV77" s="156"/>
      <c r="DPW77" s="156"/>
      <c r="DPX77" s="156"/>
      <c r="DPY77" s="156"/>
      <c r="DPZ77" s="156"/>
      <c r="DQA77" s="156"/>
      <c r="DQB77" s="156"/>
      <c r="DQC77" s="156"/>
      <c r="DQD77" s="156"/>
      <c r="DQE77" s="156"/>
      <c r="DQF77" s="156"/>
      <c r="DQG77" s="156"/>
      <c r="DQH77" s="156"/>
      <c r="DQI77" s="156"/>
      <c r="DQJ77" s="156"/>
      <c r="DQK77" s="156"/>
      <c r="DQL77" s="156"/>
      <c r="DQM77" s="156"/>
      <c r="DQN77" s="156"/>
      <c r="DQO77" s="156"/>
      <c r="DQP77" s="156"/>
      <c r="DQQ77" s="156"/>
      <c r="DQR77" s="156"/>
      <c r="DQS77" s="156"/>
      <c r="DQT77" s="156"/>
      <c r="DQU77" s="156"/>
      <c r="DQV77" s="156"/>
      <c r="DQW77" s="156"/>
      <c r="DQX77" s="156"/>
      <c r="DQY77" s="156"/>
      <c r="DQZ77" s="156"/>
      <c r="DRA77" s="156"/>
      <c r="DRB77" s="156"/>
      <c r="DRC77" s="156"/>
      <c r="DRD77" s="156"/>
      <c r="DRE77" s="156"/>
      <c r="DRF77" s="156"/>
      <c r="DRG77" s="156"/>
      <c r="DRH77" s="156"/>
      <c r="DRI77" s="156"/>
      <c r="DRJ77" s="156"/>
      <c r="DRK77" s="156"/>
      <c r="DRL77" s="156"/>
      <c r="DRM77" s="156"/>
      <c r="DRN77" s="156"/>
      <c r="DRO77" s="156"/>
      <c r="DRP77" s="156"/>
      <c r="DRQ77" s="156"/>
      <c r="DRR77" s="156"/>
      <c r="DRS77" s="156"/>
      <c r="DRT77" s="156"/>
      <c r="DRU77" s="156"/>
      <c r="DRV77" s="156"/>
      <c r="DRW77" s="156"/>
      <c r="DRX77" s="156"/>
      <c r="DRY77" s="156"/>
      <c r="DRZ77" s="156"/>
      <c r="DSA77" s="156"/>
      <c r="DSB77" s="156"/>
      <c r="DSC77" s="156"/>
      <c r="DSD77" s="156"/>
      <c r="DSE77" s="156"/>
      <c r="DSF77" s="156"/>
      <c r="DSG77" s="156"/>
      <c r="DSH77" s="156"/>
      <c r="DSI77" s="156"/>
      <c r="DSJ77" s="156"/>
      <c r="DSK77" s="156"/>
      <c r="DSL77" s="156"/>
      <c r="DSM77" s="156"/>
      <c r="DSN77" s="156"/>
      <c r="DSO77" s="156"/>
      <c r="DSP77" s="156"/>
      <c r="DSQ77" s="156"/>
      <c r="DSR77" s="156"/>
      <c r="DSS77" s="156"/>
      <c r="DST77" s="156"/>
      <c r="DSU77" s="156"/>
      <c r="DSV77" s="156"/>
      <c r="DSW77" s="156"/>
      <c r="DSX77" s="156"/>
      <c r="DSY77" s="156"/>
      <c r="DSZ77" s="156"/>
      <c r="DTA77" s="156"/>
      <c r="DTB77" s="156"/>
      <c r="DTC77" s="156"/>
      <c r="DTD77" s="156"/>
      <c r="DTE77" s="156"/>
      <c r="DTF77" s="156"/>
      <c r="DTG77" s="156"/>
      <c r="DTH77" s="156"/>
      <c r="DTI77" s="156"/>
      <c r="DTJ77" s="156"/>
      <c r="DTK77" s="156"/>
      <c r="DTL77" s="156"/>
      <c r="DTM77" s="156"/>
      <c r="DTN77" s="156"/>
      <c r="DTO77" s="156"/>
      <c r="DTP77" s="156"/>
      <c r="DTQ77" s="156"/>
      <c r="DTR77" s="156"/>
      <c r="DTS77" s="156"/>
      <c r="DTT77" s="156"/>
      <c r="DTU77" s="156"/>
      <c r="DTV77" s="156"/>
      <c r="DTW77" s="156"/>
      <c r="DTX77" s="156"/>
      <c r="DTY77" s="156"/>
      <c r="DTZ77" s="156"/>
      <c r="DUA77" s="156"/>
      <c r="DUB77" s="156"/>
      <c r="DUC77" s="156"/>
      <c r="DUD77" s="156"/>
      <c r="DUE77" s="156"/>
      <c r="DUF77" s="156"/>
      <c r="DUG77" s="156"/>
      <c r="DUH77" s="156"/>
      <c r="DUI77" s="156"/>
      <c r="DUJ77" s="156"/>
      <c r="DUK77" s="156"/>
      <c r="DUL77" s="156"/>
      <c r="DUM77" s="156"/>
      <c r="DUN77" s="156"/>
      <c r="DUO77" s="156"/>
      <c r="DUP77" s="156"/>
      <c r="DUQ77" s="156"/>
      <c r="DUR77" s="156"/>
      <c r="DUS77" s="156"/>
      <c r="DUT77" s="156"/>
      <c r="DUU77" s="156"/>
      <c r="DUV77" s="156"/>
      <c r="DUW77" s="156"/>
      <c r="DUX77" s="156"/>
      <c r="DUY77" s="156"/>
      <c r="DUZ77" s="156"/>
      <c r="DVA77" s="156"/>
      <c r="DVB77" s="156"/>
      <c r="DVC77" s="156"/>
      <c r="DVD77" s="156"/>
      <c r="DVE77" s="156"/>
      <c r="DVF77" s="156"/>
      <c r="DVG77" s="156"/>
      <c r="DVH77" s="156"/>
      <c r="DVI77" s="156"/>
      <c r="DVJ77" s="156"/>
      <c r="DVK77" s="156"/>
      <c r="DVL77" s="156"/>
      <c r="DVM77" s="156"/>
      <c r="DVN77" s="156"/>
      <c r="DVO77" s="156"/>
      <c r="DVP77" s="156"/>
      <c r="DVQ77" s="156"/>
      <c r="DVR77" s="156"/>
      <c r="DVS77" s="156"/>
      <c r="DVT77" s="156"/>
      <c r="DVU77" s="156"/>
      <c r="DVV77" s="156"/>
      <c r="DVW77" s="156"/>
      <c r="DVX77" s="156"/>
      <c r="DVY77" s="156"/>
      <c r="DVZ77" s="156"/>
      <c r="DWA77" s="156"/>
      <c r="DWB77" s="156"/>
      <c r="DWC77" s="156"/>
      <c r="DWD77" s="156"/>
      <c r="DWE77" s="156"/>
      <c r="DWF77" s="156"/>
      <c r="DWG77" s="156"/>
      <c r="DWH77" s="156"/>
      <c r="DWI77" s="156"/>
      <c r="DWJ77" s="156"/>
      <c r="DWK77" s="156"/>
      <c r="DWL77" s="156"/>
      <c r="DWM77" s="156"/>
      <c r="DWN77" s="156"/>
      <c r="DWO77" s="156"/>
      <c r="DWP77" s="156"/>
      <c r="DWQ77" s="156"/>
      <c r="DWR77" s="156"/>
      <c r="DWS77" s="156"/>
      <c r="DWT77" s="156"/>
      <c r="DWU77" s="156"/>
      <c r="DWV77" s="156"/>
      <c r="DWW77" s="156"/>
      <c r="DWX77" s="156"/>
      <c r="DWY77" s="156"/>
      <c r="DWZ77" s="156"/>
      <c r="DXA77" s="156"/>
      <c r="DXB77" s="156"/>
      <c r="DXC77" s="156"/>
      <c r="DXD77" s="156"/>
      <c r="DXE77" s="156"/>
      <c r="DXF77" s="156"/>
      <c r="DXG77" s="156"/>
      <c r="DXH77" s="156"/>
      <c r="DXI77" s="156"/>
      <c r="DXJ77" s="156"/>
      <c r="DXK77" s="156"/>
      <c r="DXL77" s="156"/>
      <c r="DXM77" s="156"/>
      <c r="DXN77" s="156"/>
      <c r="DXO77" s="156"/>
      <c r="DXP77" s="156"/>
      <c r="DXQ77" s="156"/>
      <c r="DXR77" s="156"/>
      <c r="DXS77" s="156"/>
      <c r="DXT77" s="156"/>
      <c r="DXU77" s="156"/>
      <c r="DXV77" s="156"/>
      <c r="DXW77" s="156"/>
      <c r="DXX77" s="156"/>
      <c r="DXY77" s="156"/>
      <c r="DXZ77" s="156"/>
      <c r="DYA77" s="156"/>
      <c r="DYB77" s="156"/>
      <c r="DYC77" s="156"/>
      <c r="DYD77" s="156"/>
      <c r="DYE77" s="156"/>
      <c r="DYF77" s="156"/>
      <c r="DYG77" s="156"/>
      <c r="DYH77" s="156"/>
      <c r="DYI77" s="156"/>
      <c r="DYJ77" s="156"/>
      <c r="DYK77" s="156"/>
      <c r="DYL77" s="156"/>
      <c r="DYM77" s="156"/>
      <c r="DYN77" s="156"/>
      <c r="DYO77" s="156"/>
      <c r="DYP77" s="156"/>
      <c r="DYQ77" s="156"/>
      <c r="DYR77" s="156"/>
      <c r="DYS77" s="156"/>
      <c r="DYT77" s="156"/>
      <c r="DYU77" s="156"/>
      <c r="DYV77" s="156"/>
      <c r="DYW77" s="156"/>
      <c r="DYX77" s="156"/>
      <c r="DYY77" s="156"/>
      <c r="DYZ77" s="156"/>
      <c r="DZA77" s="156"/>
      <c r="DZB77" s="156"/>
      <c r="DZC77" s="156"/>
      <c r="DZD77" s="156"/>
      <c r="DZE77" s="156"/>
      <c r="DZF77" s="156"/>
      <c r="DZG77" s="156"/>
      <c r="DZH77" s="156"/>
      <c r="DZI77" s="156"/>
      <c r="DZJ77" s="156"/>
      <c r="DZK77" s="156"/>
      <c r="DZL77" s="156"/>
      <c r="DZM77" s="156"/>
      <c r="DZN77" s="156"/>
      <c r="DZO77" s="156"/>
      <c r="DZP77" s="156"/>
      <c r="DZQ77" s="156"/>
      <c r="DZR77" s="156"/>
      <c r="DZS77" s="156"/>
      <c r="DZT77" s="156"/>
      <c r="DZU77" s="156"/>
      <c r="DZV77" s="156"/>
      <c r="DZW77" s="156"/>
      <c r="DZX77" s="156"/>
      <c r="DZY77" s="156"/>
      <c r="DZZ77" s="156"/>
      <c r="EAA77" s="156"/>
      <c r="EAB77" s="156"/>
      <c r="EAC77" s="156"/>
      <c r="EAD77" s="156"/>
      <c r="EAE77" s="156"/>
      <c r="EAF77" s="156"/>
      <c r="EAG77" s="156"/>
      <c r="EAH77" s="156"/>
      <c r="EAI77" s="156"/>
      <c r="EAJ77" s="156"/>
      <c r="EAK77" s="156"/>
      <c r="EAL77" s="156"/>
      <c r="EAM77" s="156"/>
      <c r="EAN77" s="156"/>
      <c r="EAO77" s="156"/>
      <c r="EAP77" s="156"/>
      <c r="EAQ77" s="156"/>
      <c r="EAR77" s="156"/>
      <c r="EAS77" s="156"/>
      <c r="EAT77" s="156"/>
      <c r="EAU77" s="156"/>
      <c r="EAV77" s="156"/>
      <c r="EAW77" s="156"/>
      <c r="EAX77" s="156"/>
      <c r="EAY77" s="156"/>
      <c r="EAZ77" s="156"/>
      <c r="EBA77" s="156"/>
      <c r="EBB77" s="156"/>
      <c r="EBC77" s="156"/>
      <c r="EBD77" s="156"/>
      <c r="EBE77" s="156"/>
      <c r="EBF77" s="156"/>
      <c r="EBG77" s="156"/>
      <c r="EBH77" s="156"/>
      <c r="EBI77" s="156"/>
      <c r="EBJ77" s="156"/>
      <c r="EBK77" s="156"/>
      <c r="EBL77" s="156"/>
      <c r="EBM77" s="156"/>
      <c r="EBN77" s="156"/>
      <c r="EBO77" s="156"/>
      <c r="EBP77" s="156"/>
      <c r="EBQ77" s="156"/>
      <c r="EBR77" s="156"/>
      <c r="EBS77" s="156"/>
      <c r="EBT77" s="156"/>
      <c r="EBU77" s="156"/>
      <c r="EBV77" s="156"/>
      <c r="EBW77" s="156"/>
      <c r="EBX77" s="156"/>
      <c r="EBY77" s="156"/>
      <c r="EBZ77" s="156"/>
      <c r="ECA77" s="156"/>
      <c r="ECB77" s="156"/>
      <c r="ECC77" s="156"/>
      <c r="ECD77" s="156"/>
      <c r="ECE77" s="156"/>
      <c r="ECF77" s="156"/>
      <c r="ECG77" s="156"/>
      <c r="ECH77" s="156"/>
      <c r="ECI77" s="156"/>
      <c r="ECJ77" s="156"/>
      <c r="ECK77" s="156"/>
      <c r="ECL77" s="156"/>
      <c r="ECM77" s="156"/>
      <c r="ECN77" s="156"/>
      <c r="ECO77" s="156"/>
      <c r="ECP77" s="156"/>
      <c r="ECQ77" s="156"/>
      <c r="ECR77" s="156"/>
      <c r="ECS77" s="156"/>
      <c r="ECT77" s="156"/>
      <c r="ECU77" s="156"/>
      <c r="ECV77" s="156"/>
      <c r="ECW77" s="156"/>
      <c r="ECX77" s="156"/>
      <c r="ECY77" s="156"/>
      <c r="ECZ77" s="156"/>
      <c r="EDA77" s="156"/>
      <c r="EDB77" s="156"/>
      <c r="EDC77" s="156"/>
      <c r="EDD77" s="156"/>
      <c r="EDE77" s="156"/>
      <c r="EDF77" s="156"/>
      <c r="EDG77" s="156"/>
      <c r="EDH77" s="156"/>
      <c r="EDI77" s="156"/>
      <c r="EDJ77" s="156"/>
      <c r="EDK77" s="156"/>
      <c r="EDL77" s="156"/>
      <c r="EDM77" s="156"/>
      <c r="EDN77" s="156"/>
      <c r="EDO77" s="156"/>
      <c r="EDP77" s="156"/>
      <c r="EDQ77" s="156"/>
      <c r="EDR77" s="156"/>
      <c r="EDS77" s="156"/>
      <c r="EDT77" s="156"/>
      <c r="EDU77" s="156"/>
      <c r="EDV77" s="156"/>
      <c r="EDW77" s="156"/>
      <c r="EDX77" s="156"/>
      <c r="EDY77" s="156"/>
      <c r="EDZ77" s="156"/>
      <c r="EEA77" s="156"/>
      <c r="EEB77" s="156"/>
      <c r="EEC77" s="156"/>
      <c r="EED77" s="156"/>
      <c r="EEE77" s="156"/>
      <c r="EEF77" s="156"/>
      <c r="EEG77" s="156"/>
      <c r="EEH77" s="156"/>
      <c r="EEI77" s="156"/>
      <c r="EEJ77" s="156"/>
      <c r="EEK77" s="156"/>
      <c r="EEL77" s="156"/>
      <c r="EEM77" s="156"/>
      <c r="EEN77" s="156"/>
      <c r="EEO77" s="156"/>
      <c r="EEP77" s="156"/>
      <c r="EEQ77" s="156"/>
      <c r="EER77" s="156"/>
      <c r="EES77" s="156"/>
      <c r="EET77" s="156"/>
      <c r="EEU77" s="156"/>
      <c r="EEV77" s="156"/>
      <c r="EEW77" s="156"/>
      <c r="EEX77" s="156"/>
      <c r="EEY77" s="156"/>
      <c r="EEZ77" s="156"/>
      <c r="EFA77" s="156"/>
      <c r="EFB77" s="156"/>
      <c r="EFC77" s="156"/>
      <c r="EFD77" s="156"/>
      <c r="EFE77" s="156"/>
      <c r="EFF77" s="156"/>
      <c r="EFG77" s="156"/>
      <c r="EFH77" s="156"/>
      <c r="EFI77" s="156"/>
      <c r="EFJ77" s="156"/>
      <c r="EFK77" s="156"/>
      <c r="EFL77" s="156"/>
      <c r="EFM77" s="156"/>
      <c r="EFN77" s="156"/>
      <c r="EFO77" s="156"/>
      <c r="EFP77" s="156"/>
      <c r="EFQ77" s="156"/>
      <c r="EFR77" s="156"/>
      <c r="EFS77" s="156"/>
      <c r="EFT77" s="156"/>
      <c r="EFU77" s="156"/>
      <c r="EFV77" s="156"/>
      <c r="EFW77" s="156"/>
      <c r="EFX77" s="156"/>
      <c r="EFY77" s="156"/>
      <c r="EFZ77" s="156"/>
      <c r="EGA77" s="156"/>
      <c r="EGB77" s="156"/>
      <c r="EGC77" s="156"/>
      <c r="EGD77" s="156"/>
      <c r="EGE77" s="156"/>
      <c r="EGF77" s="156"/>
      <c r="EGG77" s="156"/>
      <c r="EGH77" s="156"/>
      <c r="EGI77" s="156"/>
      <c r="EGJ77" s="156"/>
      <c r="EGK77" s="156"/>
      <c r="EGL77" s="156"/>
      <c r="EGM77" s="156"/>
      <c r="EGN77" s="156"/>
      <c r="EGO77" s="156"/>
      <c r="EGP77" s="156"/>
      <c r="EGQ77" s="156"/>
      <c r="EGR77" s="156"/>
      <c r="EGS77" s="156"/>
      <c r="EGT77" s="156"/>
      <c r="EGU77" s="156"/>
      <c r="EGV77" s="156"/>
      <c r="EGW77" s="156"/>
      <c r="EGX77" s="156"/>
      <c r="EGY77" s="156"/>
      <c r="EGZ77" s="156"/>
      <c r="EHA77" s="156"/>
      <c r="EHB77" s="156"/>
      <c r="EHC77" s="156"/>
      <c r="EHD77" s="156"/>
      <c r="EHE77" s="156"/>
      <c r="EHF77" s="156"/>
      <c r="EHG77" s="156"/>
      <c r="EHH77" s="156"/>
      <c r="EHI77" s="156"/>
      <c r="EHJ77" s="156"/>
      <c r="EHK77" s="156"/>
      <c r="EHL77" s="156"/>
      <c r="EHM77" s="156"/>
      <c r="EHN77" s="156"/>
      <c r="EHO77" s="156"/>
      <c r="EHP77" s="156"/>
      <c r="EHQ77" s="156"/>
      <c r="EHR77" s="156"/>
      <c r="EHS77" s="156"/>
      <c r="EHT77" s="156"/>
      <c r="EHU77" s="156"/>
      <c r="EHV77" s="156"/>
      <c r="EHW77" s="156"/>
      <c r="EHX77" s="156"/>
      <c r="EHY77" s="156"/>
      <c r="EHZ77" s="156"/>
      <c r="EIA77" s="156"/>
      <c r="EIB77" s="156"/>
      <c r="EIC77" s="156"/>
      <c r="EID77" s="156"/>
      <c r="EIE77" s="156"/>
      <c r="EIF77" s="156"/>
      <c r="EIG77" s="156"/>
      <c r="EIH77" s="156"/>
      <c r="EII77" s="156"/>
      <c r="EIJ77" s="156"/>
      <c r="EIK77" s="156"/>
      <c r="EIL77" s="156"/>
      <c r="EIM77" s="156"/>
      <c r="EIN77" s="156"/>
      <c r="EIO77" s="156"/>
      <c r="EIP77" s="156"/>
      <c r="EIQ77" s="156"/>
      <c r="EIR77" s="156"/>
      <c r="EIS77" s="156"/>
      <c r="EIT77" s="156"/>
      <c r="EIU77" s="156"/>
      <c r="EIV77" s="156"/>
      <c r="EIW77" s="156"/>
      <c r="EIX77" s="156"/>
      <c r="EIY77" s="156"/>
      <c r="EIZ77" s="156"/>
      <c r="EJA77" s="156"/>
      <c r="EJB77" s="156"/>
      <c r="EJC77" s="156"/>
      <c r="EJD77" s="156"/>
      <c r="EJE77" s="156"/>
      <c r="EJF77" s="156"/>
      <c r="EJG77" s="156"/>
      <c r="EJH77" s="156"/>
      <c r="EJI77" s="156"/>
      <c r="EJJ77" s="156"/>
      <c r="EJK77" s="156"/>
      <c r="EJL77" s="156"/>
      <c r="EJM77" s="156"/>
      <c r="EJN77" s="156"/>
      <c r="EJO77" s="156"/>
      <c r="EJP77" s="156"/>
      <c r="EJQ77" s="156"/>
      <c r="EJR77" s="156"/>
      <c r="EJS77" s="156"/>
      <c r="EJT77" s="156"/>
      <c r="EJU77" s="156"/>
      <c r="EJV77" s="156"/>
      <c r="EJW77" s="156"/>
      <c r="EJX77" s="156"/>
      <c r="EJY77" s="156"/>
      <c r="EJZ77" s="156"/>
      <c r="EKA77" s="156"/>
      <c r="EKB77" s="156"/>
      <c r="EKC77" s="156"/>
      <c r="EKD77" s="156"/>
      <c r="EKE77" s="156"/>
      <c r="EKF77" s="156"/>
      <c r="EKG77" s="156"/>
      <c r="EKH77" s="156"/>
      <c r="EKI77" s="156"/>
      <c r="EKJ77" s="156"/>
      <c r="EKK77" s="156"/>
      <c r="EKL77" s="156"/>
      <c r="EKM77" s="156"/>
      <c r="EKN77" s="156"/>
      <c r="EKO77" s="156"/>
      <c r="EKP77" s="156"/>
      <c r="EKQ77" s="156"/>
      <c r="EKR77" s="156"/>
      <c r="EKS77" s="156"/>
      <c r="EKT77" s="156"/>
      <c r="EKU77" s="156"/>
      <c r="EKV77" s="156"/>
      <c r="EKW77" s="156"/>
      <c r="EKX77" s="156"/>
      <c r="EKY77" s="156"/>
      <c r="EKZ77" s="156"/>
      <c r="ELA77" s="156"/>
      <c r="ELB77" s="156"/>
      <c r="ELC77" s="156"/>
      <c r="ELD77" s="156"/>
      <c r="ELE77" s="156"/>
      <c r="ELF77" s="156"/>
      <c r="ELG77" s="156"/>
      <c r="ELH77" s="156"/>
      <c r="ELI77" s="156"/>
      <c r="ELJ77" s="156"/>
      <c r="ELK77" s="156"/>
      <c r="ELL77" s="156"/>
      <c r="ELM77" s="156"/>
      <c r="ELN77" s="156"/>
      <c r="ELO77" s="156"/>
      <c r="ELP77" s="156"/>
      <c r="ELQ77" s="156"/>
      <c r="ELR77" s="156"/>
      <c r="ELS77" s="156"/>
      <c r="ELT77" s="156"/>
      <c r="ELU77" s="156"/>
      <c r="ELV77" s="156"/>
      <c r="ELW77" s="156"/>
      <c r="ELX77" s="156"/>
      <c r="ELY77" s="156"/>
      <c r="ELZ77" s="156"/>
      <c r="EMA77" s="156"/>
      <c r="EMB77" s="156"/>
      <c r="EMC77" s="156"/>
      <c r="EMD77" s="156"/>
      <c r="EME77" s="156"/>
      <c r="EMF77" s="156"/>
      <c r="EMG77" s="156"/>
      <c r="EMH77" s="156"/>
      <c r="EMI77" s="156"/>
      <c r="EMJ77" s="156"/>
      <c r="EMK77" s="156"/>
      <c r="EML77" s="156"/>
      <c r="EMM77" s="156"/>
      <c r="EMN77" s="156"/>
      <c r="EMO77" s="156"/>
      <c r="EMP77" s="156"/>
      <c r="EMQ77" s="156"/>
      <c r="EMR77" s="156"/>
      <c r="EMS77" s="156"/>
      <c r="EMT77" s="156"/>
      <c r="EMU77" s="156"/>
      <c r="EMV77" s="156"/>
      <c r="EMW77" s="156"/>
      <c r="EMX77" s="156"/>
      <c r="EMY77" s="156"/>
      <c r="EMZ77" s="156"/>
      <c r="ENA77" s="156"/>
      <c r="ENB77" s="156"/>
      <c r="ENC77" s="156"/>
      <c r="END77" s="156"/>
      <c r="ENE77" s="156"/>
      <c r="ENF77" s="156"/>
      <c r="ENG77" s="156"/>
      <c r="ENH77" s="156"/>
      <c r="ENI77" s="156"/>
      <c r="ENJ77" s="156"/>
      <c r="ENK77" s="156"/>
      <c r="ENL77" s="156"/>
      <c r="ENM77" s="156"/>
      <c r="ENN77" s="156"/>
      <c r="ENO77" s="156"/>
      <c r="ENP77" s="156"/>
      <c r="ENQ77" s="156"/>
      <c r="ENR77" s="156"/>
      <c r="ENS77" s="156"/>
      <c r="ENT77" s="156"/>
      <c r="ENU77" s="156"/>
      <c r="ENV77" s="156"/>
      <c r="ENW77" s="156"/>
      <c r="ENX77" s="156"/>
      <c r="ENY77" s="156"/>
      <c r="ENZ77" s="156"/>
      <c r="EOA77" s="156"/>
      <c r="EOB77" s="156"/>
      <c r="EOC77" s="156"/>
      <c r="EOD77" s="156"/>
      <c r="EOE77" s="156"/>
      <c r="EOF77" s="156"/>
      <c r="EOG77" s="156"/>
      <c r="EOH77" s="156"/>
      <c r="EOI77" s="156"/>
      <c r="EOJ77" s="156"/>
      <c r="EOK77" s="156"/>
      <c r="EOL77" s="156"/>
      <c r="EOM77" s="156"/>
      <c r="EON77" s="156"/>
      <c r="EOO77" s="156"/>
      <c r="EOP77" s="156"/>
      <c r="EOQ77" s="156"/>
      <c r="EOR77" s="156"/>
      <c r="EOS77" s="156"/>
      <c r="EOT77" s="156"/>
      <c r="EOU77" s="156"/>
      <c r="EOV77" s="156"/>
      <c r="EOW77" s="156"/>
      <c r="EOX77" s="156"/>
      <c r="EOY77" s="156"/>
      <c r="EOZ77" s="156"/>
      <c r="EPA77" s="156"/>
      <c r="EPB77" s="156"/>
      <c r="EPC77" s="156"/>
      <c r="EPD77" s="156"/>
      <c r="EPE77" s="156"/>
      <c r="EPF77" s="156"/>
      <c r="EPG77" s="156"/>
      <c r="EPH77" s="156"/>
      <c r="EPI77" s="156"/>
      <c r="EPJ77" s="156"/>
      <c r="EPK77" s="156"/>
      <c r="EPL77" s="156"/>
      <c r="EPM77" s="156"/>
      <c r="EPN77" s="156"/>
      <c r="EPO77" s="156"/>
      <c r="EPP77" s="156"/>
      <c r="EPQ77" s="156"/>
      <c r="EPR77" s="156"/>
      <c r="EPS77" s="156"/>
      <c r="EPT77" s="156"/>
      <c r="EPU77" s="156"/>
      <c r="EPV77" s="156"/>
      <c r="EPW77" s="156"/>
      <c r="EPX77" s="156"/>
      <c r="EPY77" s="156"/>
      <c r="EPZ77" s="156"/>
      <c r="EQA77" s="156"/>
      <c r="EQB77" s="156"/>
      <c r="EQC77" s="156"/>
      <c r="EQD77" s="156"/>
      <c r="EQE77" s="156"/>
      <c r="EQF77" s="156"/>
      <c r="EQG77" s="156"/>
      <c r="EQH77" s="156"/>
      <c r="EQI77" s="156"/>
      <c r="EQJ77" s="156"/>
      <c r="EQK77" s="156"/>
      <c r="EQL77" s="156"/>
      <c r="EQM77" s="156"/>
      <c r="EQN77" s="156"/>
      <c r="EQO77" s="156"/>
      <c r="EQP77" s="156"/>
      <c r="EQQ77" s="156"/>
      <c r="EQR77" s="156"/>
      <c r="EQS77" s="156"/>
      <c r="EQT77" s="156"/>
      <c r="EQU77" s="156"/>
      <c r="EQV77" s="156"/>
      <c r="EQW77" s="156"/>
      <c r="EQX77" s="156"/>
      <c r="EQY77" s="156"/>
      <c r="EQZ77" s="156"/>
      <c r="ERA77" s="156"/>
      <c r="ERB77" s="156"/>
      <c r="ERC77" s="156"/>
      <c r="ERD77" s="156"/>
      <c r="ERE77" s="156"/>
      <c r="ERF77" s="156"/>
      <c r="ERG77" s="156"/>
      <c r="ERH77" s="156"/>
      <c r="ERI77" s="156"/>
      <c r="ERJ77" s="156"/>
      <c r="ERK77" s="156"/>
      <c r="ERL77" s="156"/>
      <c r="ERM77" s="156"/>
      <c r="ERN77" s="156"/>
      <c r="ERO77" s="156"/>
      <c r="ERP77" s="156"/>
      <c r="ERQ77" s="156"/>
      <c r="ERR77" s="156"/>
      <c r="ERS77" s="156"/>
      <c r="ERT77" s="156"/>
      <c r="ERU77" s="156"/>
      <c r="ERV77" s="156"/>
      <c r="ERW77" s="156"/>
      <c r="ERX77" s="156"/>
      <c r="ERY77" s="156"/>
      <c r="ERZ77" s="156"/>
      <c r="ESA77" s="156"/>
      <c r="ESB77" s="156"/>
      <c r="ESC77" s="156"/>
      <c r="ESD77" s="156"/>
      <c r="ESE77" s="156"/>
      <c r="ESF77" s="156"/>
      <c r="ESG77" s="156"/>
      <c r="ESH77" s="156"/>
      <c r="ESI77" s="156"/>
      <c r="ESJ77" s="156"/>
      <c r="ESK77" s="156"/>
      <c r="ESL77" s="156"/>
      <c r="ESM77" s="156"/>
      <c r="ESN77" s="156"/>
      <c r="ESO77" s="156"/>
      <c r="ESP77" s="156"/>
      <c r="ESQ77" s="156"/>
      <c r="ESR77" s="156"/>
      <c r="ESS77" s="156"/>
      <c r="EST77" s="156"/>
      <c r="ESU77" s="156"/>
      <c r="ESV77" s="156"/>
      <c r="ESW77" s="156"/>
      <c r="ESX77" s="156"/>
      <c r="ESY77" s="156"/>
      <c r="ESZ77" s="156"/>
      <c r="ETA77" s="156"/>
      <c r="ETB77" s="156"/>
      <c r="ETC77" s="156"/>
      <c r="ETD77" s="156"/>
      <c r="ETE77" s="156"/>
      <c r="ETF77" s="156"/>
      <c r="ETG77" s="156"/>
      <c r="ETH77" s="156"/>
      <c r="ETI77" s="156"/>
      <c r="ETJ77" s="156"/>
      <c r="ETK77" s="156"/>
      <c r="ETL77" s="156"/>
      <c r="ETM77" s="156"/>
      <c r="ETN77" s="156"/>
      <c r="ETO77" s="156"/>
      <c r="ETP77" s="156"/>
      <c r="ETQ77" s="156"/>
      <c r="ETR77" s="156"/>
      <c r="ETS77" s="156"/>
      <c r="ETT77" s="156"/>
      <c r="ETU77" s="156"/>
      <c r="ETV77" s="156"/>
      <c r="ETW77" s="156"/>
      <c r="ETX77" s="156"/>
      <c r="ETY77" s="156"/>
      <c r="ETZ77" s="156"/>
      <c r="EUA77" s="156"/>
      <c r="EUB77" s="156"/>
      <c r="EUC77" s="156"/>
      <c r="EUD77" s="156"/>
      <c r="EUE77" s="156"/>
      <c r="EUF77" s="156"/>
      <c r="EUG77" s="156"/>
      <c r="EUH77" s="156"/>
      <c r="EUI77" s="156"/>
      <c r="EUJ77" s="156"/>
      <c r="EUK77" s="156"/>
      <c r="EUL77" s="156"/>
      <c r="EUM77" s="156"/>
      <c r="EUN77" s="156"/>
      <c r="EUO77" s="156"/>
      <c r="EUP77" s="156"/>
      <c r="EUQ77" s="156"/>
      <c r="EUR77" s="156"/>
      <c r="EUS77" s="156"/>
      <c r="EUT77" s="156"/>
      <c r="EUU77" s="156"/>
      <c r="EUV77" s="156"/>
      <c r="EUW77" s="156"/>
      <c r="EUX77" s="156"/>
      <c r="EUY77" s="156"/>
      <c r="EUZ77" s="156"/>
      <c r="EVA77" s="156"/>
      <c r="EVB77" s="156"/>
      <c r="EVC77" s="156"/>
      <c r="EVD77" s="156"/>
      <c r="EVE77" s="156"/>
      <c r="EVF77" s="156"/>
      <c r="EVG77" s="156"/>
      <c r="EVH77" s="156"/>
      <c r="EVI77" s="156"/>
      <c r="EVJ77" s="156"/>
      <c r="EVK77" s="156"/>
      <c r="EVL77" s="156"/>
      <c r="EVM77" s="156"/>
      <c r="EVN77" s="156"/>
      <c r="EVO77" s="156"/>
      <c r="EVP77" s="156"/>
      <c r="EVQ77" s="156"/>
      <c r="EVR77" s="156"/>
      <c r="EVS77" s="156"/>
      <c r="EVT77" s="156"/>
      <c r="EVU77" s="156"/>
      <c r="EVV77" s="156"/>
      <c r="EVW77" s="156"/>
      <c r="EVX77" s="156"/>
      <c r="EVY77" s="156"/>
      <c r="EVZ77" s="156"/>
      <c r="EWA77" s="156"/>
      <c r="EWB77" s="156"/>
      <c r="EWC77" s="156"/>
      <c r="EWD77" s="156"/>
      <c r="EWE77" s="156"/>
      <c r="EWF77" s="156"/>
      <c r="EWG77" s="156"/>
      <c r="EWH77" s="156"/>
      <c r="EWI77" s="156"/>
      <c r="EWJ77" s="156"/>
      <c r="EWK77" s="156"/>
      <c r="EWL77" s="156"/>
      <c r="EWM77" s="156"/>
      <c r="EWN77" s="156"/>
      <c r="EWO77" s="156"/>
      <c r="EWP77" s="156"/>
      <c r="EWQ77" s="156"/>
      <c r="EWR77" s="156"/>
      <c r="EWS77" s="156"/>
      <c r="EWT77" s="156"/>
      <c r="EWU77" s="156"/>
      <c r="EWV77" s="156"/>
      <c r="EWW77" s="156"/>
      <c r="EWX77" s="156"/>
      <c r="EWY77" s="156"/>
      <c r="EWZ77" s="156"/>
      <c r="EXA77" s="156"/>
      <c r="EXB77" s="156"/>
      <c r="EXC77" s="156"/>
      <c r="EXD77" s="156"/>
      <c r="EXE77" s="156"/>
      <c r="EXF77" s="156"/>
      <c r="EXG77" s="156"/>
      <c r="EXH77" s="156"/>
      <c r="EXI77" s="156"/>
      <c r="EXJ77" s="156"/>
      <c r="EXK77" s="156"/>
      <c r="EXL77" s="156"/>
      <c r="EXM77" s="156"/>
      <c r="EXN77" s="156"/>
      <c r="EXO77" s="156"/>
      <c r="EXP77" s="156"/>
      <c r="EXQ77" s="156"/>
      <c r="EXR77" s="156"/>
      <c r="EXS77" s="156"/>
      <c r="EXT77" s="156"/>
      <c r="EXU77" s="156"/>
      <c r="EXV77" s="156"/>
      <c r="EXW77" s="156"/>
      <c r="EXX77" s="156"/>
      <c r="EXY77" s="156"/>
      <c r="EXZ77" s="156"/>
      <c r="EYA77" s="156"/>
      <c r="EYB77" s="156"/>
      <c r="EYC77" s="156"/>
      <c r="EYD77" s="156"/>
      <c r="EYE77" s="156"/>
      <c r="EYF77" s="156"/>
      <c r="EYG77" s="156"/>
      <c r="EYH77" s="156"/>
      <c r="EYI77" s="156"/>
      <c r="EYJ77" s="156"/>
      <c r="EYK77" s="156"/>
      <c r="EYL77" s="156"/>
      <c r="EYM77" s="156"/>
      <c r="EYN77" s="156"/>
      <c r="EYO77" s="156"/>
      <c r="EYP77" s="156"/>
      <c r="EYQ77" s="156"/>
      <c r="EYR77" s="156"/>
      <c r="EYS77" s="156"/>
      <c r="EYT77" s="156"/>
      <c r="EYU77" s="156"/>
      <c r="EYV77" s="156"/>
      <c r="EYW77" s="156"/>
      <c r="EYX77" s="156"/>
      <c r="EYY77" s="156"/>
      <c r="EYZ77" s="156"/>
      <c r="EZA77" s="156"/>
      <c r="EZB77" s="156"/>
      <c r="EZC77" s="156"/>
      <c r="EZD77" s="156"/>
      <c r="EZE77" s="156"/>
      <c r="EZF77" s="156"/>
      <c r="EZG77" s="156"/>
      <c r="EZH77" s="156"/>
      <c r="EZI77" s="156"/>
      <c r="EZJ77" s="156"/>
      <c r="EZK77" s="156"/>
      <c r="EZL77" s="156"/>
      <c r="EZM77" s="156"/>
      <c r="EZN77" s="156"/>
      <c r="EZO77" s="156"/>
      <c r="EZP77" s="156"/>
      <c r="EZQ77" s="156"/>
      <c r="EZR77" s="156"/>
      <c r="EZS77" s="156"/>
      <c r="EZT77" s="156"/>
      <c r="EZU77" s="156"/>
      <c r="EZV77" s="156"/>
      <c r="EZW77" s="156"/>
      <c r="EZX77" s="156"/>
      <c r="EZY77" s="156"/>
      <c r="EZZ77" s="156"/>
      <c r="FAA77" s="156"/>
      <c r="FAB77" s="156"/>
      <c r="FAC77" s="156"/>
      <c r="FAD77" s="156"/>
      <c r="FAE77" s="156"/>
      <c r="FAF77" s="156"/>
      <c r="FAG77" s="156"/>
      <c r="FAH77" s="156"/>
      <c r="FAI77" s="156"/>
      <c r="FAJ77" s="156"/>
      <c r="FAK77" s="156"/>
      <c r="FAL77" s="156"/>
      <c r="FAM77" s="156"/>
      <c r="FAN77" s="156"/>
      <c r="FAO77" s="156"/>
      <c r="FAP77" s="156"/>
      <c r="FAQ77" s="156"/>
      <c r="FAR77" s="156"/>
      <c r="FAS77" s="156"/>
      <c r="FAT77" s="156"/>
      <c r="FAU77" s="156"/>
      <c r="FAV77" s="156"/>
      <c r="FAW77" s="156"/>
      <c r="FAX77" s="156"/>
      <c r="FAY77" s="156"/>
      <c r="FAZ77" s="156"/>
      <c r="FBA77" s="156"/>
      <c r="FBB77" s="156"/>
      <c r="FBC77" s="156"/>
      <c r="FBD77" s="156"/>
      <c r="FBE77" s="156"/>
      <c r="FBF77" s="156"/>
      <c r="FBG77" s="156"/>
      <c r="FBH77" s="156"/>
      <c r="FBI77" s="156"/>
      <c r="FBJ77" s="156"/>
      <c r="FBK77" s="156"/>
      <c r="FBL77" s="156"/>
      <c r="FBM77" s="156"/>
      <c r="FBN77" s="156"/>
      <c r="FBO77" s="156"/>
      <c r="FBP77" s="156"/>
      <c r="FBQ77" s="156"/>
      <c r="FBR77" s="156"/>
      <c r="FBS77" s="156"/>
      <c r="FBT77" s="156"/>
      <c r="FBU77" s="156"/>
      <c r="FBV77" s="156"/>
      <c r="FBW77" s="156"/>
      <c r="FBX77" s="156"/>
      <c r="FBY77" s="156"/>
      <c r="FBZ77" s="156"/>
      <c r="FCA77" s="156"/>
      <c r="FCB77" s="156"/>
      <c r="FCC77" s="156"/>
      <c r="FCD77" s="156"/>
      <c r="FCE77" s="156"/>
      <c r="FCF77" s="156"/>
      <c r="FCG77" s="156"/>
      <c r="FCH77" s="156"/>
      <c r="FCI77" s="156"/>
      <c r="FCJ77" s="156"/>
      <c r="FCK77" s="156"/>
      <c r="FCL77" s="156"/>
      <c r="FCM77" s="156"/>
      <c r="FCN77" s="156"/>
      <c r="FCO77" s="156"/>
      <c r="FCP77" s="156"/>
      <c r="FCQ77" s="156"/>
      <c r="FCR77" s="156"/>
      <c r="FCS77" s="156"/>
      <c r="FCT77" s="156"/>
      <c r="FCU77" s="156"/>
      <c r="FCV77" s="156"/>
      <c r="FCW77" s="156"/>
      <c r="FCX77" s="156"/>
      <c r="FCY77" s="156"/>
      <c r="FCZ77" s="156"/>
      <c r="FDA77" s="156"/>
      <c r="FDB77" s="156"/>
      <c r="FDC77" s="156"/>
      <c r="FDD77" s="156"/>
      <c r="FDE77" s="156"/>
      <c r="FDF77" s="156"/>
      <c r="FDG77" s="156"/>
      <c r="FDH77" s="156"/>
      <c r="FDI77" s="156"/>
      <c r="FDJ77" s="156"/>
      <c r="FDK77" s="156"/>
      <c r="FDL77" s="156"/>
      <c r="FDM77" s="156"/>
      <c r="FDN77" s="156"/>
      <c r="FDO77" s="156"/>
      <c r="FDP77" s="156"/>
      <c r="FDQ77" s="156"/>
      <c r="FDR77" s="156"/>
      <c r="FDS77" s="156"/>
      <c r="FDT77" s="156"/>
      <c r="FDU77" s="156"/>
      <c r="FDV77" s="156"/>
      <c r="FDW77" s="156"/>
      <c r="FDX77" s="156"/>
      <c r="FDY77" s="156"/>
      <c r="FDZ77" s="156"/>
      <c r="FEA77" s="156"/>
      <c r="FEB77" s="156"/>
      <c r="FEC77" s="156"/>
      <c r="FED77" s="156"/>
      <c r="FEE77" s="156"/>
      <c r="FEF77" s="156"/>
      <c r="FEG77" s="156"/>
      <c r="FEH77" s="156"/>
      <c r="FEI77" s="156"/>
      <c r="FEJ77" s="156"/>
      <c r="FEK77" s="156"/>
      <c r="FEL77" s="156"/>
      <c r="FEM77" s="156"/>
      <c r="FEN77" s="156"/>
      <c r="FEO77" s="156"/>
      <c r="FEP77" s="156"/>
      <c r="FEQ77" s="156"/>
      <c r="FER77" s="156"/>
      <c r="FES77" s="156"/>
      <c r="FET77" s="156"/>
      <c r="FEU77" s="156"/>
      <c r="FEV77" s="156"/>
      <c r="FEW77" s="156"/>
      <c r="FEX77" s="156"/>
      <c r="FEY77" s="156"/>
      <c r="FEZ77" s="156"/>
      <c r="FFA77" s="156"/>
      <c r="FFB77" s="156"/>
      <c r="FFC77" s="156"/>
      <c r="FFD77" s="156"/>
      <c r="FFE77" s="156"/>
      <c r="FFF77" s="156"/>
      <c r="FFG77" s="156"/>
      <c r="FFH77" s="156"/>
      <c r="FFI77" s="156"/>
      <c r="FFJ77" s="156"/>
      <c r="FFK77" s="156"/>
      <c r="FFL77" s="156"/>
      <c r="FFM77" s="156"/>
      <c r="FFN77" s="156"/>
      <c r="FFO77" s="156"/>
      <c r="FFP77" s="156"/>
      <c r="FFQ77" s="156"/>
      <c r="FFR77" s="156"/>
      <c r="FFS77" s="156"/>
      <c r="FFT77" s="156"/>
      <c r="FFU77" s="156"/>
      <c r="FFV77" s="156"/>
      <c r="FFW77" s="156"/>
      <c r="FFX77" s="156"/>
      <c r="FFY77" s="156"/>
      <c r="FFZ77" s="156"/>
      <c r="FGA77" s="156"/>
      <c r="FGB77" s="156"/>
      <c r="FGC77" s="156"/>
      <c r="FGD77" s="156"/>
      <c r="FGE77" s="156"/>
      <c r="FGF77" s="156"/>
      <c r="FGG77" s="156"/>
      <c r="FGH77" s="156"/>
      <c r="FGI77" s="156"/>
      <c r="FGJ77" s="156"/>
      <c r="FGK77" s="156"/>
      <c r="FGL77" s="156"/>
      <c r="FGM77" s="156"/>
      <c r="FGN77" s="156"/>
      <c r="FGO77" s="156"/>
      <c r="FGP77" s="156"/>
      <c r="FGQ77" s="156"/>
      <c r="FGR77" s="156"/>
      <c r="FGS77" s="156"/>
      <c r="FGT77" s="156"/>
      <c r="FGU77" s="156"/>
      <c r="FGV77" s="156"/>
      <c r="FGW77" s="156"/>
      <c r="FGX77" s="156"/>
      <c r="FGY77" s="156"/>
      <c r="FGZ77" s="156"/>
      <c r="FHA77" s="156"/>
      <c r="FHB77" s="156"/>
      <c r="FHC77" s="156"/>
      <c r="FHD77" s="156"/>
      <c r="FHE77" s="156"/>
      <c r="FHF77" s="156"/>
      <c r="FHG77" s="156"/>
      <c r="FHH77" s="156"/>
      <c r="FHI77" s="156"/>
      <c r="FHJ77" s="156"/>
      <c r="FHK77" s="156"/>
      <c r="FHL77" s="156"/>
      <c r="FHM77" s="156"/>
      <c r="FHN77" s="156"/>
      <c r="FHO77" s="156"/>
      <c r="FHP77" s="156"/>
      <c r="FHQ77" s="156"/>
      <c r="FHR77" s="156"/>
      <c r="FHS77" s="156"/>
      <c r="FHT77" s="156"/>
      <c r="FHU77" s="156"/>
      <c r="FHV77" s="156"/>
      <c r="FHW77" s="156"/>
      <c r="FHX77" s="156"/>
      <c r="FHY77" s="156"/>
      <c r="FHZ77" s="156"/>
      <c r="FIA77" s="156"/>
      <c r="FIB77" s="156"/>
      <c r="FIC77" s="156"/>
      <c r="FID77" s="156"/>
      <c r="FIE77" s="156"/>
      <c r="FIF77" s="156"/>
      <c r="FIG77" s="156"/>
      <c r="FIH77" s="156"/>
      <c r="FII77" s="156"/>
      <c r="FIJ77" s="156"/>
      <c r="FIK77" s="156"/>
      <c r="FIL77" s="156"/>
      <c r="FIM77" s="156"/>
      <c r="FIN77" s="156"/>
      <c r="FIO77" s="156"/>
      <c r="FIP77" s="156"/>
      <c r="FIQ77" s="156"/>
      <c r="FIR77" s="156"/>
      <c r="FIS77" s="156"/>
      <c r="FIT77" s="156"/>
      <c r="FIU77" s="156"/>
      <c r="FIV77" s="156"/>
      <c r="FIW77" s="156"/>
      <c r="FIX77" s="156"/>
      <c r="FIY77" s="156"/>
      <c r="FIZ77" s="156"/>
      <c r="FJA77" s="156"/>
      <c r="FJB77" s="156"/>
      <c r="FJC77" s="156"/>
      <c r="FJD77" s="156"/>
      <c r="FJE77" s="156"/>
      <c r="FJF77" s="156"/>
      <c r="FJG77" s="156"/>
      <c r="FJH77" s="156"/>
      <c r="FJI77" s="156"/>
      <c r="FJJ77" s="156"/>
      <c r="FJK77" s="156"/>
      <c r="FJL77" s="156"/>
      <c r="FJM77" s="156"/>
      <c r="FJN77" s="156"/>
      <c r="FJO77" s="156"/>
      <c r="FJP77" s="156"/>
      <c r="FJQ77" s="156"/>
      <c r="FJR77" s="156"/>
      <c r="FJS77" s="156"/>
      <c r="FJT77" s="156"/>
      <c r="FJU77" s="156"/>
      <c r="FJV77" s="156"/>
      <c r="FJW77" s="156"/>
      <c r="FJX77" s="156"/>
      <c r="FJY77" s="156"/>
      <c r="FJZ77" s="156"/>
      <c r="FKA77" s="156"/>
      <c r="FKB77" s="156"/>
      <c r="FKC77" s="156"/>
      <c r="FKD77" s="156"/>
      <c r="FKE77" s="156"/>
      <c r="FKF77" s="156"/>
      <c r="FKG77" s="156"/>
      <c r="FKH77" s="156"/>
      <c r="FKI77" s="156"/>
      <c r="FKJ77" s="156"/>
      <c r="FKK77" s="156"/>
      <c r="FKL77" s="156"/>
      <c r="FKM77" s="156"/>
      <c r="FKN77" s="156"/>
      <c r="FKO77" s="156"/>
      <c r="FKP77" s="156"/>
      <c r="FKQ77" s="156"/>
      <c r="FKR77" s="156"/>
      <c r="FKS77" s="156"/>
      <c r="FKT77" s="156"/>
      <c r="FKU77" s="156"/>
      <c r="FKV77" s="156"/>
      <c r="FKW77" s="156"/>
      <c r="FKX77" s="156"/>
      <c r="FKY77" s="156"/>
      <c r="FKZ77" s="156"/>
      <c r="FLA77" s="156"/>
      <c r="FLB77" s="156"/>
      <c r="FLC77" s="156"/>
      <c r="FLD77" s="156"/>
      <c r="FLE77" s="156"/>
      <c r="FLF77" s="156"/>
      <c r="FLG77" s="156"/>
      <c r="FLH77" s="156"/>
      <c r="FLI77" s="156"/>
      <c r="FLJ77" s="156"/>
      <c r="FLK77" s="156"/>
      <c r="FLL77" s="156"/>
      <c r="FLM77" s="156"/>
      <c r="FLN77" s="156"/>
      <c r="FLO77" s="156"/>
      <c r="FLP77" s="156"/>
      <c r="FLQ77" s="156"/>
      <c r="FLR77" s="156"/>
      <c r="FLS77" s="156"/>
      <c r="FLT77" s="156"/>
      <c r="FLU77" s="156"/>
      <c r="FLV77" s="156"/>
      <c r="FLW77" s="156"/>
      <c r="FLX77" s="156"/>
      <c r="FLY77" s="156"/>
      <c r="FLZ77" s="156"/>
      <c r="FMA77" s="156"/>
      <c r="FMB77" s="156"/>
      <c r="FMC77" s="156"/>
      <c r="FMD77" s="156"/>
      <c r="FME77" s="156"/>
      <c r="FMF77" s="156"/>
      <c r="FMG77" s="156"/>
      <c r="FMH77" s="156"/>
      <c r="FMI77" s="156"/>
      <c r="FMJ77" s="156"/>
      <c r="FMK77" s="156"/>
      <c r="FML77" s="156"/>
      <c r="FMM77" s="156"/>
      <c r="FMN77" s="156"/>
      <c r="FMO77" s="156"/>
      <c r="FMP77" s="156"/>
      <c r="FMQ77" s="156"/>
      <c r="FMR77" s="156"/>
      <c r="FMS77" s="156"/>
      <c r="FMT77" s="156"/>
      <c r="FMU77" s="156"/>
      <c r="FMV77" s="156"/>
      <c r="FMW77" s="156"/>
      <c r="FMX77" s="156"/>
      <c r="FMY77" s="156"/>
      <c r="FMZ77" s="156"/>
      <c r="FNA77" s="156"/>
      <c r="FNB77" s="156"/>
      <c r="FNC77" s="156"/>
      <c r="FND77" s="156"/>
      <c r="FNE77" s="156"/>
      <c r="FNF77" s="156"/>
      <c r="FNG77" s="156"/>
      <c r="FNH77" s="156"/>
      <c r="FNI77" s="156"/>
      <c r="FNJ77" s="156"/>
      <c r="FNK77" s="156"/>
      <c r="FNL77" s="156"/>
      <c r="FNM77" s="156"/>
      <c r="FNN77" s="156"/>
      <c r="FNO77" s="156"/>
      <c r="FNP77" s="156"/>
      <c r="FNQ77" s="156"/>
      <c r="FNR77" s="156"/>
      <c r="FNS77" s="156"/>
      <c r="FNT77" s="156"/>
      <c r="FNU77" s="156"/>
      <c r="FNV77" s="156"/>
      <c r="FNW77" s="156"/>
      <c r="FNX77" s="156"/>
      <c r="FNY77" s="156"/>
      <c r="FNZ77" s="156"/>
      <c r="FOA77" s="156"/>
      <c r="FOB77" s="156"/>
      <c r="FOC77" s="156"/>
      <c r="FOD77" s="156"/>
      <c r="FOE77" s="156"/>
      <c r="FOF77" s="156"/>
      <c r="FOG77" s="156"/>
      <c r="FOH77" s="156"/>
      <c r="FOI77" s="156"/>
      <c r="FOJ77" s="156"/>
      <c r="FOK77" s="156"/>
      <c r="FOL77" s="156"/>
      <c r="FOM77" s="156"/>
      <c r="FON77" s="156"/>
      <c r="FOO77" s="156"/>
      <c r="FOP77" s="156"/>
      <c r="FOQ77" s="156"/>
      <c r="FOR77" s="156"/>
      <c r="FOS77" s="156"/>
      <c r="FOT77" s="156"/>
      <c r="FOU77" s="156"/>
      <c r="FOV77" s="156"/>
      <c r="FOW77" s="156"/>
      <c r="FOX77" s="156"/>
      <c r="FOY77" s="156"/>
      <c r="FOZ77" s="156"/>
      <c r="FPA77" s="156"/>
      <c r="FPB77" s="156"/>
      <c r="FPC77" s="156"/>
      <c r="FPD77" s="156"/>
      <c r="FPE77" s="156"/>
      <c r="FPF77" s="156"/>
      <c r="FPG77" s="156"/>
      <c r="FPH77" s="156"/>
      <c r="FPI77" s="156"/>
      <c r="FPJ77" s="156"/>
      <c r="FPK77" s="156"/>
      <c r="FPL77" s="156"/>
      <c r="FPM77" s="156"/>
      <c r="FPN77" s="156"/>
      <c r="FPO77" s="156"/>
      <c r="FPP77" s="156"/>
      <c r="FPQ77" s="156"/>
      <c r="FPR77" s="156"/>
      <c r="FPS77" s="156"/>
      <c r="FPT77" s="156"/>
      <c r="FPU77" s="156"/>
      <c r="FPV77" s="156"/>
      <c r="FPW77" s="156"/>
      <c r="FPX77" s="156"/>
      <c r="FPY77" s="156"/>
      <c r="FPZ77" s="156"/>
      <c r="FQA77" s="156"/>
      <c r="FQB77" s="156"/>
      <c r="FQC77" s="156"/>
      <c r="FQD77" s="156"/>
      <c r="FQE77" s="156"/>
      <c r="FQF77" s="156"/>
      <c r="FQG77" s="156"/>
      <c r="FQH77" s="156"/>
      <c r="FQI77" s="156"/>
      <c r="FQJ77" s="156"/>
      <c r="FQK77" s="156"/>
      <c r="FQL77" s="156"/>
      <c r="FQM77" s="156"/>
      <c r="FQN77" s="156"/>
      <c r="FQO77" s="156"/>
      <c r="FQP77" s="156"/>
      <c r="FQQ77" s="156"/>
      <c r="FQR77" s="156"/>
      <c r="FQS77" s="156"/>
      <c r="FQT77" s="156"/>
      <c r="FQU77" s="156"/>
      <c r="FQV77" s="156"/>
      <c r="FQW77" s="156"/>
      <c r="FQX77" s="156"/>
      <c r="FQY77" s="156"/>
      <c r="FQZ77" s="156"/>
      <c r="FRA77" s="156"/>
      <c r="FRB77" s="156"/>
      <c r="FRC77" s="156"/>
      <c r="FRD77" s="156"/>
      <c r="FRE77" s="156"/>
      <c r="FRF77" s="156"/>
      <c r="FRG77" s="156"/>
      <c r="FRH77" s="156"/>
      <c r="FRI77" s="156"/>
      <c r="FRJ77" s="156"/>
      <c r="FRK77" s="156"/>
      <c r="FRL77" s="156"/>
      <c r="FRM77" s="156"/>
      <c r="FRN77" s="156"/>
      <c r="FRO77" s="156"/>
      <c r="FRP77" s="156"/>
      <c r="FRQ77" s="156"/>
      <c r="FRR77" s="156"/>
      <c r="FRS77" s="156"/>
      <c r="FRT77" s="156"/>
      <c r="FRU77" s="156"/>
      <c r="FRV77" s="156"/>
      <c r="FRW77" s="156"/>
      <c r="FRX77" s="156"/>
      <c r="FRY77" s="156"/>
      <c r="FRZ77" s="156"/>
      <c r="FSA77" s="156"/>
      <c r="FSB77" s="156"/>
      <c r="FSC77" s="156"/>
      <c r="FSD77" s="156"/>
      <c r="FSE77" s="156"/>
      <c r="FSF77" s="156"/>
      <c r="FSG77" s="156"/>
      <c r="FSH77" s="156"/>
      <c r="FSI77" s="156"/>
      <c r="FSJ77" s="156"/>
      <c r="FSK77" s="156"/>
      <c r="FSL77" s="156"/>
      <c r="FSM77" s="156"/>
      <c r="FSN77" s="156"/>
      <c r="FSO77" s="156"/>
      <c r="FSP77" s="156"/>
      <c r="FSQ77" s="156"/>
      <c r="FSR77" s="156"/>
      <c r="FSS77" s="156"/>
      <c r="FST77" s="156"/>
      <c r="FSU77" s="156"/>
      <c r="FSV77" s="156"/>
      <c r="FSW77" s="156"/>
      <c r="FSX77" s="156"/>
      <c r="FSY77" s="156"/>
      <c r="FSZ77" s="156"/>
      <c r="FTA77" s="156"/>
      <c r="FTB77" s="156"/>
      <c r="FTC77" s="156"/>
      <c r="FTD77" s="156"/>
      <c r="FTE77" s="156"/>
      <c r="FTF77" s="156"/>
      <c r="FTG77" s="156"/>
      <c r="FTH77" s="156"/>
      <c r="FTI77" s="156"/>
      <c r="FTJ77" s="156"/>
      <c r="FTK77" s="156"/>
      <c r="FTL77" s="156"/>
      <c r="FTM77" s="156"/>
      <c r="FTN77" s="156"/>
      <c r="FTO77" s="156"/>
      <c r="FTP77" s="156"/>
      <c r="FTQ77" s="156"/>
      <c r="FTR77" s="156"/>
      <c r="FTS77" s="156"/>
      <c r="FTT77" s="156"/>
      <c r="FTU77" s="156"/>
      <c r="FTV77" s="156"/>
      <c r="FTW77" s="156"/>
      <c r="FTX77" s="156"/>
      <c r="FTY77" s="156"/>
      <c r="FTZ77" s="156"/>
      <c r="FUA77" s="156"/>
      <c r="FUB77" s="156"/>
      <c r="FUC77" s="156"/>
      <c r="FUD77" s="156"/>
      <c r="FUE77" s="156"/>
      <c r="FUF77" s="156"/>
      <c r="FUG77" s="156"/>
      <c r="FUH77" s="156"/>
      <c r="FUI77" s="156"/>
      <c r="FUJ77" s="156"/>
      <c r="FUK77" s="156"/>
      <c r="FUL77" s="156"/>
      <c r="FUM77" s="156"/>
      <c r="FUN77" s="156"/>
      <c r="FUO77" s="156"/>
      <c r="FUP77" s="156"/>
      <c r="FUQ77" s="156"/>
      <c r="FUR77" s="156"/>
      <c r="FUS77" s="156"/>
      <c r="FUT77" s="156"/>
      <c r="FUU77" s="156"/>
      <c r="FUV77" s="156"/>
      <c r="FUW77" s="156"/>
      <c r="FUX77" s="156"/>
      <c r="FUY77" s="156"/>
      <c r="FUZ77" s="156"/>
      <c r="FVA77" s="156"/>
      <c r="FVB77" s="156"/>
      <c r="FVC77" s="156"/>
      <c r="FVD77" s="156"/>
      <c r="FVE77" s="156"/>
      <c r="FVF77" s="156"/>
      <c r="FVG77" s="156"/>
      <c r="FVH77" s="156"/>
      <c r="FVI77" s="156"/>
      <c r="FVJ77" s="156"/>
      <c r="FVK77" s="156"/>
      <c r="FVL77" s="156"/>
      <c r="FVM77" s="156"/>
      <c r="FVN77" s="156"/>
      <c r="FVO77" s="156"/>
      <c r="FVP77" s="156"/>
      <c r="FVQ77" s="156"/>
      <c r="FVR77" s="156"/>
      <c r="FVS77" s="156"/>
      <c r="FVT77" s="156"/>
      <c r="FVU77" s="156"/>
      <c r="FVV77" s="156"/>
      <c r="FVW77" s="156"/>
      <c r="FVX77" s="156"/>
      <c r="FVY77" s="156"/>
      <c r="FVZ77" s="156"/>
      <c r="FWA77" s="156"/>
      <c r="FWB77" s="156"/>
      <c r="FWC77" s="156"/>
      <c r="FWD77" s="156"/>
      <c r="FWE77" s="156"/>
      <c r="FWF77" s="156"/>
      <c r="FWG77" s="156"/>
      <c r="FWH77" s="156"/>
      <c r="FWI77" s="156"/>
      <c r="FWJ77" s="156"/>
      <c r="FWK77" s="156"/>
      <c r="FWL77" s="156"/>
      <c r="FWM77" s="156"/>
      <c r="FWN77" s="156"/>
      <c r="FWO77" s="156"/>
      <c r="FWP77" s="156"/>
      <c r="FWQ77" s="156"/>
      <c r="FWR77" s="156"/>
      <c r="FWS77" s="156"/>
      <c r="FWT77" s="156"/>
      <c r="FWU77" s="156"/>
      <c r="FWV77" s="156"/>
      <c r="FWW77" s="156"/>
      <c r="FWX77" s="156"/>
      <c r="FWY77" s="156"/>
      <c r="FWZ77" s="156"/>
      <c r="FXA77" s="156"/>
      <c r="FXB77" s="156"/>
      <c r="FXC77" s="156"/>
      <c r="FXD77" s="156"/>
      <c r="FXE77" s="156"/>
      <c r="FXF77" s="156"/>
      <c r="FXG77" s="156"/>
      <c r="FXH77" s="156"/>
      <c r="FXI77" s="156"/>
      <c r="FXJ77" s="156"/>
      <c r="FXK77" s="156"/>
      <c r="FXL77" s="156"/>
      <c r="FXM77" s="156"/>
      <c r="FXN77" s="156"/>
      <c r="FXO77" s="156"/>
      <c r="FXP77" s="156"/>
      <c r="FXQ77" s="156"/>
      <c r="FXR77" s="156"/>
      <c r="FXS77" s="156"/>
      <c r="FXT77" s="156"/>
      <c r="FXU77" s="156"/>
      <c r="FXV77" s="156"/>
      <c r="FXW77" s="156"/>
      <c r="FXX77" s="156"/>
      <c r="FXY77" s="156"/>
      <c r="FXZ77" s="156"/>
      <c r="FYA77" s="156"/>
      <c r="FYB77" s="156"/>
      <c r="FYC77" s="156"/>
      <c r="FYD77" s="156"/>
      <c r="FYE77" s="156"/>
      <c r="FYF77" s="156"/>
      <c r="FYG77" s="156"/>
      <c r="FYH77" s="156"/>
      <c r="FYI77" s="156"/>
      <c r="FYJ77" s="156"/>
      <c r="FYK77" s="156"/>
      <c r="FYL77" s="156"/>
      <c r="FYM77" s="156"/>
      <c r="FYN77" s="156"/>
      <c r="FYO77" s="156"/>
      <c r="FYP77" s="156"/>
      <c r="FYQ77" s="156"/>
      <c r="FYR77" s="156"/>
      <c r="FYS77" s="156"/>
      <c r="FYT77" s="156"/>
      <c r="FYU77" s="156"/>
      <c r="FYV77" s="156"/>
      <c r="FYW77" s="156"/>
      <c r="FYX77" s="156"/>
      <c r="FYY77" s="156"/>
      <c r="FYZ77" s="156"/>
      <c r="FZA77" s="156"/>
      <c r="FZB77" s="156"/>
      <c r="FZC77" s="156"/>
      <c r="FZD77" s="156"/>
      <c r="FZE77" s="156"/>
      <c r="FZF77" s="156"/>
      <c r="FZG77" s="156"/>
      <c r="FZH77" s="156"/>
      <c r="FZI77" s="156"/>
      <c r="FZJ77" s="156"/>
      <c r="FZK77" s="156"/>
      <c r="FZL77" s="156"/>
      <c r="FZM77" s="156"/>
      <c r="FZN77" s="156"/>
      <c r="FZO77" s="156"/>
      <c r="FZP77" s="156"/>
      <c r="FZQ77" s="156"/>
      <c r="FZR77" s="156"/>
      <c r="FZS77" s="156"/>
      <c r="FZT77" s="156"/>
      <c r="FZU77" s="156"/>
      <c r="FZV77" s="156"/>
      <c r="FZW77" s="156"/>
      <c r="FZX77" s="156"/>
      <c r="FZY77" s="156"/>
      <c r="FZZ77" s="156"/>
      <c r="GAA77" s="156"/>
      <c r="GAB77" s="156"/>
      <c r="GAC77" s="156"/>
      <c r="GAD77" s="156"/>
      <c r="GAE77" s="156"/>
      <c r="GAF77" s="156"/>
      <c r="GAG77" s="156"/>
      <c r="GAH77" s="156"/>
      <c r="GAI77" s="156"/>
      <c r="GAJ77" s="156"/>
      <c r="GAK77" s="156"/>
      <c r="GAL77" s="156"/>
      <c r="GAM77" s="156"/>
      <c r="GAN77" s="156"/>
      <c r="GAO77" s="156"/>
      <c r="GAP77" s="156"/>
      <c r="GAQ77" s="156"/>
      <c r="GAR77" s="156"/>
      <c r="GAS77" s="156"/>
      <c r="GAT77" s="156"/>
      <c r="GAU77" s="156"/>
      <c r="GAV77" s="156"/>
      <c r="GAW77" s="156"/>
      <c r="GAX77" s="156"/>
      <c r="GAY77" s="156"/>
      <c r="GAZ77" s="156"/>
      <c r="GBA77" s="156"/>
      <c r="GBB77" s="156"/>
      <c r="GBC77" s="156"/>
      <c r="GBD77" s="156"/>
      <c r="GBE77" s="156"/>
      <c r="GBF77" s="156"/>
      <c r="GBG77" s="156"/>
      <c r="GBH77" s="156"/>
      <c r="GBI77" s="156"/>
      <c r="GBJ77" s="156"/>
      <c r="GBK77" s="156"/>
      <c r="GBL77" s="156"/>
      <c r="GBM77" s="156"/>
      <c r="GBN77" s="156"/>
      <c r="GBO77" s="156"/>
      <c r="GBP77" s="156"/>
      <c r="GBQ77" s="156"/>
      <c r="GBR77" s="156"/>
      <c r="GBS77" s="156"/>
      <c r="GBT77" s="156"/>
      <c r="GBU77" s="156"/>
      <c r="GBV77" s="156"/>
      <c r="GBW77" s="156"/>
      <c r="GBX77" s="156"/>
      <c r="GBY77" s="156"/>
      <c r="GBZ77" s="156"/>
      <c r="GCA77" s="156"/>
      <c r="GCB77" s="156"/>
      <c r="GCC77" s="156"/>
      <c r="GCD77" s="156"/>
      <c r="GCE77" s="156"/>
      <c r="GCF77" s="156"/>
      <c r="GCG77" s="156"/>
      <c r="GCH77" s="156"/>
      <c r="GCI77" s="156"/>
      <c r="GCJ77" s="156"/>
      <c r="GCK77" s="156"/>
      <c r="GCL77" s="156"/>
      <c r="GCM77" s="156"/>
      <c r="GCN77" s="156"/>
      <c r="GCO77" s="156"/>
      <c r="GCP77" s="156"/>
      <c r="GCQ77" s="156"/>
      <c r="GCR77" s="156"/>
      <c r="GCS77" s="156"/>
      <c r="GCT77" s="156"/>
      <c r="GCU77" s="156"/>
      <c r="GCV77" s="156"/>
      <c r="GCW77" s="156"/>
      <c r="GCX77" s="156"/>
      <c r="GCY77" s="156"/>
      <c r="GCZ77" s="156"/>
      <c r="GDA77" s="156"/>
      <c r="GDB77" s="156"/>
      <c r="GDC77" s="156"/>
      <c r="GDD77" s="156"/>
      <c r="GDE77" s="156"/>
      <c r="GDF77" s="156"/>
      <c r="GDG77" s="156"/>
      <c r="GDH77" s="156"/>
      <c r="GDI77" s="156"/>
      <c r="GDJ77" s="156"/>
      <c r="GDK77" s="156"/>
      <c r="GDL77" s="156"/>
      <c r="GDM77" s="156"/>
      <c r="GDN77" s="156"/>
      <c r="GDO77" s="156"/>
      <c r="GDP77" s="156"/>
      <c r="GDQ77" s="156"/>
      <c r="GDR77" s="156"/>
      <c r="GDS77" s="156"/>
      <c r="GDT77" s="156"/>
      <c r="GDU77" s="156"/>
      <c r="GDV77" s="156"/>
      <c r="GDW77" s="156"/>
      <c r="GDX77" s="156"/>
      <c r="GDY77" s="156"/>
      <c r="GDZ77" s="156"/>
      <c r="GEA77" s="156"/>
      <c r="GEB77" s="156"/>
      <c r="GEC77" s="156"/>
      <c r="GED77" s="156"/>
      <c r="GEE77" s="156"/>
      <c r="GEF77" s="156"/>
      <c r="GEG77" s="156"/>
      <c r="GEH77" s="156"/>
      <c r="GEI77" s="156"/>
      <c r="GEJ77" s="156"/>
      <c r="GEK77" s="156"/>
      <c r="GEL77" s="156"/>
      <c r="GEM77" s="156"/>
      <c r="GEN77" s="156"/>
      <c r="GEO77" s="156"/>
      <c r="GEP77" s="156"/>
      <c r="GEQ77" s="156"/>
      <c r="GER77" s="156"/>
      <c r="GES77" s="156"/>
      <c r="GET77" s="156"/>
      <c r="GEU77" s="156"/>
      <c r="GEV77" s="156"/>
      <c r="GEW77" s="156"/>
      <c r="GEX77" s="156"/>
      <c r="GEY77" s="156"/>
      <c r="GEZ77" s="156"/>
      <c r="GFA77" s="156"/>
      <c r="GFB77" s="156"/>
      <c r="GFC77" s="156"/>
      <c r="GFD77" s="156"/>
      <c r="GFE77" s="156"/>
      <c r="GFF77" s="156"/>
      <c r="GFG77" s="156"/>
      <c r="GFH77" s="156"/>
      <c r="GFI77" s="156"/>
      <c r="GFJ77" s="156"/>
      <c r="GFK77" s="156"/>
      <c r="GFL77" s="156"/>
      <c r="GFM77" s="156"/>
      <c r="GFN77" s="156"/>
      <c r="GFO77" s="156"/>
      <c r="GFP77" s="156"/>
      <c r="GFQ77" s="156"/>
      <c r="GFR77" s="156"/>
      <c r="GFS77" s="156"/>
      <c r="GFT77" s="156"/>
      <c r="GFU77" s="156"/>
      <c r="GFV77" s="156"/>
      <c r="GFW77" s="156"/>
      <c r="GFX77" s="156"/>
      <c r="GFY77" s="156"/>
      <c r="GFZ77" s="156"/>
      <c r="GGA77" s="156"/>
      <c r="GGB77" s="156"/>
      <c r="GGC77" s="156"/>
      <c r="GGD77" s="156"/>
      <c r="GGE77" s="156"/>
      <c r="GGF77" s="156"/>
      <c r="GGG77" s="156"/>
      <c r="GGH77" s="156"/>
      <c r="GGI77" s="156"/>
      <c r="GGJ77" s="156"/>
      <c r="GGK77" s="156"/>
      <c r="GGL77" s="156"/>
      <c r="GGM77" s="156"/>
      <c r="GGN77" s="156"/>
      <c r="GGO77" s="156"/>
      <c r="GGP77" s="156"/>
      <c r="GGQ77" s="156"/>
      <c r="GGR77" s="156"/>
      <c r="GGS77" s="156"/>
      <c r="GGT77" s="156"/>
      <c r="GGU77" s="156"/>
      <c r="GGV77" s="156"/>
      <c r="GGW77" s="156"/>
      <c r="GGX77" s="156"/>
      <c r="GGY77" s="156"/>
      <c r="GGZ77" s="156"/>
      <c r="GHA77" s="156"/>
      <c r="GHB77" s="156"/>
      <c r="GHC77" s="156"/>
      <c r="GHD77" s="156"/>
      <c r="GHE77" s="156"/>
      <c r="GHF77" s="156"/>
      <c r="GHG77" s="156"/>
      <c r="GHH77" s="156"/>
      <c r="GHI77" s="156"/>
      <c r="GHJ77" s="156"/>
      <c r="GHK77" s="156"/>
      <c r="GHL77" s="156"/>
      <c r="GHM77" s="156"/>
      <c r="GHN77" s="156"/>
      <c r="GHO77" s="156"/>
      <c r="GHP77" s="156"/>
      <c r="GHQ77" s="156"/>
      <c r="GHR77" s="156"/>
      <c r="GHS77" s="156"/>
      <c r="GHT77" s="156"/>
      <c r="GHU77" s="156"/>
      <c r="GHV77" s="156"/>
      <c r="GHW77" s="156"/>
      <c r="GHX77" s="156"/>
      <c r="GHY77" s="156"/>
      <c r="GHZ77" s="156"/>
      <c r="GIA77" s="156"/>
      <c r="GIB77" s="156"/>
      <c r="GIC77" s="156"/>
      <c r="GID77" s="156"/>
      <c r="GIE77" s="156"/>
      <c r="GIF77" s="156"/>
      <c r="GIG77" s="156"/>
      <c r="GIH77" s="156"/>
      <c r="GII77" s="156"/>
      <c r="GIJ77" s="156"/>
      <c r="GIK77" s="156"/>
      <c r="GIL77" s="156"/>
      <c r="GIM77" s="156"/>
      <c r="GIN77" s="156"/>
      <c r="GIO77" s="156"/>
      <c r="GIP77" s="156"/>
      <c r="GIQ77" s="156"/>
      <c r="GIR77" s="156"/>
      <c r="GIS77" s="156"/>
      <c r="GIT77" s="156"/>
      <c r="GIU77" s="156"/>
      <c r="GIV77" s="156"/>
      <c r="GIW77" s="156"/>
      <c r="GIX77" s="156"/>
      <c r="GIY77" s="156"/>
      <c r="GIZ77" s="156"/>
      <c r="GJA77" s="156"/>
      <c r="GJB77" s="156"/>
      <c r="GJC77" s="156"/>
      <c r="GJD77" s="156"/>
      <c r="GJE77" s="156"/>
      <c r="GJF77" s="156"/>
      <c r="GJG77" s="156"/>
      <c r="GJH77" s="156"/>
      <c r="GJI77" s="156"/>
      <c r="GJJ77" s="156"/>
      <c r="GJK77" s="156"/>
      <c r="GJL77" s="156"/>
      <c r="GJM77" s="156"/>
      <c r="GJN77" s="156"/>
      <c r="GJO77" s="156"/>
      <c r="GJP77" s="156"/>
      <c r="GJQ77" s="156"/>
      <c r="GJR77" s="156"/>
      <c r="GJS77" s="156"/>
      <c r="GJT77" s="156"/>
      <c r="GJU77" s="156"/>
      <c r="GJV77" s="156"/>
      <c r="GJW77" s="156"/>
      <c r="GJX77" s="156"/>
      <c r="GJY77" s="156"/>
      <c r="GJZ77" s="156"/>
      <c r="GKA77" s="156"/>
      <c r="GKB77" s="156"/>
      <c r="GKC77" s="156"/>
      <c r="GKD77" s="156"/>
      <c r="GKE77" s="156"/>
      <c r="GKF77" s="156"/>
      <c r="GKG77" s="156"/>
      <c r="GKH77" s="156"/>
      <c r="GKI77" s="156"/>
      <c r="GKJ77" s="156"/>
      <c r="GKK77" s="156"/>
      <c r="GKL77" s="156"/>
      <c r="GKM77" s="156"/>
      <c r="GKN77" s="156"/>
      <c r="GKO77" s="156"/>
      <c r="GKP77" s="156"/>
      <c r="GKQ77" s="156"/>
      <c r="GKR77" s="156"/>
      <c r="GKS77" s="156"/>
      <c r="GKT77" s="156"/>
      <c r="GKU77" s="156"/>
      <c r="GKV77" s="156"/>
      <c r="GKW77" s="156"/>
      <c r="GKX77" s="156"/>
      <c r="GKY77" s="156"/>
      <c r="GKZ77" s="156"/>
      <c r="GLA77" s="156"/>
      <c r="GLB77" s="156"/>
      <c r="GLC77" s="156"/>
      <c r="GLD77" s="156"/>
      <c r="GLE77" s="156"/>
      <c r="GLF77" s="156"/>
      <c r="GLG77" s="156"/>
      <c r="GLH77" s="156"/>
      <c r="GLI77" s="156"/>
      <c r="GLJ77" s="156"/>
      <c r="GLK77" s="156"/>
      <c r="GLL77" s="156"/>
      <c r="GLM77" s="156"/>
      <c r="GLN77" s="156"/>
      <c r="GLO77" s="156"/>
      <c r="GLP77" s="156"/>
      <c r="GLQ77" s="156"/>
      <c r="GLR77" s="156"/>
      <c r="GLS77" s="156"/>
      <c r="GLT77" s="156"/>
      <c r="GLU77" s="156"/>
      <c r="GLV77" s="156"/>
      <c r="GLW77" s="156"/>
      <c r="GLX77" s="156"/>
      <c r="GLY77" s="156"/>
      <c r="GLZ77" s="156"/>
      <c r="GMA77" s="156"/>
      <c r="GMB77" s="156"/>
      <c r="GMC77" s="156"/>
      <c r="GMD77" s="156"/>
      <c r="GME77" s="156"/>
      <c r="GMF77" s="156"/>
      <c r="GMG77" s="156"/>
      <c r="GMH77" s="156"/>
      <c r="GMI77" s="156"/>
      <c r="GMJ77" s="156"/>
      <c r="GMK77" s="156"/>
      <c r="GML77" s="156"/>
      <c r="GMM77" s="156"/>
      <c r="GMN77" s="156"/>
      <c r="GMO77" s="156"/>
      <c r="GMP77" s="156"/>
      <c r="GMQ77" s="156"/>
      <c r="GMR77" s="156"/>
      <c r="GMS77" s="156"/>
      <c r="GMT77" s="156"/>
      <c r="GMU77" s="156"/>
      <c r="GMV77" s="156"/>
      <c r="GMW77" s="156"/>
      <c r="GMX77" s="156"/>
      <c r="GMY77" s="156"/>
      <c r="GMZ77" s="156"/>
      <c r="GNA77" s="156"/>
      <c r="GNB77" s="156"/>
      <c r="GNC77" s="156"/>
      <c r="GND77" s="156"/>
      <c r="GNE77" s="156"/>
      <c r="GNF77" s="156"/>
      <c r="GNG77" s="156"/>
      <c r="GNH77" s="156"/>
      <c r="GNI77" s="156"/>
      <c r="GNJ77" s="156"/>
      <c r="GNK77" s="156"/>
      <c r="GNL77" s="156"/>
      <c r="GNM77" s="156"/>
      <c r="GNN77" s="156"/>
      <c r="GNO77" s="156"/>
      <c r="GNP77" s="156"/>
      <c r="GNQ77" s="156"/>
      <c r="GNR77" s="156"/>
      <c r="GNS77" s="156"/>
      <c r="GNT77" s="156"/>
      <c r="GNU77" s="156"/>
      <c r="GNV77" s="156"/>
      <c r="GNW77" s="156"/>
      <c r="GNX77" s="156"/>
      <c r="GNY77" s="156"/>
      <c r="GNZ77" s="156"/>
      <c r="GOA77" s="156"/>
      <c r="GOB77" s="156"/>
      <c r="GOC77" s="156"/>
      <c r="GOD77" s="156"/>
      <c r="GOE77" s="156"/>
      <c r="GOF77" s="156"/>
      <c r="GOG77" s="156"/>
      <c r="GOH77" s="156"/>
      <c r="GOI77" s="156"/>
      <c r="GOJ77" s="156"/>
      <c r="GOK77" s="156"/>
      <c r="GOL77" s="156"/>
      <c r="GOM77" s="156"/>
      <c r="GON77" s="156"/>
      <c r="GOO77" s="156"/>
      <c r="GOP77" s="156"/>
      <c r="GOQ77" s="156"/>
      <c r="GOR77" s="156"/>
      <c r="GOS77" s="156"/>
      <c r="GOT77" s="156"/>
      <c r="GOU77" s="156"/>
      <c r="GOV77" s="156"/>
      <c r="GOW77" s="156"/>
      <c r="GOX77" s="156"/>
      <c r="GOY77" s="156"/>
      <c r="GOZ77" s="156"/>
      <c r="GPA77" s="156"/>
      <c r="GPB77" s="156"/>
      <c r="GPC77" s="156"/>
      <c r="GPD77" s="156"/>
      <c r="GPE77" s="156"/>
      <c r="GPF77" s="156"/>
      <c r="GPG77" s="156"/>
      <c r="GPH77" s="156"/>
      <c r="GPI77" s="156"/>
      <c r="GPJ77" s="156"/>
      <c r="GPK77" s="156"/>
      <c r="GPL77" s="156"/>
      <c r="GPM77" s="156"/>
      <c r="GPN77" s="156"/>
      <c r="GPO77" s="156"/>
      <c r="GPP77" s="156"/>
      <c r="GPQ77" s="156"/>
      <c r="GPR77" s="156"/>
      <c r="GPS77" s="156"/>
      <c r="GPT77" s="156"/>
      <c r="GPU77" s="156"/>
      <c r="GPV77" s="156"/>
      <c r="GPW77" s="156"/>
      <c r="GPX77" s="156"/>
      <c r="GPY77" s="156"/>
      <c r="GPZ77" s="156"/>
      <c r="GQA77" s="156"/>
      <c r="GQB77" s="156"/>
      <c r="GQC77" s="156"/>
      <c r="GQD77" s="156"/>
      <c r="GQE77" s="156"/>
      <c r="GQF77" s="156"/>
      <c r="GQG77" s="156"/>
      <c r="GQH77" s="156"/>
      <c r="GQI77" s="156"/>
      <c r="GQJ77" s="156"/>
      <c r="GQK77" s="156"/>
      <c r="GQL77" s="156"/>
      <c r="GQM77" s="156"/>
      <c r="GQN77" s="156"/>
      <c r="GQO77" s="156"/>
      <c r="GQP77" s="156"/>
      <c r="GQQ77" s="156"/>
      <c r="GQR77" s="156"/>
      <c r="GQS77" s="156"/>
      <c r="GQT77" s="156"/>
      <c r="GQU77" s="156"/>
      <c r="GQV77" s="156"/>
      <c r="GQW77" s="156"/>
      <c r="GQX77" s="156"/>
      <c r="GQY77" s="156"/>
      <c r="GQZ77" s="156"/>
      <c r="GRA77" s="156"/>
      <c r="GRB77" s="156"/>
      <c r="GRC77" s="156"/>
      <c r="GRD77" s="156"/>
      <c r="GRE77" s="156"/>
      <c r="GRF77" s="156"/>
      <c r="GRG77" s="156"/>
      <c r="GRH77" s="156"/>
      <c r="GRI77" s="156"/>
      <c r="GRJ77" s="156"/>
      <c r="GRK77" s="156"/>
      <c r="GRL77" s="156"/>
      <c r="GRM77" s="156"/>
      <c r="GRN77" s="156"/>
      <c r="GRO77" s="156"/>
      <c r="GRP77" s="156"/>
      <c r="GRQ77" s="156"/>
      <c r="GRR77" s="156"/>
      <c r="GRS77" s="156"/>
      <c r="GRT77" s="156"/>
      <c r="GRU77" s="156"/>
      <c r="GRV77" s="156"/>
      <c r="GRW77" s="156"/>
      <c r="GRX77" s="156"/>
      <c r="GRY77" s="156"/>
      <c r="GRZ77" s="156"/>
      <c r="GSA77" s="156"/>
      <c r="GSB77" s="156"/>
      <c r="GSC77" s="156"/>
      <c r="GSD77" s="156"/>
      <c r="GSE77" s="156"/>
      <c r="GSF77" s="156"/>
      <c r="GSG77" s="156"/>
      <c r="GSH77" s="156"/>
      <c r="GSI77" s="156"/>
      <c r="GSJ77" s="156"/>
      <c r="GSK77" s="156"/>
      <c r="GSL77" s="156"/>
      <c r="GSM77" s="156"/>
      <c r="GSN77" s="156"/>
      <c r="GSO77" s="156"/>
      <c r="GSP77" s="156"/>
      <c r="GSQ77" s="156"/>
      <c r="GSR77" s="156"/>
      <c r="GSS77" s="156"/>
      <c r="GST77" s="156"/>
      <c r="GSU77" s="156"/>
      <c r="GSV77" s="156"/>
      <c r="GSW77" s="156"/>
      <c r="GSX77" s="156"/>
      <c r="GSY77" s="156"/>
      <c r="GSZ77" s="156"/>
      <c r="GTA77" s="156"/>
      <c r="GTB77" s="156"/>
      <c r="GTC77" s="156"/>
      <c r="GTD77" s="156"/>
      <c r="GTE77" s="156"/>
      <c r="GTF77" s="156"/>
      <c r="GTG77" s="156"/>
      <c r="GTH77" s="156"/>
      <c r="GTI77" s="156"/>
      <c r="GTJ77" s="156"/>
      <c r="GTK77" s="156"/>
      <c r="GTL77" s="156"/>
      <c r="GTM77" s="156"/>
      <c r="GTN77" s="156"/>
      <c r="GTO77" s="156"/>
      <c r="GTP77" s="156"/>
      <c r="GTQ77" s="156"/>
      <c r="GTR77" s="156"/>
      <c r="GTS77" s="156"/>
      <c r="GTT77" s="156"/>
      <c r="GTU77" s="156"/>
      <c r="GTV77" s="156"/>
      <c r="GTW77" s="156"/>
      <c r="GTX77" s="156"/>
      <c r="GTY77" s="156"/>
      <c r="GTZ77" s="156"/>
      <c r="GUA77" s="156"/>
      <c r="GUB77" s="156"/>
      <c r="GUC77" s="156"/>
      <c r="GUD77" s="156"/>
      <c r="GUE77" s="156"/>
      <c r="GUF77" s="156"/>
      <c r="GUG77" s="156"/>
      <c r="GUH77" s="156"/>
      <c r="GUI77" s="156"/>
      <c r="GUJ77" s="156"/>
      <c r="GUK77" s="156"/>
      <c r="GUL77" s="156"/>
      <c r="GUM77" s="156"/>
      <c r="GUN77" s="156"/>
      <c r="GUO77" s="156"/>
      <c r="GUP77" s="156"/>
      <c r="GUQ77" s="156"/>
      <c r="GUR77" s="156"/>
      <c r="GUS77" s="156"/>
      <c r="GUT77" s="156"/>
      <c r="GUU77" s="156"/>
      <c r="GUV77" s="156"/>
      <c r="GUW77" s="156"/>
      <c r="GUX77" s="156"/>
      <c r="GUY77" s="156"/>
      <c r="GUZ77" s="156"/>
      <c r="GVA77" s="156"/>
      <c r="GVB77" s="156"/>
      <c r="GVC77" s="156"/>
      <c r="GVD77" s="156"/>
      <c r="GVE77" s="156"/>
      <c r="GVF77" s="156"/>
      <c r="GVG77" s="156"/>
      <c r="GVH77" s="156"/>
      <c r="GVI77" s="156"/>
      <c r="GVJ77" s="156"/>
      <c r="GVK77" s="156"/>
      <c r="GVL77" s="156"/>
      <c r="GVM77" s="156"/>
      <c r="GVN77" s="156"/>
      <c r="GVO77" s="156"/>
      <c r="GVP77" s="156"/>
      <c r="GVQ77" s="156"/>
      <c r="GVR77" s="156"/>
      <c r="GVS77" s="156"/>
      <c r="GVT77" s="156"/>
      <c r="GVU77" s="156"/>
      <c r="GVV77" s="156"/>
      <c r="GVW77" s="156"/>
      <c r="GVX77" s="156"/>
      <c r="GVY77" s="156"/>
      <c r="GVZ77" s="156"/>
      <c r="GWA77" s="156"/>
      <c r="GWB77" s="156"/>
      <c r="GWC77" s="156"/>
      <c r="GWD77" s="156"/>
      <c r="GWE77" s="156"/>
      <c r="GWF77" s="156"/>
      <c r="GWG77" s="156"/>
      <c r="GWH77" s="156"/>
      <c r="GWI77" s="156"/>
      <c r="GWJ77" s="156"/>
      <c r="GWK77" s="156"/>
      <c r="GWL77" s="156"/>
      <c r="GWM77" s="156"/>
      <c r="GWN77" s="156"/>
      <c r="GWO77" s="156"/>
      <c r="GWP77" s="156"/>
      <c r="GWQ77" s="156"/>
      <c r="GWR77" s="156"/>
      <c r="GWS77" s="156"/>
      <c r="GWT77" s="156"/>
      <c r="GWU77" s="156"/>
      <c r="GWV77" s="156"/>
      <c r="GWW77" s="156"/>
      <c r="GWX77" s="156"/>
      <c r="GWY77" s="156"/>
      <c r="GWZ77" s="156"/>
      <c r="GXA77" s="156"/>
      <c r="GXB77" s="156"/>
      <c r="GXC77" s="156"/>
      <c r="GXD77" s="156"/>
      <c r="GXE77" s="156"/>
      <c r="GXF77" s="156"/>
      <c r="GXG77" s="156"/>
      <c r="GXH77" s="156"/>
      <c r="GXI77" s="156"/>
      <c r="GXJ77" s="156"/>
      <c r="GXK77" s="156"/>
      <c r="GXL77" s="156"/>
      <c r="GXM77" s="156"/>
      <c r="GXN77" s="156"/>
      <c r="GXO77" s="156"/>
      <c r="GXP77" s="156"/>
      <c r="GXQ77" s="156"/>
      <c r="GXR77" s="156"/>
      <c r="GXS77" s="156"/>
      <c r="GXT77" s="156"/>
      <c r="GXU77" s="156"/>
      <c r="GXV77" s="156"/>
      <c r="GXW77" s="156"/>
      <c r="GXX77" s="156"/>
      <c r="GXY77" s="156"/>
      <c r="GXZ77" s="156"/>
      <c r="GYA77" s="156"/>
      <c r="GYB77" s="156"/>
      <c r="GYC77" s="156"/>
      <c r="GYD77" s="156"/>
      <c r="GYE77" s="156"/>
      <c r="GYF77" s="156"/>
      <c r="GYG77" s="156"/>
      <c r="GYH77" s="156"/>
      <c r="GYI77" s="156"/>
      <c r="GYJ77" s="156"/>
      <c r="GYK77" s="156"/>
      <c r="GYL77" s="156"/>
      <c r="GYM77" s="156"/>
      <c r="GYN77" s="156"/>
      <c r="GYO77" s="156"/>
      <c r="GYP77" s="156"/>
      <c r="GYQ77" s="156"/>
      <c r="GYR77" s="156"/>
      <c r="GYS77" s="156"/>
      <c r="GYT77" s="156"/>
      <c r="GYU77" s="156"/>
      <c r="GYV77" s="156"/>
      <c r="GYW77" s="156"/>
      <c r="GYX77" s="156"/>
      <c r="GYY77" s="156"/>
      <c r="GYZ77" s="156"/>
      <c r="GZA77" s="156"/>
      <c r="GZB77" s="156"/>
      <c r="GZC77" s="156"/>
      <c r="GZD77" s="156"/>
      <c r="GZE77" s="156"/>
      <c r="GZF77" s="156"/>
      <c r="GZG77" s="156"/>
      <c r="GZH77" s="156"/>
      <c r="GZI77" s="156"/>
      <c r="GZJ77" s="156"/>
      <c r="GZK77" s="156"/>
      <c r="GZL77" s="156"/>
      <c r="GZM77" s="156"/>
      <c r="GZN77" s="156"/>
      <c r="GZO77" s="156"/>
      <c r="GZP77" s="156"/>
      <c r="GZQ77" s="156"/>
      <c r="GZR77" s="156"/>
      <c r="GZS77" s="156"/>
      <c r="GZT77" s="156"/>
      <c r="GZU77" s="156"/>
      <c r="GZV77" s="156"/>
      <c r="GZW77" s="156"/>
      <c r="GZX77" s="156"/>
      <c r="GZY77" s="156"/>
      <c r="GZZ77" s="156"/>
      <c r="HAA77" s="156"/>
      <c r="HAB77" s="156"/>
      <c r="HAC77" s="156"/>
      <c r="HAD77" s="156"/>
      <c r="HAE77" s="156"/>
      <c r="HAF77" s="156"/>
      <c r="HAG77" s="156"/>
      <c r="HAH77" s="156"/>
      <c r="HAI77" s="156"/>
      <c r="HAJ77" s="156"/>
      <c r="HAK77" s="156"/>
      <c r="HAL77" s="156"/>
      <c r="HAM77" s="156"/>
      <c r="HAN77" s="156"/>
      <c r="HAO77" s="156"/>
      <c r="HAP77" s="156"/>
      <c r="HAQ77" s="156"/>
      <c r="HAR77" s="156"/>
      <c r="HAS77" s="156"/>
      <c r="HAT77" s="156"/>
      <c r="HAU77" s="156"/>
      <c r="HAV77" s="156"/>
      <c r="HAW77" s="156"/>
      <c r="HAX77" s="156"/>
      <c r="HAY77" s="156"/>
      <c r="HAZ77" s="156"/>
      <c r="HBA77" s="156"/>
      <c r="HBB77" s="156"/>
      <c r="HBC77" s="156"/>
      <c r="HBD77" s="156"/>
      <c r="HBE77" s="156"/>
      <c r="HBF77" s="156"/>
      <c r="HBG77" s="156"/>
      <c r="HBH77" s="156"/>
      <c r="HBI77" s="156"/>
      <c r="HBJ77" s="156"/>
      <c r="HBK77" s="156"/>
      <c r="HBL77" s="156"/>
      <c r="HBM77" s="156"/>
      <c r="HBN77" s="156"/>
      <c r="HBO77" s="156"/>
      <c r="HBP77" s="156"/>
      <c r="HBQ77" s="156"/>
      <c r="HBR77" s="156"/>
      <c r="HBS77" s="156"/>
      <c r="HBT77" s="156"/>
      <c r="HBU77" s="156"/>
      <c r="HBV77" s="156"/>
      <c r="HBW77" s="156"/>
      <c r="HBX77" s="156"/>
      <c r="HBY77" s="156"/>
      <c r="HBZ77" s="156"/>
      <c r="HCA77" s="156"/>
      <c r="HCB77" s="156"/>
      <c r="HCC77" s="156"/>
      <c r="HCD77" s="156"/>
      <c r="HCE77" s="156"/>
      <c r="HCF77" s="156"/>
      <c r="HCG77" s="156"/>
      <c r="HCH77" s="156"/>
      <c r="HCI77" s="156"/>
      <c r="HCJ77" s="156"/>
      <c r="HCK77" s="156"/>
      <c r="HCL77" s="156"/>
      <c r="HCM77" s="156"/>
      <c r="HCN77" s="156"/>
      <c r="HCO77" s="156"/>
      <c r="HCP77" s="156"/>
      <c r="HCQ77" s="156"/>
      <c r="HCR77" s="156"/>
      <c r="HCS77" s="156"/>
      <c r="HCT77" s="156"/>
      <c r="HCU77" s="156"/>
      <c r="HCV77" s="156"/>
      <c r="HCW77" s="156"/>
      <c r="HCX77" s="156"/>
      <c r="HCY77" s="156"/>
      <c r="HCZ77" s="156"/>
      <c r="HDA77" s="156"/>
      <c r="HDB77" s="156"/>
      <c r="HDC77" s="156"/>
      <c r="HDD77" s="156"/>
      <c r="HDE77" s="156"/>
      <c r="HDF77" s="156"/>
      <c r="HDG77" s="156"/>
      <c r="HDH77" s="156"/>
      <c r="HDI77" s="156"/>
      <c r="HDJ77" s="156"/>
      <c r="HDK77" s="156"/>
      <c r="HDL77" s="156"/>
      <c r="HDM77" s="156"/>
      <c r="HDN77" s="156"/>
      <c r="HDO77" s="156"/>
      <c r="HDP77" s="156"/>
      <c r="HDQ77" s="156"/>
      <c r="HDR77" s="156"/>
      <c r="HDS77" s="156"/>
      <c r="HDT77" s="156"/>
      <c r="HDU77" s="156"/>
      <c r="HDV77" s="156"/>
      <c r="HDW77" s="156"/>
      <c r="HDX77" s="156"/>
      <c r="HDY77" s="156"/>
      <c r="HDZ77" s="156"/>
      <c r="HEA77" s="156"/>
      <c r="HEB77" s="156"/>
      <c r="HEC77" s="156"/>
      <c r="HED77" s="156"/>
      <c r="HEE77" s="156"/>
      <c r="HEF77" s="156"/>
      <c r="HEG77" s="156"/>
      <c r="HEH77" s="156"/>
      <c r="HEI77" s="156"/>
      <c r="HEJ77" s="156"/>
      <c r="HEK77" s="156"/>
      <c r="HEL77" s="156"/>
      <c r="HEM77" s="156"/>
      <c r="HEN77" s="156"/>
      <c r="HEO77" s="156"/>
      <c r="HEP77" s="156"/>
      <c r="HEQ77" s="156"/>
      <c r="HER77" s="156"/>
      <c r="HES77" s="156"/>
      <c r="HET77" s="156"/>
      <c r="HEU77" s="156"/>
      <c r="HEV77" s="156"/>
      <c r="HEW77" s="156"/>
      <c r="HEX77" s="156"/>
      <c r="HEY77" s="156"/>
      <c r="HEZ77" s="156"/>
      <c r="HFA77" s="156"/>
      <c r="HFB77" s="156"/>
      <c r="HFC77" s="156"/>
      <c r="HFD77" s="156"/>
      <c r="HFE77" s="156"/>
      <c r="HFF77" s="156"/>
      <c r="HFG77" s="156"/>
      <c r="HFH77" s="156"/>
      <c r="HFI77" s="156"/>
      <c r="HFJ77" s="156"/>
      <c r="HFK77" s="156"/>
      <c r="HFL77" s="156"/>
      <c r="HFM77" s="156"/>
      <c r="HFN77" s="156"/>
      <c r="HFO77" s="156"/>
      <c r="HFP77" s="156"/>
      <c r="HFQ77" s="156"/>
      <c r="HFR77" s="156"/>
      <c r="HFS77" s="156"/>
      <c r="HFT77" s="156"/>
      <c r="HFU77" s="156"/>
      <c r="HFV77" s="156"/>
      <c r="HFW77" s="156"/>
      <c r="HFX77" s="156"/>
      <c r="HFY77" s="156"/>
      <c r="HFZ77" s="156"/>
      <c r="HGA77" s="156"/>
      <c r="HGB77" s="156"/>
      <c r="HGC77" s="156"/>
      <c r="HGD77" s="156"/>
      <c r="HGE77" s="156"/>
      <c r="HGF77" s="156"/>
      <c r="HGG77" s="156"/>
      <c r="HGH77" s="156"/>
      <c r="HGI77" s="156"/>
      <c r="HGJ77" s="156"/>
      <c r="HGK77" s="156"/>
      <c r="HGL77" s="156"/>
      <c r="HGM77" s="156"/>
      <c r="HGN77" s="156"/>
      <c r="HGO77" s="156"/>
      <c r="HGP77" s="156"/>
      <c r="HGQ77" s="156"/>
      <c r="HGR77" s="156"/>
      <c r="HGS77" s="156"/>
      <c r="HGT77" s="156"/>
      <c r="HGU77" s="156"/>
      <c r="HGV77" s="156"/>
      <c r="HGW77" s="156"/>
      <c r="HGX77" s="156"/>
      <c r="HGY77" s="156"/>
      <c r="HGZ77" s="156"/>
      <c r="HHA77" s="156"/>
      <c r="HHB77" s="156"/>
      <c r="HHC77" s="156"/>
      <c r="HHD77" s="156"/>
      <c r="HHE77" s="156"/>
      <c r="HHF77" s="156"/>
      <c r="HHG77" s="156"/>
      <c r="HHH77" s="156"/>
      <c r="HHI77" s="156"/>
      <c r="HHJ77" s="156"/>
      <c r="HHK77" s="156"/>
      <c r="HHL77" s="156"/>
      <c r="HHM77" s="156"/>
      <c r="HHN77" s="156"/>
      <c r="HHO77" s="156"/>
      <c r="HHP77" s="156"/>
      <c r="HHQ77" s="156"/>
      <c r="HHR77" s="156"/>
      <c r="HHS77" s="156"/>
      <c r="HHT77" s="156"/>
      <c r="HHU77" s="156"/>
      <c r="HHV77" s="156"/>
      <c r="HHW77" s="156"/>
      <c r="HHX77" s="156"/>
      <c r="HHY77" s="156"/>
      <c r="HHZ77" s="156"/>
      <c r="HIA77" s="156"/>
      <c r="HIB77" s="156"/>
      <c r="HIC77" s="156"/>
      <c r="HID77" s="156"/>
      <c r="HIE77" s="156"/>
      <c r="HIF77" s="156"/>
      <c r="HIG77" s="156"/>
      <c r="HIH77" s="156"/>
      <c r="HII77" s="156"/>
      <c r="HIJ77" s="156"/>
      <c r="HIK77" s="156"/>
      <c r="HIL77" s="156"/>
      <c r="HIM77" s="156"/>
      <c r="HIN77" s="156"/>
      <c r="HIO77" s="156"/>
      <c r="HIP77" s="156"/>
      <c r="HIQ77" s="156"/>
      <c r="HIR77" s="156"/>
      <c r="HIS77" s="156"/>
      <c r="HIT77" s="156"/>
      <c r="HIU77" s="156"/>
      <c r="HIV77" s="156"/>
      <c r="HIW77" s="156"/>
      <c r="HIX77" s="156"/>
      <c r="HIY77" s="156"/>
      <c r="HIZ77" s="156"/>
      <c r="HJA77" s="156"/>
      <c r="HJB77" s="156"/>
      <c r="HJC77" s="156"/>
      <c r="HJD77" s="156"/>
      <c r="HJE77" s="156"/>
      <c r="HJF77" s="156"/>
      <c r="HJG77" s="156"/>
      <c r="HJH77" s="156"/>
      <c r="HJI77" s="156"/>
      <c r="HJJ77" s="156"/>
      <c r="HJK77" s="156"/>
      <c r="HJL77" s="156"/>
      <c r="HJM77" s="156"/>
      <c r="HJN77" s="156"/>
      <c r="HJO77" s="156"/>
      <c r="HJP77" s="156"/>
      <c r="HJQ77" s="156"/>
      <c r="HJR77" s="156"/>
      <c r="HJS77" s="156"/>
      <c r="HJT77" s="156"/>
      <c r="HJU77" s="156"/>
      <c r="HJV77" s="156"/>
      <c r="HJW77" s="156"/>
      <c r="HJX77" s="156"/>
      <c r="HJY77" s="156"/>
      <c r="HJZ77" s="156"/>
      <c r="HKA77" s="156"/>
      <c r="HKB77" s="156"/>
      <c r="HKC77" s="156"/>
      <c r="HKD77" s="156"/>
      <c r="HKE77" s="156"/>
      <c r="HKF77" s="156"/>
      <c r="HKG77" s="156"/>
      <c r="HKH77" s="156"/>
      <c r="HKI77" s="156"/>
      <c r="HKJ77" s="156"/>
      <c r="HKK77" s="156"/>
      <c r="HKL77" s="156"/>
      <c r="HKM77" s="156"/>
      <c r="HKN77" s="156"/>
      <c r="HKO77" s="156"/>
      <c r="HKP77" s="156"/>
      <c r="HKQ77" s="156"/>
      <c r="HKR77" s="156"/>
      <c r="HKS77" s="156"/>
      <c r="HKT77" s="156"/>
      <c r="HKU77" s="156"/>
      <c r="HKV77" s="156"/>
      <c r="HKW77" s="156"/>
      <c r="HKX77" s="156"/>
      <c r="HKY77" s="156"/>
      <c r="HKZ77" s="156"/>
      <c r="HLA77" s="156"/>
      <c r="HLB77" s="156"/>
      <c r="HLC77" s="156"/>
      <c r="HLD77" s="156"/>
      <c r="HLE77" s="156"/>
      <c r="HLF77" s="156"/>
      <c r="HLG77" s="156"/>
      <c r="HLH77" s="156"/>
      <c r="HLI77" s="156"/>
      <c r="HLJ77" s="156"/>
      <c r="HLK77" s="156"/>
      <c r="HLL77" s="156"/>
      <c r="HLM77" s="156"/>
      <c r="HLN77" s="156"/>
      <c r="HLO77" s="156"/>
      <c r="HLP77" s="156"/>
      <c r="HLQ77" s="156"/>
      <c r="HLR77" s="156"/>
      <c r="HLS77" s="156"/>
      <c r="HLT77" s="156"/>
      <c r="HLU77" s="156"/>
      <c r="HLV77" s="156"/>
      <c r="HLW77" s="156"/>
      <c r="HLX77" s="156"/>
      <c r="HLY77" s="156"/>
      <c r="HLZ77" s="156"/>
      <c r="HMA77" s="156"/>
      <c r="HMB77" s="156"/>
      <c r="HMC77" s="156"/>
      <c r="HMD77" s="156"/>
      <c r="HME77" s="156"/>
      <c r="HMF77" s="156"/>
      <c r="HMG77" s="156"/>
      <c r="HMH77" s="156"/>
      <c r="HMI77" s="156"/>
      <c r="HMJ77" s="156"/>
      <c r="HMK77" s="156"/>
      <c r="HML77" s="156"/>
      <c r="HMM77" s="156"/>
      <c r="HMN77" s="156"/>
      <c r="HMO77" s="156"/>
      <c r="HMP77" s="156"/>
      <c r="HMQ77" s="156"/>
      <c r="HMR77" s="156"/>
      <c r="HMS77" s="156"/>
      <c r="HMT77" s="156"/>
      <c r="HMU77" s="156"/>
      <c r="HMV77" s="156"/>
      <c r="HMW77" s="156"/>
      <c r="HMX77" s="156"/>
      <c r="HMY77" s="156"/>
      <c r="HMZ77" s="156"/>
      <c r="HNA77" s="156"/>
      <c r="HNB77" s="156"/>
      <c r="HNC77" s="156"/>
      <c r="HND77" s="156"/>
      <c r="HNE77" s="156"/>
      <c r="HNF77" s="156"/>
      <c r="HNG77" s="156"/>
      <c r="HNH77" s="156"/>
      <c r="HNI77" s="156"/>
      <c r="HNJ77" s="156"/>
      <c r="HNK77" s="156"/>
      <c r="HNL77" s="156"/>
      <c r="HNM77" s="156"/>
      <c r="HNN77" s="156"/>
      <c r="HNO77" s="156"/>
      <c r="HNP77" s="156"/>
      <c r="HNQ77" s="156"/>
      <c r="HNR77" s="156"/>
      <c r="HNS77" s="156"/>
      <c r="HNT77" s="156"/>
      <c r="HNU77" s="156"/>
      <c r="HNV77" s="156"/>
      <c r="HNW77" s="156"/>
      <c r="HNX77" s="156"/>
      <c r="HNY77" s="156"/>
      <c r="HNZ77" s="156"/>
      <c r="HOA77" s="156"/>
      <c r="HOB77" s="156"/>
      <c r="HOC77" s="156"/>
      <c r="HOD77" s="156"/>
      <c r="HOE77" s="156"/>
      <c r="HOF77" s="156"/>
      <c r="HOG77" s="156"/>
      <c r="HOH77" s="156"/>
      <c r="HOI77" s="156"/>
      <c r="HOJ77" s="156"/>
      <c r="HOK77" s="156"/>
      <c r="HOL77" s="156"/>
      <c r="HOM77" s="156"/>
      <c r="HON77" s="156"/>
      <c r="HOO77" s="156"/>
      <c r="HOP77" s="156"/>
      <c r="HOQ77" s="156"/>
      <c r="HOR77" s="156"/>
      <c r="HOS77" s="156"/>
      <c r="HOT77" s="156"/>
      <c r="HOU77" s="156"/>
      <c r="HOV77" s="156"/>
      <c r="HOW77" s="156"/>
      <c r="HOX77" s="156"/>
      <c r="HOY77" s="156"/>
      <c r="HOZ77" s="156"/>
      <c r="HPA77" s="156"/>
      <c r="HPB77" s="156"/>
      <c r="HPC77" s="156"/>
      <c r="HPD77" s="156"/>
      <c r="HPE77" s="156"/>
      <c r="HPF77" s="156"/>
      <c r="HPG77" s="156"/>
      <c r="HPH77" s="156"/>
      <c r="HPI77" s="156"/>
      <c r="HPJ77" s="156"/>
      <c r="HPK77" s="156"/>
      <c r="HPL77" s="156"/>
      <c r="HPM77" s="156"/>
      <c r="HPN77" s="156"/>
      <c r="HPO77" s="156"/>
      <c r="HPP77" s="156"/>
      <c r="HPQ77" s="156"/>
      <c r="HPR77" s="156"/>
      <c r="HPS77" s="156"/>
      <c r="HPT77" s="156"/>
      <c r="HPU77" s="156"/>
      <c r="HPV77" s="156"/>
      <c r="HPW77" s="156"/>
      <c r="HPX77" s="156"/>
      <c r="HPY77" s="156"/>
      <c r="HPZ77" s="156"/>
      <c r="HQA77" s="156"/>
      <c r="HQB77" s="156"/>
      <c r="HQC77" s="156"/>
      <c r="HQD77" s="156"/>
      <c r="HQE77" s="156"/>
      <c r="HQF77" s="156"/>
      <c r="HQG77" s="156"/>
      <c r="HQH77" s="156"/>
      <c r="HQI77" s="156"/>
      <c r="HQJ77" s="156"/>
      <c r="HQK77" s="156"/>
      <c r="HQL77" s="156"/>
      <c r="HQM77" s="156"/>
      <c r="HQN77" s="156"/>
      <c r="HQO77" s="156"/>
      <c r="HQP77" s="156"/>
      <c r="HQQ77" s="156"/>
      <c r="HQR77" s="156"/>
      <c r="HQS77" s="156"/>
      <c r="HQT77" s="156"/>
      <c r="HQU77" s="156"/>
      <c r="HQV77" s="156"/>
      <c r="HQW77" s="156"/>
      <c r="HQX77" s="156"/>
      <c r="HQY77" s="156"/>
      <c r="HQZ77" s="156"/>
      <c r="HRA77" s="156"/>
      <c r="HRB77" s="156"/>
      <c r="HRC77" s="156"/>
      <c r="HRD77" s="156"/>
      <c r="HRE77" s="156"/>
      <c r="HRF77" s="156"/>
      <c r="HRG77" s="156"/>
      <c r="HRH77" s="156"/>
      <c r="HRI77" s="156"/>
      <c r="HRJ77" s="156"/>
      <c r="HRK77" s="156"/>
      <c r="HRL77" s="156"/>
      <c r="HRM77" s="156"/>
      <c r="HRN77" s="156"/>
      <c r="HRO77" s="156"/>
      <c r="HRP77" s="156"/>
      <c r="HRQ77" s="156"/>
      <c r="HRR77" s="156"/>
      <c r="HRS77" s="156"/>
      <c r="HRT77" s="156"/>
      <c r="HRU77" s="156"/>
      <c r="HRV77" s="156"/>
      <c r="HRW77" s="156"/>
      <c r="HRX77" s="156"/>
      <c r="HRY77" s="156"/>
      <c r="HRZ77" s="156"/>
      <c r="HSA77" s="156"/>
      <c r="HSB77" s="156"/>
      <c r="HSC77" s="156"/>
      <c r="HSD77" s="156"/>
      <c r="HSE77" s="156"/>
      <c r="HSF77" s="156"/>
      <c r="HSG77" s="156"/>
      <c r="HSH77" s="156"/>
      <c r="HSI77" s="156"/>
      <c r="HSJ77" s="156"/>
      <c r="HSK77" s="156"/>
      <c r="HSL77" s="156"/>
      <c r="HSM77" s="156"/>
      <c r="HSN77" s="156"/>
      <c r="HSO77" s="156"/>
      <c r="HSP77" s="156"/>
      <c r="HSQ77" s="156"/>
      <c r="HSR77" s="156"/>
      <c r="HSS77" s="156"/>
      <c r="HST77" s="156"/>
      <c r="HSU77" s="156"/>
      <c r="HSV77" s="156"/>
      <c r="HSW77" s="156"/>
      <c r="HSX77" s="156"/>
      <c r="HSY77" s="156"/>
      <c r="HSZ77" s="156"/>
      <c r="HTA77" s="156"/>
      <c r="HTB77" s="156"/>
      <c r="HTC77" s="156"/>
      <c r="HTD77" s="156"/>
      <c r="HTE77" s="156"/>
      <c r="HTF77" s="156"/>
      <c r="HTG77" s="156"/>
      <c r="HTH77" s="156"/>
      <c r="HTI77" s="156"/>
      <c r="HTJ77" s="156"/>
      <c r="HTK77" s="156"/>
      <c r="HTL77" s="156"/>
      <c r="HTM77" s="156"/>
      <c r="HTN77" s="156"/>
      <c r="HTO77" s="156"/>
      <c r="HTP77" s="156"/>
      <c r="HTQ77" s="156"/>
      <c r="HTR77" s="156"/>
      <c r="HTS77" s="156"/>
      <c r="HTT77" s="156"/>
      <c r="HTU77" s="156"/>
      <c r="HTV77" s="156"/>
      <c r="HTW77" s="156"/>
      <c r="HTX77" s="156"/>
      <c r="HTY77" s="156"/>
      <c r="HTZ77" s="156"/>
      <c r="HUA77" s="156"/>
      <c r="HUB77" s="156"/>
      <c r="HUC77" s="156"/>
      <c r="HUD77" s="156"/>
      <c r="HUE77" s="156"/>
      <c r="HUF77" s="156"/>
      <c r="HUG77" s="156"/>
      <c r="HUH77" s="156"/>
      <c r="HUI77" s="156"/>
      <c r="HUJ77" s="156"/>
      <c r="HUK77" s="156"/>
      <c r="HUL77" s="156"/>
      <c r="HUM77" s="156"/>
      <c r="HUN77" s="156"/>
      <c r="HUO77" s="156"/>
      <c r="HUP77" s="156"/>
      <c r="HUQ77" s="156"/>
      <c r="HUR77" s="156"/>
      <c r="HUS77" s="156"/>
      <c r="HUT77" s="156"/>
      <c r="HUU77" s="156"/>
      <c r="HUV77" s="156"/>
      <c r="HUW77" s="156"/>
      <c r="HUX77" s="156"/>
      <c r="HUY77" s="156"/>
      <c r="HUZ77" s="156"/>
      <c r="HVA77" s="156"/>
      <c r="HVB77" s="156"/>
      <c r="HVC77" s="156"/>
      <c r="HVD77" s="156"/>
      <c r="HVE77" s="156"/>
      <c r="HVF77" s="156"/>
      <c r="HVG77" s="156"/>
      <c r="HVH77" s="156"/>
      <c r="HVI77" s="156"/>
      <c r="HVJ77" s="156"/>
      <c r="HVK77" s="156"/>
      <c r="HVL77" s="156"/>
      <c r="HVM77" s="156"/>
      <c r="HVN77" s="156"/>
      <c r="HVO77" s="156"/>
      <c r="HVP77" s="156"/>
      <c r="HVQ77" s="156"/>
      <c r="HVR77" s="156"/>
      <c r="HVS77" s="156"/>
      <c r="HVT77" s="156"/>
      <c r="HVU77" s="156"/>
      <c r="HVV77" s="156"/>
      <c r="HVW77" s="156"/>
      <c r="HVX77" s="156"/>
      <c r="HVY77" s="156"/>
      <c r="HVZ77" s="156"/>
      <c r="HWA77" s="156"/>
      <c r="HWB77" s="156"/>
      <c r="HWC77" s="156"/>
      <c r="HWD77" s="156"/>
      <c r="HWE77" s="156"/>
      <c r="HWF77" s="156"/>
      <c r="HWG77" s="156"/>
      <c r="HWH77" s="156"/>
      <c r="HWI77" s="156"/>
      <c r="HWJ77" s="156"/>
      <c r="HWK77" s="156"/>
      <c r="HWL77" s="156"/>
      <c r="HWM77" s="156"/>
      <c r="HWN77" s="156"/>
      <c r="HWO77" s="156"/>
      <c r="HWP77" s="156"/>
      <c r="HWQ77" s="156"/>
      <c r="HWR77" s="156"/>
      <c r="HWS77" s="156"/>
      <c r="HWT77" s="156"/>
      <c r="HWU77" s="156"/>
      <c r="HWV77" s="156"/>
      <c r="HWW77" s="156"/>
      <c r="HWX77" s="156"/>
      <c r="HWY77" s="156"/>
      <c r="HWZ77" s="156"/>
      <c r="HXA77" s="156"/>
      <c r="HXB77" s="156"/>
      <c r="HXC77" s="156"/>
      <c r="HXD77" s="156"/>
      <c r="HXE77" s="156"/>
      <c r="HXF77" s="156"/>
      <c r="HXG77" s="156"/>
      <c r="HXH77" s="156"/>
      <c r="HXI77" s="156"/>
      <c r="HXJ77" s="156"/>
      <c r="HXK77" s="156"/>
      <c r="HXL77" s="156"/>
      <c r="HXM77" s="156"/>
      <c r="HXN77" s="156"/>
      <c r="HXO77" s="156"/>
      <c r="HXP77" s="156"/>
      <c r="HXQ77" s="156"/>
      <c r="HXR77" s="156"/>
      <c r="HXS77" s="156"/>
      <c r="HXT77" s="156"/>
      <c r="HXU77" s="156"/>
      <c r="HXV77" s="156"/>
      <c r="HXW77" s="156"/>
      <c r="HXX77" s="156"/>
      <c r="HXY77" s="156"/>
      <c r="HXZ77" s="156"/>
      <c r="HYA77" s="156"/>
      <c r="HYB77" s="156"/>
      <c r="HYC77" s="156"/>
      <c r="HYD77" s="156"/>
      <c r="HYE77" s="156"/>
      <c r="HYF77" s="156"/>
      <c r="HYG77" s="156"/>
      <c r="HYH77" s="156"/>
      <c r="HYI77" s="156"/>
      <c r="HYJ77" s="156"/>
      <c r="HYK77" s="156"/>
      <c r="HYL77" s="156"/>
      <c r="HYM77" s="156"/>
      <c r="HYN77" s="156"/>
      <c r="HYO77" s="156"/>
      <c r="HYP77" s="156"/>
      <c r="HYQ77" s="156"/>
      <c r="HYR77" s="156"/>
      <c r="HYS77" s="156"/>
      <c r="HYT77" s="156"/>
      <c r="HYU77" s="156"/>
      <c r="HYV77" s="156"/>
      <c r="HYW77" s="156"/>
      <c r="HYX77" s="156"/>
      <c r="HYY77" s="156"/>
      <c r="HYZ77" s="156"/>
      <c r="HZA77" s="156"/>
      <c r="HZB77" s="156"/>
      <c r="HZC77" s="156"/>
      <c r="HZD77" s="156"/>
      <c r="HZE77" s="156"/>
      <c r="HZF77" s="156"/>
      <c r="HZG77" s="156"/>
      <c r="HZH77" s="156"/>
      <c r="HZI77" s="156"/>
      <c r="HZJ77" s="156"/>
      <c r="HZK77" s="156"/>
      <c r="HZL77" s="156"/>
      <c r="HZM77" s="156"/>
      <c r="HZN77" s="156"/>
      <c r="HZO77" s="156"/>
      <c r="HZP77" s="156"/>
      <c r="HZQ77" s="156"/>
      <c r="HZR77" s="156"/>
      <c r="HZS77" s="156"/>
      <c r="HZT77" s="156"/>
      <c r="HZU77" s="156"/>
      <c r="HZV77" s="156"/>
      <c r="HZW77" s="156"/>
      <c r="HZX77" s="156"/>
      <c r="HZY77" s="156"/>
      <c r="HZZ77" s="156"/>
      <c r="IAA77" s="156"/>
      <c r="IAB77" s="156"/>
      <c r="IAC77" s="156"/>
      <c r="IAD77" s="156"/>
      <c r="IAE77" s="156"/>
      <c r="IAF77" s="156"/>
      <c r="IAG77" s="156"/>
      <c r="IAH77" s="156"/>
      <c r="IAI77" s="156"/>
      <c r="IAJ77" s="156"/>
      <c r="IAK77" s="156"/>
      <c r="IAL77" s="156"/>
      <c r="IAM77" s="156"/>
      <c r="IAN77" s="156"/>
      <c r="IAO77" s="156"/>
      <c r="IAP77" s="156"/>
      <c r="IAQ77" s="156"/>
      <c r="IAR77" s="156"/>
      <c r="IAS77" s="156"/>
      <c r="IAT77" s="156"/>
      <c r="IAU77" s="156"/>
      <c r="IAV77" s="156"/>
      <c r="IAW77" s="156"/>
      <c r="IAX77" s="156"/>
      <c r="IAY77" s="156"/>
      <c r="IAZ77" s="156"/>
      <c r="IBA77" s="156"/>
      <c r="IBB77" s="156"/>
      <c r="IBC77" s="156"/>
      <c r="IBD77" s="156"/>
      <c r="IBE77" s="156"/>
      <c r="IBF77" s="156"/>
      <c r="IBG77" s="156"/>
      <c r="IBH77" s="156"/>
      <c r="IBI77" s="156"/>
      <c r="IBJ77" s="156"/>
      <c r="IBK77" s="156"/>
      <c r="IBL77" s="156"/>
      <c r="IBM77" s="156"/>
      <c r="IBN77" s="156"/>
      <c r="IBO77" s="156"/>
      <c r="IBP77" s="156"/>
      <c r="IBQ77" s="156"/>
      <c r="IBR77" s="156"/>
      <c r="IBS77" s="156"/>
      <c r="IBT77" s="156"/>
      <c r="IBU77" s="156"/>
      <c r="IBV77" s="156"/>
      <c r="IBW77" s="156"/>
      <c r="IBX77" s="156"/>
      <c r="IBY77" s="156"/>
      <c r="IBZ77" s="156"/>
      <c r="ICA77" s="156"/>
      <c r="ICB77" s="156"/>
      <c r="ICC77" s="156"/>
      <c r="ICD77" s="156"/>
      <c r="ICE77" s="156"/>
      <c r="ICF77" s="156"/>
      <c r="ICG77" s="156"/>
      <c r="ICH77" s="156"/>
      <c r="ICI77" s="156"/>
      <c r="ICJ77" s="156"/>
      <c r="ICK77" s="156"/>
      <c r="ICL77" s="156"/>
      <c r="ICM77" s="156"/>
      <c r="ICN77" s="156"/>
      <c r="ICO77" s="156"/>
      <c r="ICP77" s="156"/>
      <c r="ICQ77" s="156"/>
      <c r="ICR77" s="156"/>
      <c r="ICS77" s="156"/>
      <c r="ICT77" s="156"/>
      <c r="ICU77" s="156"/>
      <c r="ICV77" s="156"/>
      <c r="ICW77" s="156"/>
      <c r="ICX77" s="156"/>
      <c r="ICY77" s="156"/>
      <c r="ICZ77" s="156"/>
      <c r="IDA77" s="156"/>
      <c r="IDB77" s="156"/>
      <c r="IDC77" s="156"/>
      <c r="IDD77" s="156"/>
      <c r="IDE77" s="156"/>
      <c r="IDF77" s="156"/>
      <c r="IDG77" s="156"/>
      <c r="IDH77" s="156"/>
      <c r="IDI77" s="156"/>
      <c r="IDJ77" s="156"/>
      <c r="IDK77" s="156"/>
      <c r="IDL77" s="156"/>
      <c r="IDM77" s="156"/>
      <c r="IDN77" s="156"/>
      <c r="IDO77" s="156"/>
      <c r="IDP77" s="156"/>
      <c r="IDQ77" s="156"/>
      <c r="IDR77" s="156"/>
      <c r="IDS77" s="156"/>
      <c r="IDT77" s="156"/>
      <c r="IDU77" s="156"/>
      <c r="IDV77" s="156"/>
      <c r="IDW77" s="156"/>
      <c r="IDX77" s="156"/>
      <c r="IDY77" s="156"/>
      <c r="IDZ77" s="156"/>
      <c r="IEA77" s="156"/>
      <c r="IEB77" s="156"/>
      <c r="IEC77" s="156"/>
      <c r="IED77" s="156"/>
      <c r="IEE77" s="156"/>
      <c r="IEF77" s="156"/>
      <c r="IEG77" s="156"/>
      <c r="IEH77" s="156"/>
      <c r="IEI77" s="156"/>
      <c r="IEJ77" s="156"/>
      <c r="IEK77" s="156"/>
      <c r="IEL77" s="156"/>
      <c r="IEM77" s="156"/>
      <c r="IEN77" s="156"/>
      <c r="IEO77" s="156"/>
      <c r="IEP77" s="156"/>
      <c r="IEQ77" s="156"/>
      <c r="IER77" s="156"/>
      <c r="IES77" s="156"/>
      <c r="IET77" s="156"/>
      <c r="IEU77" s="156"/>
      <c r="IEV77" s="156"/>
      <c r="IEW77" s="156"/>
      <c r="IEX77" s="156"/>
      <c r="IEY77" s="156"/>
      <c r="IEZ77" s="156"/>
      <c r="IFA77" s="156"/>
      <c r="IFB77" s="156"/>
      <c r="IFC77" s="156"/>
      <c r="IFD77" s="156"/>
      <c r="IFE77" s="156"/>
      <c r="IFF77" s="156"/>
      <c r="IFG77" s="156"/>
      <c r="IFH77" s="156"/>
      <c r="IFI77" s="156"/>
      <c r="IFJ77" s="156"/>
      <c r="IFK77" s="156"/>
      <c r="IFL77" s="156"/>
      <c r="IFM77" s="156"/>
      <c r="IFN77" s="156"/>
      <c r="IFO77" s="156"/>
      <c r="IFP77" s="156"/>
      <c r="IFQ77" s="156"/>
      <c r="IFR77" s="156"/>
      <c r="IFS77" s="156"/>
      <c r="IFT77" s="156"/>
      <c r="IFU77" s="156"/>
      <c r="IFV77" s="156"/>
      <c r="IFW77" s="156"/>
      <c r="IFX77" s="156"/>
      <c r="IFY77" s="156"/>
      <c r="IFZ77" s="156"/>
      <c r="IGA77" s="156"/>
      <c r="IGB77" s="156"/>
      <c r="IGC77" s="156"/>
      <c r="IGD77" s="156"/>
      <c r="IGE77" s="156"/>
      <c r="IGF77" s="156"/>
      <c r="IGG77" s="156"/>
      <c r="IGH77" s="156"/>
      <c r="IGI77" s="156"/>
      <c r="IGJ77" s="156"/>
      <c r="IGK77" s="156"/>
      <c r="IGL77" s="156"/>
      <c r="IGM77" s="156"/>
      <c r="IGN77" s="156"/>
      <c r="IGO77" s="156"/>
      <c r="IGP77" s="156"/>
      <c r="IGQ77" s="156"/>
      <c r="IGR77" s="156"/>
      <c r="IGS77" s="156"/>
      <c r="IGT77" s="156"/>
      <c r="IGU77" s="156"/>
      <c r="IGV77" s="156"/>
      <c r="IGW77" s="156"/>
      <c r="IGX77" s="156"/>
      <c r="IGY77" s="156"/>
      <c r="IGZ77" s="156"/>
      <c r="IHA77" s="156"/>
      <c r="IHB77" s="156"/>
      <c r="IHC77" s="156"/>
      <c r="IHD77" s="156"/>
      <c r="IHE77" s="156"/>
      <c r="IHF77" s="156"/>
      <c r="IHG77" s="156"/>
      <c r="IHH77" s="156"/>
      <c r="IHI77" s="156"/>
      <c r="IHJ77" s="156"/>
      <c r="IHK77" s="156"/>
      <c r="IHL77" s="156"/>
      <c r="IHM77" s="156"/>
      <c r="IHN77" s="156"/>
      <c r="IHO77" s="156"/>
      <c r="IHP77" s="156"/>
      <c r="IHQ77" s="156"/>
      <c r="IHR77" s="156"/>
      <c r="IHS77" s="156"/>
      <c r="IHT77" s="156"/>
      <c r="IHU77" s="156"/>
      <c r="IHV77" s="156"/>
      <c r="IHW77" s="156"/>
      <c r="IHX77" s="156"/>
      <c r="IHY77" s="156"/>
      <c r="IHZ77" s="156"/>
      <c r="IIA77" s="156"/>
      <c r="IIB77" s="156"/>
      <c r="IIC77" s="156"/>
      <c r="IID77" s="156"/>
      <c r="IIE77" s="156"/>
      <c r="IIF77" s="156"/>
      <c r="IIG77" s="156"/>
      <c r="IIH77" s="156"/>
      <c r="III77" s="156"/>
      <c r="IIJ77" s="156"/>
      <c r="IIK77" s="156"/>
      <c r="IIL77" s="156"/>
      <c r="IIM77" s="156"/>
      <c r="IIN77" s="156"/>
      <c r="IIO77" s="156"/>
      <c r="IIP77" s="156"/>
      <c r="IIQ77" s="156"/>
      <c r="IIR77" s="156"/>
      <c r="IIS77" s="156"/>
      <c r="IIT77" s="156"/>
      <c r="IIU77" s="156"/>
      <c r="IIV77" s="156"/>
      <c r="IIW77" s="156"/>
      <c r="IIX77" s="156"/>
      <c r="IIY77" s="156"/>
      <c r="IIZ77" s="156"/>
      <c r="IJA77" s="156"/>
      <c r="IJB77" s="156"/>
      <c r="IJC77" s="156"/>
      <c r="IJD77" s="156"/>
      <c r="IJE77" s="156"/>
      <c r="IJF77" s="156"/>
      <c r="IJG77" s="156"/>
      <c r="IJH77" s="156"/>
      <c r="IJI77" s="156"/>
      <c r="IJJ77" s="156"/>
      <c r="IJK77" s="156"/>
      <c r="IJL77" s="156"/>
      <c r="IJM77" s="156"/>
      <c r="IJN77" s="156"/>
      <c r="IJO77" s="156"/>
      <c r="IJP77" s="156"/>
      <c r="IJQ77" s="156"/>
      <c r="IJR77" s="156"/>
      <c r="IJS77" s="156"/>
      <c r="IJT77" s="156"/>
      <c r="IJU77" s="156"/>
      <c r="IJV77" s="156"/>
      <c r="IJW77" s="156"/>
      <c r="IJX77" s="156"/>
      <c r="IJY77" s="156"/>
      <c r="IJZ77" s="156"/>
      <c r="IKA77" s="156"/>
      <c r="IKB77" s="156"/>
      <c r="IKC77" s="156"/>
      <c r="IKD77" s="156"/>
      <c r="IKE77" s="156"/>
      <c r="IKF77" s="156"/>
      <c r="IKG77" s="156"/>
      <c r="IKH77" s="156"/>
      <c r="IKI77" s="156"/>
      <c r="IKJ77" s="156"/>
      <c r="IKK77" s="156"/>
      <c r="IKL77" s="156"/>
      <c r="IKM77" s="156"/>
      <c r="IKN77" s="156"/>
      <c r="IKO77" s="156"/>
      <c r="IKP77" s="156"/>
      <c r="IKQ77" s="156"/>
      <c r="IKR77" s="156"/>
      <c r="IKS77" s="156"/>
      <c r="IKT77" s="156"/>
      <c r="IKU77" s="156"/>
      <c r="IKV77" s="156"/>
      <c r="IKW77" s="156"/>
      <c r="IKX77" s="156"/>
      <c r="IKY77" s="156"/>
      <c r="IKZ77" s="156"/>
      <c r="ILA77" s="156"/>
      <c r="ILB77" s="156"/>
      <c r="ILC77" s="156"/>
      <c r="ILD77" s="156"/>
      <c r="ILE77" s="156"/>
      <c r="ILF77" s="156"/>
      <c r="ILG77" s="156"/>
      <c r="ILH77" s="156"/>
      <c r="ILI77" s="156"/>
      <c r="ILJ77" s="156"/>
      <c r="ILK77" s="156"/>
      <c r="ILL77" s="156"/>
      <c r="ILM77" s="156"/>
      <c r="ILN77" s="156"/>
      <c r="ILO77" s="156"/>
      <c r="ILP77" s="156"/>
      <c r="ILQ77" s="156"/>
      <c r="ILR77" s="156"/>
      <c r="ILS77" s="156"/>
      <c r="ILT77" s="156"/>
      <c r="ILU77" s="156"/>
      <c r="ILV77" s="156"/>
      <c r="ILW77" s="156"/>
      <c r="ILX77" s="156"/>
      <c r="ILY77" s="156"/>
      <c r="ILZ77" s="156"/>
      <c r="IMA77" s="156"/>
      <c r="IMB77" s="156"/>
      <c r="IMC77" s="156"/>
      <c r="IMD77" s="156"/>
      <c r="IME77" s="156"/>
      <c r="IMF77" s="156"/>
      <c r="IMG77" s="156"/>
      <c r="IMH77" s="156"/>
      <c r="IMI77" s="156"/>
      <c r="IMJ77" s="156"/>
      <c r="IMK77" s="156"/>
      <c r="IML77" s="156"/>
      <c r="IMM77" s="156"/>
      <c r="IMN77" s="156"/>
      <c r="IMO77" s="156"/>
      <c r="IMP77" s="156"/>
      <c r="IMQ77" s="156"/>
      <c r="IMR77" s="156"/>
      <c r="IMS77" s="156"/>
      <c r="IMT77" s="156"/>
      <c r="IMU77" s="156"/>
      <c r="IMV77" s="156"/>
      <c r="IMW77" s="156"/>
      <c r="IMX77" s="156"/>
      <c r="IMY77" s="156"/>
      <c r="IMZ77" s="156"/>
      <c r="INA77" s="156"/>
      <c r="INB77" s="156"/>
      <c r="INC77" s="156"/>
      <c r="IND77" s="156"/>
      <c r="INE77" s="156"/>
      <c r="INF77" s="156"/>
      <c r="ING77" s="156"/>
      <c r="INH77" s="156"/>
      <c r="INI77" s="156"/>
      <c r="INJ77" s="156"/>
      <c r="INK77" s="156"/>
      <c r="INL77" s="156"/>
      <c r="INM77" s="156"/>
      <c r="INN77" s="156"/>
      <c r="INO77" s="156"/>
      <c r="INP77" s="156"/>
      <c r="INQ77" s="156"/>
      <c r="INR77" s="156"/>
      <c r="INS77" s="156"/>
      <c r="INT77" s="156"/>
      <c r="INU77" s="156"/>
      <c r="INV77" s="156"/>
      <c r="INW77" s="156"/>
      <c r="INX77" s="156"/>
      <c r="INY77" s="156"/>
      <c r="INZ77" s="156"/>
      <c r="IOA77" s="156"/>
      <c r="IOB77" s="156"/>
      <c r="IOC77" s="156"/>
      <c r="IOD77" s="156"/>
      <c r="IOE77" s="156"/>
      <c r="IOF77" s="156"/>
      <c r="IOG77" s="156"/>
      <c r="IOH77" s="156"/>
      <c r="IOI77" s="156"/>
      <c r="IOJ77" s="156"/>
      <c r="IOK77" s="156"/>
      <c r="IOL77" s="156"/>
      <c r="IOM77" s="156"/>
      <c r="ION77" s="156"/>
      <c r="IOO77" s="156"/>
      <c r="IOP77" s="156"/>
      <c r="IOQ77" s="156"/>
      <c r="IOR77" s="156"/>
      <c r="IOS77" s="156"/>
      <c r="IOT77" s="156"/>
      <c r="IOU77" s="156"/>
      <c r="IOV77" s="156"/>
      <c r="IOW77" s="156"/>
      <c r="IOX77" s="156"/>
      <c r="IOY77" s="156"/>
      <c r="IOZ77" s="156"/>
      <c r="IPA77" s="156"/>
      <c r="IPB77" s="156"/>
      <c r="IPC77" s="156"/>
      <c r="IPD77" s="156"/>
      <c r="IPE77" s="156"/>
      <c r="IPF77" s="156"/>
      <c r="IPG77" s="156"/>
      <c r="IPH77" s="156"/>
      <c r="IPI77" s="156"/>
      <c r="IPJ77" s="156"/>
      <c r="IPK77" s="156"/>
      <c r="IPL77" s="156"/>
      <c r="IPM77" s="156"/>
      <c r="IPN77" s="156"/>
      <c r="IPO77" s="156"/>
      <c r="IPP77" s="156"/>
      <c r="IPQ77" s="156"/>
      <c r="IPR77" s="156"/>
      <c r="IPS77" s="156"/>
      <c r="IPT77" s="156"/>
      <c r="IPU77" s="156"/>
      <c r="IPV77" s="156"/>
      <c r="IPW77" s="156"/>
      <c r="IPX77" s="156"/>
      <c r="IPY77" s="156"/>
      <c r="IPZ77" s="156"/>
      <c r="IQA77" s="156"/>
      <c r="IQB77" s="156"/>
      <c r="IQC77" s="156"/>
      <c r="IQD77" s="156"/>
      <c r="IQE77" s="156"/>
      <c r="IQF77" s="156"/>
      <c r="IQG77" s="156"/>
      <c r="IQH77" s="156"/>
      <c r="IQI77" s="156"/>
      <c r="IQJ77" s="156"/>
      <c r="IQK77" s="156"/>
      <c r="IQL77" s="156"/>
      <c r="IQM77" s="156"/>
      <c r="IQN77" s="156"/>
      <c r="IQO77" s="156"/>
      <c r="IQP77" s="156"/>
      <c r="IQQ77" s="156"/>
      <c r="IQR77" s="156"/>
      <c r="IQS77" s="156"/>
      <c r="IQT77" s="156"/>
      <c r="IQU77" s="156"/>
      <c r="IQV77" s="156"/>
      <c r="IQW77" s="156"/>
      <c r="IQX77" s="156"/>
      <c r="IQY77" s="156"/>
      <c r="IQZ77" s="156"/>
      <c r="IRA77" s="156"/>
      <c r="IRB77" s="156"/>
      <c r="IRC77" s="156"/>
      <c r="IRD77" s="156"/>
      <c r="IRE77" s="156"/>
      <c r="IRF77" s="156"/>
      <c r="IRG77" s="156"/>
      <c r="IRH77" s="156"/>
      <c r="IRI77" s="156"/>
      <c r="IRJ77" s="156"/>
      <c r="IRK77" s="156"/>
      <c r="IRL77" s="156"/>
      <c r="IRM77" s="156"/>
      <c r="IRN77" s="156"/>
      <c r="IRO77" s="156"/>
      <c r="IRP77" s="156"/>
      <c r="IRQ77" s="156"/>
      <c r="IRR77" s="156"/>
      <c r="IRS77" s="156"/>
      <c r="IRT77" s="156"/>
      <c r="IRU77" s="156"/>
      <c r="IRV77" s="156"/>
      <c r="IRW77" s="156"/>
      <c r="IRX77" s="156"/>
      <c r="IRY77" s="156"/>
      <c r="IRZ77" s="156"/>
      <c r="ISA77" s="156"/>
      <c r="ISB77" s="156"/>
      <c r="ISC77" s="156"/>
      <c r="ISD77" s="156"/>
      <c r="ISE77" s="156"/>
      <c r="ISF77" s="156"/>
      <c r="ISG77" s="156"/>
      <c r="ISH77" s="156"/>
      <c r="ISI77" s="156"/>
      <c r="ISJ77" s="156"/>
      <c r="ISK77" s="156"/>
      <c r="ISL77" s="156"/>
      <c r="ISM77" s="156"/>
      <c r="ISN77" s="156"/>
      <c r="ISO77" s="156"/>
      <c r="ISP77" s="156"/>
      <c r="ISQ77" s="156"/>
      <c r="ISR77" s="156"/>
      <c r="ISS77" s="156"/>
      <c r="IST77" s="156"/>
      <c r="ISU77" s="156"/>
      <c r="ISV77" s="156"/>
      <c r="ISW77" s="156"/>
      <c r="ISX77" s="156"/>
      <c r="ISY77" s="156"/>
      <c r="ISZ77" s="156"/>
      <c r="ITA77" s="156"/>
      <c r="ITB77" s="156"/>
      <c r="ITC77" s="156"/>
      <c r="ITD77" s="156"/>
      <c r="ITE77" s="156"/>
      <c r="ITF77" s="156"/>
      <c r="ITG77" s="156"/>
      <c r="ITH77" s="156"/>
      <c r="ITI77" s="156"/>
      <c r="ITJ77" s="156"/>
      <c r="ITK77" s="156"/>
      <c r="ITL77" s="156"/>
      <c r="ITM77" s="156"/>
      <c r="ITN77" s="156"/>
      <c r="ITO77" s="156"/>
      <c r="ITP77" s="156"/>
      <c r="ITQ77" s="156"/>
      <c r="ITR77" s="156"/>
      <c r="ITS77" s="156"/>
      <c r="ITT77" s="156"/>
      <c r="ITU77" s="156"/>
      <c r="ITV77" s="156"/>
      <c r="ITW77" s="156"/>
      <c r="ITX77" s="156"/>
      <c r="ITY77" s="156"/>
      <c r="ITZ77" s="156"/>
      <c r="IUA77" s="156"/>
      <c r="IUB77" s="156"/>
      <c r="IUC77" s="156"/>
      <c r="IUD77" s="156"/>
      <c r="IUE77" s="156"/>
      <c r="IUF77" s="156"/>
      <c r="IUG77" s="156"/>
      <c r="IUH77" s="156"/>
      <c r="IUI77" s="156"/>
      <c r="IUJ77" s="156"/>
      <c r="IUK77" s="156"/>
      <c r="IUL77" s="156"/>
      <c r="IUM77" s="156"/>
      <c r="IUN77" s="156"/>
      <c r="IUO77" s="156"/>
      <c r="IUP77" s="156"/>
      <c r="IUQ77" s="156"/>
      <c r="IUR77" s="156"/>
      <c r="IUS77" s="156"/>
      <c r="IUT77" s="156"/>
      <c r="IUU77" s="156"/>
      <c r="IUV77" s="156"/>
      <c r="IUW77" s="156"/>
      <c r="IUX77" s="156"/>
      <c r="IUY77" s="156"/>
      <c r="IUZ77" s="156"/>
      <c r="IVA77" s="156"/>
      <c r="IVB77" s="156"/>
      <c r="IVC77" s="156"/>
      <c r="IVD77" s="156"/>
      <c r="IVE77" s="156"/>
      <c r="IVF77" s="156"/>
      <c r="IVG77" s="156"/>
      <c r="IVH77" s="156"/>
      <c r="IVI77" s="156"/>
      <c r="IVJ77" s="156"/>
      <c r="IVK77" s="156"/>
      <c r="IVL77" s="156"/>
      <c r="IVM77" s="156"/>
      <c r="IVN77" s="156"/>
      <c r="IVO77" s="156"/>
      <c r="IVP77" s="156"/>
      <c r="IVQ77" s="156"/>
      <c r="IVR77" s="156"/>
      <c r="IVS77" s="156"/>
      <c r="IVT77" s="156"/>
      <c r="IVU77" s="156"/>
      <c r="IVV77" s="156"/>
      <c r="IVW77" s="156"/>
      <c r="IVX77" s="156"/>
      <c r="IVY77" s="156"/>
      <c r="IVZ77" s="156"/>
      <c r="IWA77" s="156"/>
      <c r="IWB77" s="156"/>
      <c r="IWC77" s="156"/>
      <c r="IWD77" s="156"/>
      <c r="IWE77" s="156"/>
      <c r="IWF77" s="156"/>
      <c r="IWG77" s="156"/>
      <c r="IWH77" s="156"/>
      <c r="IWI77" s="156"/>
      <c r="IWJ77" s="156"/>
      <c r="IWK77" s="156"/>
      <c r="IWL77" s="156"/>
      <c r="IWM77" s="156"/>
      <c r="IWN77" s="156"/>
      <c r="IWO77" s="156"/>
      <c r="IWP77" s="156"/>
      <c r="IWQ77" s="156"/>
      <c r="IWR77" s="156"/>
      <c r="IWS77" s="156"/>
      <c r="IWT77" s="156"/>
      <c r="IWU77" s="156"/>
      <c r="IWV77" s="156"/>
      <c r="IWW77" s="156"/>
      <c r="IWX77" s="156"/>
      <c r="IWY77" s="156"/>
      <c r="IWZ77" s="156"/>
      <c r="IXA77" s="156"/>
      <c r="IXB77" s="156"/>
      <c r="IXC77" s="156"/>
      <c r="IXD77" s="156"/>
      <c r="IXE77" s="156"/>
      <c r="IXF77" s="156"/>
      <c r="IXG77" s="156"/>
      <c r="IXH77" s="156"/>
      <c r="IXI77" s="156"/>
      <c r="IXJ77" s="156"/>
      <c r="IXK77" s="156"/>
      <c r="IXL77" s="156"/>
      <c r="IXM77" s="156"/>
      <c r="IXN77" s="156"/>
      <c r="IXO77" s="156"/>
      <c r="IXP77" s="156"/>
      <c r="IXQ77" s="156"/>
      <c r="IXR77" s="156"/>
      <c r="IXS77" s="156"/>
      <c r="IXT77" s="156"/>
      <c r="IXU77" s="156"/>
      <c r="IXV77" s="156"/>
      <c r="IXW77" s="156"/>
      <c r="IXX77" s="156"/>
      <c r="IXY77" s="156"/>
      <c r="IXZ77" s="156"/>
      <c r="IYA77" s="156"/>
      <c r="IYB77" s="156"/>
      <c r="IYC77" s="156"/>
      <c r="IYD77" s="156"/>
      <c r="IYE77" s="156"/>
      <c r="IYF77" s="156"/>
      <c r="IYG77" s="156"/>
      <c r="IYH77" s="156"/>
      <c r="IYI77" s="156"/>
      <c r="IYJ77" s="156"/>
      <c r="IYK77" s="156"/>
      <c r="IYL77" s="156"/>
      <c r="IYM77" s="156"/>
      <c r="IYN77" s="156"/>
      <c r="IYO77" s="156"/>
      <c r="IYP77" s="156"/>
      <c r="IYQ77" s="156"/>
      <c r="IYR77" s="156"/>
      <c r="IYS77" s="156"/>
      <c r="IYT77" s="156"/>
      <c r="IYU77" s="156"/>
      <c r="IYV77" s="156"/>
      <c r="IYW77" s="156"/>
      <c r="IYX77" s="156"/>
      <c r="IYY77" s="156"/>
      <c r="IYZ77" s="156"/>
      <c r="IZA77" s="156"/>
      <c r="IZB77" s="156"/>
      <c r="IZC77" s="156"/>
      <c r="IZD77" s="156"/>
      <c r="IZE77" s="156"/>
      <c r="IZF77" s="156"/>
      <c r="IZG77" s="156"/>
      <c r="IZH77" s="156"/>
      <c r="IZI77" s="156"/>
      <c r="IZJ77" s="156"/>
      <c r="IZK77" s="156"/>
      <c r="IZL77" s="156"/>
      <c r="IZM77" s="156"/>
      <c r="IZN77" s="156"/>
      <c r="IZO77" s="156"/>
      <c r="IZP77" s="156"/>
      <c r="IZQ77" s="156"/>
      <c r="IZR77" s="156"/>
      <c r="IZS77" s="156"/>
      <c r="IZT77" s="156"/>
      <c r="IZU77" s="156"/>
      <c r="IZV77" s="156"/>
      <c r="IZW77" s="156"/>
      <c r="IZX77" s="156"/>
      <c r="IZY77" s="156"/>
      <c r="IZZ77" s="156"/>
      <c r="JAA77" s="156"/>
      <c r="JAB77" s="156"/>
      <c r="JAC77" s="156"/>
      <c r="JAD77" s="156"/>
      <c r="JAE77" s="156"/>
      <c r="JAF77" s="156"/>
      <c r="JAG77" s="156"/>
      <c r="JAH77" s="156"/>
      <c r="JAI77" s="156"/>
      <c r="JAJ77" s="156"/>
      <c r="JAK77" s="156"/>
      <c r="JAL77" s="156"/>
      <c r="JAM77" s="156"/>
      <c r="JAN77" s="156"/>
      <c r="JAO77" s="156"/>
      <c r="JAP77" s="156"/>
      <c r="JAQ77" s="156"/>
      <c r="JAR77" s="156"/>
      <c r="JAS77" s="156"/>
      <c r="JAT77" s="156"/>
      <c r="JAU77" s="156"/>
      <c r="JAV77" s="156"/>
      <c r="JAW77" s="156"/>
      <c r="JAX77" s="156"/>
      <c r="JAY77" s="156"/>
      <c r="JAZ77" s="156"/>
      <c r="JBA77" s="156"/>
      <c r="JBB77" s="156"/>
      <c r="JBC77" s="156"/>
      <c r="JBD77" s="156"/>
      <c r="JBE77" s="156"/>
      <c r="JBF77" s="156"/>
      <c r="JBG77" s="156"/>
      <c r="JBH77" s="156"/>
      <c r="JBI77" s="156"/>
      <c r="JBJ77" s="156"/>
      <c r="JBK77" s="156"/>
      <c r="JBL77" s="156"/>
      <c r="JBM77" s="156"/>
      <c r="JBN77" s="156"/>
      <c r="JBO77" s="156"/>
      <c r="JBP77" s="156"/>
      <c r="JBQ77" s="156"/>
      <c r="JBR77" s="156"/>
      <c r="JBS77" s="156"/>
      <c r="JBT77" s="156"/>
      <c r="JBU77" s="156"/>
      <c r="JBV77" s="156"/>
      <c r="JBW77" s="156"/>
      <c r="JBX77" s="156"/>
      <c r="JBY77" s="156"/>
      <c r="JBZ77" s="156"/>
      <c r="JCA77" s="156"/>
      <c r="JCB77" s="156"/>
      <c r="JCC77" s="156"/>
      <c r="JCD77" s="156"/>
      <c r="JCE77" s="156"/>
      <c r="JCF77" s="156"/>
      <c r="JCG77" s="156"/>
      <c r="JCH77" s="156"/>
      <c r="JCI77" s="156"/>
      <c r="JCJ77" s="156"/>
      <c r="JCK77" s="156"/>
      <c r="JCL77" s="156"/>
      <c r="JCM77" s="156"/>
      <c r="JCN77" s="156"/>
      <c r="JCO77" s="156"/>
      <c r="JCP77" s="156"/>
      <c r="JCQ77" s="156"/>
      <c r="JCR77" s="156"/>
      <c r="JCS77" s="156"/>
      <c r="JCT77" s="156"/>
      <c r="JCU77" s="156"/>
      <c r="JCV77" s="156"/>
      <c r="JCW77" s="156"/>
      <c r="JCX77" s="156"/>
      <c r="JCY77" s="156"/>
      <c r="JCZ77" s="156"/>
      <c r="JDA77" s="156"/>
      <c r="JDB77" s="156"/>
      <c r="JDC77" s="156"/>
      <c r="JDD77" s="156"/>
      <c r="JDE77" s="156"/>
      <c r="JDF77" s="156"/>
      <c r="JDG77" s="156"/>
      <c r="JDH77" s="156"/>
      <c r="JDI77" s="156"/>
      <c r="JDJ77" s="156"/>
      <c r="JDK77" s="156"/>
      <c r="JDL77" s="156"/>
      <c r="JDM77" s="156"/>
      <c r="JDN77" s="156"/>
      <c r="JDO77" s="156"/>
      <c r="JDP77" s="156"/>
      <c r="JDQ77" s="156"/>
      <c r="JDR77" s="156"/>
      <c r="JDS77" s="156"/>
      <c r="JDT77" s="156"/>
      <c r="JDU77" s="156"/>
      <c r="JDV77" s="156"/>
      <c r="JDW77" s="156"/>
      <c r="JDX77" s="156"/>
      <c r="JDY77" s="156"/>
      <c r="JDZ77" s="156"/>
      <c r="JEA77" s="156"/>
      <c r="JEB77" s="156"/>
      <c r="JEC77" s="156"/>
      <c r="JED77" s="156"/>
      <c r="JEE77" s="156"/>
      <c r="JEF77" s="156"/>
      <c r="JEG77" s="156"/>
      <c r="JEH77" s="156"/>
      <c r="JEI77" s="156"/>
      <c r="JEJ77" s="156"/>
      <c r="JEK77" s="156"/>
      <c r="JEL77" s="156"/>
      <c r="JEM77" s="156"/>
      <c r="JEN77" s="156"/>
      <c r="JEO77" s="156"/>
      <c r="JEP77" s="156"/>
      <c r="JEQ77" s="156"/>
      <c r="JER77" s="156"/>
      <c r="JES77" s="156"/>
      <c r="JET77" s="156"/>
      <c r="JEU77" s="156"/>
      <c r="JEV77" s="156"/>
      <c r="JEW77" s="156"/>
      <c r="JEX77" s="156"/>
      <c r="JEY77" s="156"/>
      <c r="JEZ77" s="156"/>
      <c r="JFA77" s="156"/>
      <c r="JFB77" s="156"/>
      <c r="JFC77" s="156"/>
      <c r="JFD77" s="156"/>
      <c r="JFE77" s="156"/>
      <c r="JFF77" s="156"/>
      <c r="JFG77" s="156"/>
      <c r="JFH77" s="156"/>
      <c r="JFI77" s="156"/>
      <c r="JFJ77" s="156"/>
      <c r="JFK77" s="156"/>
      <c r="JFL77" s="156"/>
      <c r="JFM77" s="156"/>
      <c r="JFN77" s="156"/>
      <c r="JFO77" s="156"/>
      <c r="JFP77" s="156"/>
      <c r="JFQ77" s="156"/>
      <c r="JFR77" s="156"/>
      <c r="JFS77" s="156"/>
      <c r="JFT77" s="156"/>
      <c r="JFU77" s="156"/>
      <c r="JFV77" s="156"/>
      <c r="JFW77" s="156"/>
      <c r="JFX77" s="156"/>
      <c r="JFY77" s="156"/>
      <c r="JFZ77" s="156"/>
      <c r="JGA77" s="156"/>
      <c r="JGB77" s="156"/>
      <c r="JGC77" s="156"/>
      <c r="JGD77" s="156"/>
      <c r="JGE77" s="156"/>
      <c r="JGF77" s="156"/>
      <c r="JGG77" s="156"/>
      <c r="JGH77" s="156"/>
      <c r="JGI77" s="156"/>
      <c r="JGJ77" s="156"/>
      <c r="JGK77" s="156"/>
      <c r="JGL77" s="156"/>
      <c r="JGM77" s="156"/>
      <c r="JGN77" s="156"/>
      <c r="JGO77" s="156"/>
      <c r="JGP77" s="156"/>
      <c r="JGQ77" s="156"/>
      <c r="JGR77" s="156"/>
      <c r="JGS77" s="156"/>
      <c r="JGT77" s="156"/>
      <c r="JGU77" s="156"/>
      <c r="JGV77" s="156"/>
      <c r="JGW77" s="156"/>
      <c r="JGX77" s="156"/>
      <c r="JGY77" s="156"/>
      <c r="JGZ77" s="156"/>
      <c r="JHA77" s="156"/>
      <c r="JHB77" s="156"/>
      <c r="JHC77" s="156"/>
      <c r="JHD77" s="156"/>
      <c r="JHE77" s="156"/>
      <c r="JHF77" s="156"/>
      <c r="JHG77" s="156"/>
      <c r="JHH77" s="156"/>
      <c r="JHI77" s="156"/>
      <c r="JHJ77" s="156"/>
      <c r="JHK77" s="156"/>
      <c r="JHL77" s="156"/>
      <c r="JHM77" s="156"/>
      <c r="JHN77" s="156"/>
      <c r="JHO77" s="156"/>
      <c r="JHP77" s="156"/>
      <c r="JHQ77" s="156"/>
      <c r="JHR77" s="156"/>
      <c r="JHS77" s="156"/>
      <c r="JHT77" s="156"/>
      <c r="JHU77" s="156"/>
      <c r="JHV77" s="156"/>
      <c r="JHW77" s="156"/>
      <c r="JHX77" s="156"/>
      <c r="JHY77" s="156"/>
      <c r="JHZ77" s="156"/>
      <c r="JIA77" s="156"/>
      <c r="JIB77" s="156"/>
      <c r="JIC77" s="156"/>
      <c r="JID77" s="156"/>
      <c r="JIE77" s="156"/>
      <c r="JIF77" s="156"/>
      <c r="JIG77" s="156"/>
      <c r="JIH77" s="156"/>
      <c r="JII77" s="156"/>
      <c r="JIJ77" s="156"/>
      <c r="JIK77" s="156"/>
      <c r="JIL77" s="156"/>
      <c r="JIM77" s="156"/>
      <c r="JIN77" s="156"/>
      <c r="JIO77" s="156"/>
      <c r="JIP77" s="156"/>
      <c r="JIQ77" s="156"/>
      <c r="JIR77" s="156"/>
      <c r="JIS77" s="156"/>
      <c r="JIT77" s="156"/>
      <c r="JIU77" s="156"/>
      <c r="JIV77" s="156"/>
      <c r="JIW77" s="156"/>
      <c r="JIX77" s="156"/>
      <c r="JIY77" s="156"/>
      <c r="JIZ77" s="156"/>
      <c r="JJA77" s="156"/>
      <c r="JJB77" s="156"/>
      <c r="JJC77" s="156"/>
      <c r="JJD77" s="156"/>
      <c r="JJE77" s="156"/>
      <c r="JJF77" s="156"/>
      <c r="JJG77" s="156"/>
      <c r="JJH77" s="156"/>
      <c r="JJI77" s="156"/>
      <c r="JJJ77" s="156"/>
      <c r="JJK77" s="156"/>
      <c r="JJL77" s="156"/>
      <c r="JJM77" s="156"/>
      <c r="JJN77" s="156"/>
      <c r="JJO77" s="156"/>
      <c r="JJP77" s="156"/>
      <c r="JJQ77" s="156"/>
      <c r="JJR77" s="156"/>
      <c r="JJS77" s="156"/>
      <c r="JJT77" s="156"/>
      <c r="JJU77" s="156"/>
      <c r="JJV77" s="156"/>
      <c r="JJW77" s="156"/>
      <c r="JJX77" s="156"/>
      <c r="JJY77" s="156"/>
      <c r="JJZ77" s="156"/>
      <c r="JKA77" s="156"/>
      <c r="JKB77" s="156"/>
      <c r="JKC77" s="156"/>
      <c r="JKD77" s="156"/>
      <c r="JKE77" s="156"/>
      <c r="JKF77" s="156"/>
      <c r="JKG77" s="156"/>
      <c r="JKH77" s="156"/>
      <c r="JKI77" s="156"/>
      <c r="JKJ77" s="156"/>
      <c r="JKK77" s="156"/>
      <c r="JKL77" s="156"/>
      <c r="JKM77" s="156"/>
      <c r="JKN77" s="156"/>
      <c r="JKO77" s="156"/>
      <c r="JKP77" s="156"/>
      <c r="JKQ77" s="156"/>
      <c r="JKR77" s="156"/>
      <c r="JKS77" s="156"/>
      <c r="JKT77" s="156"/>
      <c r="JKU77" s="156"/>
      <c r="JKV77" s="156"/>
      <c r="JKW77" s="156"/>
      <c r="JKX77" s="156"/>
      <c r="JKY77" s="156"/>
      <c r="JKZ77" s="156"/>
      <c r="JLA77" s="156"/>
      <c r="JLB77" s="156"/>
      <c r="JLC77" s="156"/>
      <c r="JLD77" s="156"/>
      <c r="JLE77" s="156"/>
      <c r="JLF77" s="156"/>
      <c r="JLG77" s="156"/>
      <c r="JLH77" s="156"/>
      <c r="JLI77" s="156"/>
      <c r="JLJ77" s="156"/>
      <c r="JLK77" s="156"/>
      <c r="JLL77" s="156"/>
      <c r="JLM77" s="156"/>
      <c r="JLN77" s="156"/>
      <c r="JLO77" s="156"/>
      <c r="JLP77" s="156"/>
      <c r="JLQ77" s="156"/>
      <c r="JLR77" s="156"/>
      <c r="JLS77" s="156"/>
      <c r="JLT77" s="156"/>
      <c r="JLU77" s="156"/>
      <c r="JLV77" s="156"/>
      <c r="JLW77" s="156"/>
      <c r="JLX77" s="156"/>
      <c r="JLY77" s="156"/>
      <c r="JLZ77" s="156"/>
      <c r="JMA77" s="156"/>
      <c r="JMB77" s="156"/>
      <c r="JMC77" s="156"/>
      <c r="JMD77" s="156"/>
      <c r="JME77" s="156"/>
      <c r="JMF77" s="156"/>
      <c r="JMG77" s="156"/>
      <c r="JMH77" s="156"/>
      <c r="JMI77" s="156"/>
      <c r="JMJ77" s="156"/>
      <c r="JMK77" s="156"/>
      <c r="JML77" s="156"/>
      <c r="JMM77" s="156"/>
      <c r="JMN77" s="156"/>
      <c r="JMO77" s="156"/>
      <c r="JMP77" s="156"/>
      <c r="JMQ77" s="156"/>
      <c r="JMR77" s="156"/>
      <c r="JMS77" s="156"/>
      <c r="JMT77" s="156"/>
      <c r="JMU77" s="156"/>
      <c r="JMV77" s="156"/>
      <c r="JMW77" s="156"/>
      <c r="JMX77" s="156"/>
      <c r="JMY77" s="156"/>
      <c r="JMZ77" s="156"/>
      <c r="JNA77" s="156"/>
      <c r="JNB77" s="156"/>
      <c r="JNC77" s="156"/>
      <c r="JND77" s="156"/>
      <c r="JNE77" s="156"/>
      <c r="JNF77" s="156"/>
      <c r="JNG77" s="156"/>
      <c r="JNH77" s="156"/>
      <c r="JNI77" s="156"/>
      <c r="JNJ77" s="156"/>
      <c r="JNK77" s="156"/>
      <c r="JNL77" s="156"/>
      <c r="JNM77" s="156"/>
      <c r="JNN77" s="156"/>
      <c r="JNO77" s="156"/>
      <c r="JNP77" s="156"/>
      <c r="JNQ77" s="156"/>
      <c r="JNR77" s="156"/>
      <c r="JNS77" s="156"/>
      <c r="JNT77" s="156"/>
      <c r="JNU77" s="156"/>
      <c r="JNV77" s="156"/>
      <c r="JNW77" s="156"/>
      <c r="JNX77" s="156"/>
      <c r="JNY77" s="156"/>
      <c r="JNZ77" s="156"/>
      <c r="JOA77" s="156"/>
      <c r="JOB77" s="156"/>
      <c r="JOC77" s="156"/>
      <c r="JOD77" s="156"/>
      <c r="JOE77" s="156"/>
      <c r="JOF77" s="156"/>
      <c r="JOG77" s="156"/>
      <c r="JOH77" s="156"/>
      <c r="JOI77" s="156"/>
      <c r="JOJ77" s="156"/>
      <c r="JOK77" s="156"/>
      <c r="JOL77" s="156"/>
      <c r="JOM77" s="156"/>
      <c r="JON77" s="156"/>
      <c r="JOO77" s="156"/>
      <c r="JOP77" s="156"/>
      <c r="JOQ77" s="156"/>
      <c r="JOR77" s="156"/>
      <c r="JOS77" s="156"/>
      <c r="JOT77" s="156"/>
      <c r="JOU77" s="156"/>
      <c r="JOV77" s="156"/>
      <c r="JOW77" s="156"/>
      <c r="JOX77" s="156"/>
      <c r="JOY77" s="156"/>
      <c r="JOZ77" s="156"/>
      <c r="JPA77" s="156"/>
      <c r="JPB77" s="156"/>
      <c r="JPC77" s="156"/>
      <c r="JPD77" s="156"/>
      <c r="JPE77" s="156"/>
      <c r="JPF77" s="156"/>
      <c r="JPG77" s="156"/>
      <c r="JPH77" s="156"/>
      <c r="JPI77" s="156"/>
      <c r="JPJ77" s="156"/>
      <c r="JPK77" s="156"/>
      <c r="JPL77" s="156"/>
      <c r="JPM77" s="156"/>
      <c r="JPN77" s="156"/>
      <c r="JPO77" s="156"/>
      <c r="JPP77" s="156"/>
      <c r="JPQ77" s="156"/>
      <c r="JPR77" s="156"/>
      <c r="JPS77" s="156"/>
      <c r="JPT77" s="156"/>
      <c r="JPU77" s="156"/>
      <c r="JPV77" s="156"/>
      <c r="JPW77" s="156"/>
      <c r="JPX77" s="156"/>
      <c r="JPY77" s="156"/>
      <c r="JPZ77" s="156"/>
      <c r="JQA77" s="156"/>
      <c r="JQB77" s="156"/>
      <c r="JQC77" s="156"/>
      <c r="JQD77" s="156"/>
      <c r="JQE77" s="156"/>
      <c r="JQF77" s="156"/>
      <c r="JQG77" s="156"/>
      <c r="JQH77" s="156"/>
      <c r="JQI77" s="156"/>
      <c r="JQJ77" s="156"/>
      <c r="JQK77" s="156"/>
      <c r="JQL77" s="156"/>
      <c r="JQM77" s="156"/>
      <c r="JQN77" s="156"/>
      <c r="JQO77" s="156"/>
      <c r="JQP77" s="156"/>
      <c r="JQQ77" s="156"/>
      <c r="JQR77" s="156"/>
      <c r="JQS77" s="156"/>
      <c r="JQT77" s="156"/>
      <c r="JQU77" s="156"/>
      <c r="JQV77" s="156"/>
      <c r="JQW77" s="156"/>
      <c r="JQX77" s="156"/>
      <c r="JQY77" s="156"/>
      <c r="JQZ77" s="156"/>
      <c r="JRA77" s="156"/>
      <c r="JRB77" s="156"/>
      <c r="JRC77" s="156"/>
      <c r="JRD77" s="156"/>
      <c r="JRE77" s="156"/>
      <c r="JRF77" s="156"/>
      <c r="JRG77" s="156"/>
      <c r="JRH77" s="156"/>
      <c r="JRI77" s="156"/>
      <c r="JRJ77" s="156"/>
      <c r="JRK77" s="156"/>
      <c r="JRL77" s="156"/>
      <c r="JRM77" s="156"/>
      <c r="JRN77" s="156"/>
      <c r="JRO77" s="156"/>
      <c r="JRP77" s="156"/>
      <c r="JRQ77" s="156"/>
      <c r="JRR77" s="156"/>
      <c r="JRS77" s="156"/>
      <c r="JRT77" s="156"/>
      <c r="JRU77" s="156"/>
      <c r="JRV77" s="156"/>
      <c r="JRW77" s="156"/>
      <c r="JRX77" s="156"/>
      <c r="JRY77" s="156"/>
      <c r="JRZ77" s="156"/>
      <c r="JSA77" s="156"/>
      <c r="JSB77" s="156"/>
      <c r="JSC77" s="156"/>
      <c r="JSD77" s="156"/>
      <c r="JSE77" s="156"/>
      <c r="JSF77" s="156"/>
      <c r="JSG77" s="156"/>
      <c r="JSH77" s="156"/>
      <c r="JSI77" s="156"/>
      <c r="JSJ77" s="156"/>
      <c r="JSK77" s="156"/>
      <c r="JSL77" s="156"/>
      <c r="JSM77" s="156"/>
      <c r="JSN77" s="156"/>
      <c r="JSO77" s="156"/>
      <c r="JSP77" s="156"/>
      <c r="JSQ77" s="156"/>
      <c r="JSR77" s="156"/>
      <c r="JSS77" s="156"/>
      <c r="JST77" s="156"/>
      <c r="JSU77" s="156"/>
      <c r="JSV77" s="156"/>
      <c r="JSW77" s="156"/>
      <c r="JSX77" s="156"/>
      <c r="JSY77" s="156"/>
      <c r="JSZ77" s="156"/>
      <c r="JTA77" s="156"/>
      <c r="JTB77" s="156"/>
      <c r="JTC77" s="156"/>
      <c r="JTD77" s="156"/>
      <c r="JTE77" s="156"/>
      <c r="JTF77" s="156"/>
      <c r="JTG77" s="156"/>
      <c r="JTH77" s="156"/>
      <c r="JTI77" s="156"/>
      <c r="JTJ77" s="156"/>
      <c r="JTK77" s="156"/>
      <c r="JTL77" s="156"/>
      <c r="JTM77" s="156"/>
      <c r="JTN77" s="156"/>
      <c r="JTO77" s="156"/>
      <c r="JTP77" s="156"/>
      <c r="JTQ77" s="156"/>
      <c r="JTR77" s="156"/>
      <c r="JTS77" s="156"/>
      <c r="JTT77" s="156"/>
      <c r="JTU77" s="156"/>
      <c r="JTV77" s="156"/>
      <c r="JTW77" s="156"/>
      <c r="JTX77" s="156"/>
      <c r="JTY77" s="156"/>
      <c r="JTZ77" s="156"/>
      <c r="JUA77" s="156"/>
      <c r="JUB77" s="156"/>
      <c r="JUC77" s="156"/>
      <c r="JUD77" s="156"/>
      <c r="JUE77" s="156"/>
      <c r="JUF77" s="156"/>
      <c r="JUG77" s="156"/>
      <c r="JUH77" s="156"/>
      <c r="JUI77" s="156"/>
      <c r="JUJ77" s="156"/>
      <c r="JUK77" s="156"/>
      <c r="JUL77" s="156"/>
      <c r="JUM77" s="156"/>
      <c r="JUN77" s="156"/>
      <c r="JUO77" s="156"/>
      <c r="JUP77" s="156"/>
      <c r="JUQ77" s="156"/>
      <c r="JUR77" s="156"/>
      <c r="JUS77" s="156"/>
      <c r="JUT77" s="156"/>
      <c r="JUU77" s="156"/>
      <c r="JUV77" s="156"/>
      <c r="JUW77" s="156"/>
      <c r="JUX77" s="156"/>
      <c r="JUY77" s="156"/>
      <c r="JUZ77" s="156"/>
      <c r="JVA77" s="156"/>
      <c r="JVB77" s="156"/>
      <c r="JVC77" s="156"/>
      <c r="JVD77" s="156"/>
      <c r="JVE77" s="156"/>
      <c r="JVF77" s="156"/>
      <c r="JVG77" s="156"/>
      <c r="JVH77" s="156"/>
      <c r="JVI77" s="156"/>
      <c r="JVJ77" s="156"/>
      <c r="JVK77" s="156"/>
      <c r="JVL77" s="156"/>
      <c r="JVM77" s="156"/>
      <c r="JVN77" s="156"/>
      <c r="JVO77" s="156"/>
      <c r="JVP77" s="156"/>
      <c r="JVQ77" s="156"/>
      <c r="JVR77" s="156"/>
      <c r="JVS77" s="156"/>
      <c r="JVT77" s="156"/>
      <c r="JVU77" s="156"/>
      <c r="JVV77" s="156"/>
      <c r="JVW77" s="156"/>
      <c r="JVX77" s="156"/>
      <c r="JVY77" s="156"/>
      <c r="JVZ77" s="156"/>
      <c r="JWA77" s="156"/>
      <c r="JWB77" s="156"/>
      <c r="JWC77" s="156"/>
      <c r="JWD77" s="156"/>
      <c r="JWE77" s="156"/>
      <c r="JWF77" s="156"/>
      <c r="JWG77" s="156"/>
      <c r="JWH77" s="156"/>
      <c r="JWI77" s="156"/>
      <c r="JWJ77" s="156"/>
      <c r="JWK77" s="156"/>
      <c r="JWL77" s="156"/>
      <c r="JWM77" s="156"/>
      <c r="JWN77" s="156"/>
      <c r="JWO77" s="156"/>
      <c r="JWP77" s="156"/>
      <c r="JWQ77" s="156"/>
      <c r="JWR77" s="156"/>
      <c r="JWS77" s="156"/>
      <c r="JWT77" s="156"/>
      <c r="JWU77" s="156"/>
      <c r="JWV77" s="156"/>
      <c r="JWW77" s="156"/>
      <c r="JWX77" s="156"/>
      <c r="JWY77" s="156"/>
      <c r="JWZ77" s="156"/>
      <c r="JXA77" s="156"/>
      <c r="JXB77" s="156"/>
      <c r="JXC77" s="156"/>
      <c r="JXD77" s="156"/>
      <c r="JXE77" s="156"/>
      <c r="JXF77" s="156"/>
      <c r="JXG77" s="156"/>
      <c r="JXH77" s="156"/>
      <c r="JXI77" s="156"/>
      <c r="JXJ77" s="156"/>
      <c r="JXK77" s="156"/>
      <c r="JXL77" s="156"/>
      <c r="JXM77" s="156"/>
      <c r="JXN77" s="156"/>
      <c r="JXO77" s="156"/>
      <c r="JXP77" s="156"/>
      <c r="JXQ77" s="156"/>
      <c r="JXR77" s="156"/>
      <c r="JXS77" s="156"/>
      <c r="JXT77" s="156"/>
      <c r="JXU77" s="156"/>
      <c r="JXV77" s="156"/>
      <c r="JXW77" s="156"/>
      <c r="JXX77" s="156"/>
      <c r="JXY77" s="156"/>
      <c r="JXZ77" s="156"/>
      <c r="JYA77" s="156"/>
      <c r="JYB77" s="156"/>
      <c r="JYC77" s="156"/>
      <c r="JYD77" s="156"/>
      <c r="JYE77" s="156"/>
      <c r="JYF77" s="156"/>
      <c r="JYG77" s="156"/>
      <c r="JYH77" s="156"/>
      <c r="JYI77" s="156"/>
      <c r="JYJ77" s="156"/>
      <c r="JYK77" s="156"/>
      <c r="JYL77" s="156"/>
      <c r="JYM77" s="156"/>
      <c r="JYN77" s="156"/>
      <c r="JYO77" s="156"/>
      <c r="JYP77" s="156"/>
      <c r="JYQ77" s="156"/>
      <c r="JYR77" s="156"/>
      <c r="JYS77" s="156"/>
      <c r="JYT77" s="156"/>
      <c r="JYU77" s="156"/>
      <c r="JYV77" s="156"/>
      <c r="JYW77" s="156"/>
      <c r="JYX77" s="156"/>
      <c r="JYY77" s="156"/>
      <c r="JYZ77" s="156"/>
      <c r="JZA77" s="156"/>
      <c r="JZB77" s="156"/>
      <c r="JZC77" s="156"/>
      <c r="JZD77" s="156"/>
      <c r="JZE77" s="156"/>
      <c r="JZF77" s="156"/>
      <c r="JZG77" s="156"/>
      <c r="JZH77" s="156"/>
      <c r="JZI77" s="156"/>
      <c r="JZJ77" s="156"/>
      <c r="JZK77" s="156"/>
      <c r="JZL77" s="156"/>
      <c r="JZM77" s="156"/>
      <c r="JZN77" s="156"/>
      <c r="JZO77" s="156"/>
      <c r="JZP77" s="156"/>
      <c r="JZQ77" s="156"/>
      <c r="JZR77" s="156"/>
      <c r="JZS77" s="156"/>
      <c r="JZT77" s="156"/>
      <c r="JZU77" s="156"/>
      <c r="JZV77" s="156"/>
      <c r="JZW77" s="156"/>
      <c r="JZX77" s="156"/>
      <c r="JZY77" s="156"/>
      <c r="JZZ77" s="156"/>
      <c r="KAA77" s="156"/>
      <c r="KAB77" s="156"/>
      <c r="KAC77" s="156"/>
      <c r="KAD77" s="156"/>
      <c r="KAE77" s="156"/>
      <c r="KAF77" s="156"/>
      <c r="KAG77" s="156"/>
      <c r="KAH77" s="156"/>
      <c r="KAI77" s="156"/>
      <c r="KAJ77" s="156"/>
      <c r="KAK77" s="156"/>
      <c r="KAL77" s="156"/>
      <c r="KAM77" s="156"/>
      <c r="KAN77" s="156"/>
      <c r="KAO77" s="156"/>
      <c r="KAP77" s="156"/>
      <c r="KAQ77" s="156"/>
      <c r="KAR77" s="156"/>
      <c r="KAS77" s="156"/>
      <c r="KAT77" s="156"/>
      <c r="KAU77" s="156"/>
      <c r="KAV77" s="156"/>
      <c r="KAW77" s="156"/>
      <c r="KAX77" s="156"/>
      <c r="KAY77" s="156"/>
      <c r="KAZ77" s="156"/>
      <c r="KBA77" s="156"/>
      <c r="KBB77" s="156"/>
      <c r="KBC77" s="156"/>
      <c r="KBD77" s="156"/>
      <c r="KBE77" s="156"/>
      <c r="KBF77" s="156"/>
      <c r="KBG77" s="156"/>
      <c r="KBH77" s="156"/>
      <c r="KBI77" s="156"/>
      <c r="KBJ77" s="156"/>
      <c r="KBK77" s="156"/>
      <c r="KBL77" s="156"/>
      <c r="KBM77" s="156"/>
      <c r="KBN77" s="156"/>
      <c r="KBO77" s="156"/>
      <c r="KBP77" s="156"/>
      <c r="KBQ77" s="156"/>
      <c r="KBR77" s="156"/>
      <c r="KBS77" s="156"/>
      <c r="KBT77" s="156"/>
      <c r="KBU77" s="156"/>
      <c r="KBV77" s="156"/>
      <c r="KBW77" s="156"/>
      <c r="KBX77" s="156"/>
      <c r="KBY77" s="156"/>
      <c r="KBZ77" s="156"/>
      <c r="KCA77" s="156"/>
      <c r="KCB77" s="156"/>
      <c r="KCC77" s="156"/>
      <c r="KCD77" s="156"/>
      <c r="KCE77" s="156"/>
      <c r="KCF77" s="156"/>
      <c r="KCG77" s="156"/>
      <c r="KCH77" s="156"/>
      <c r="KCI77" s="156"/>
      <c r="KCJ77" s="156"/>
      <c r="KCK77" s="156"/>
      <c r="KCL77" s="156"/>
      <c r="KCM77" s="156"/>
      <c r="KCN77" s="156"/>
      <c r="KCO77" s="156"/>
      <c r="KCP77" s="156"/>
      <c r="KCQ77" s="156"/>
      <c r="KCR77" s="156"/>
      <c r="KCS77" s="156"/>
      <c r="KCT77" s="156"/>
      <c r="KCU77" s="156"/>
      <c r="KCV77" s="156"/>
      <c r="KCW77" s="156"/>
      <c r="KCX77" s="156"/>
      <c r="KCY77" s="156"/>
      <c r="KCZ77" s="156"/>
      <c r="KDA77" s="156"/>
      <c r="KDB77" s="156"/>
      <c r="KDC77" s="156"/>
      <c r="KDD77" s="156"/>
      <c r="KDE77" s="156"/>
      <c r="KDF77" s="156"/>
      <c r="KDG77" s="156"/>
      <c r="KDH77" s="156"/>
      <c r="KDI77" s="156"/>
      <c r="KDJ77" s="156"/>
      <c r="KDK77" s="156"/>
      <c r="KDL77" s="156"/>
      <c r="KDM77" s="156"/>
      <c r="KDN77" s="156"/>
      <c r="KDO77" s="156"/>
      <c r="KDP77" s="156"/>
      <c r="KDQ77" s="156"/>
      <c r="KDR77" s="156"/>
      <c r="KDS77" s="156"/>
      <c r="KDT77" s="156"/>
      <c r="KDU77" s="156"/>
      <c r="KDV77" s="156"/>
      <c r="KDW77" s="156"/>
      <c r="KDX77" s="156"/>
      <c r="KDY77" s="156"/>
      <c r="KDZ77" s="156"/>
      <c r="KEA77" s="156"/>
      <c r="KEB77" s="156"/>
      <c r="KEC77" s="156"/>
      <c r="KED77" s="156"/>
      <c r="KEE77" s="156"/>
      <c r="KEF77" s="156"/>
      <c r="KEG77" s="156"/>
      <c r="KEH77" s="156"/>
      <c r="KEI77" s="156"/>
      <c r="KEJ77" s="156"/>
      <c r="KEK77" s="156"/>
      <c r="KEL77" s="156"/>
      <c r="KEM77" s="156"/>
      <c r="KEN77" s="156"/>
      <c r="KEO77" s="156"/>
      <c r="KEP77" s="156"/>
      <c r="KEQ77" s="156"/>
      <c r="KER77" s="156"/>
      <c r="KES77" s="156"/>
      <c r="KET77" s="156"/>
      <c r="KEU77" s="156"/>
      <c r="KEV77" s="156"/>
      <c r="KEW77" s="156"/>
      <c r="KEX77" s="156"/>
      <c r="KEY77" s="156"/>
      <c r="KEZ77" s="156"/>
      <c r="KFA77" s="156"/>
      <c r="KFB77" s="156"/>
      <c r="KFC77" s="156"/>
      <c r="KFD77" s="156"/>
      <c r="KFE77" s="156"/>
      <c r="KFF77" s="156"/>
      <c r="KFG77" s="156"/>
      <c r="KFH77" s="156"/>
      <c r="KFI77" s="156"/>
      <c r="KFJ77" s="156"/>
      <c r="KFK77" s="156"/>
      <c r="KFL77" s="156"/>
      <c r="KFM77" s="156"/>
      <c r="KFN77" s="156"/>
      <c r="KFO77" s="156"/>
      <c r="KFP77" s="156"/>
      <c r="KFQ77" s="156"/>
      <c r="KFR77" s="156"/>
      <c r="KFS77" s="156"/>
      <c r="KFT77" s="156"/>
      <c r="KFU77" s="156"/>
      <c r="KFV77" s="156"/>
      <c r="KFW77" s="156"/>
      <c r="KFX77" s="156"/>
      <c r="KFY77" s="156"/>
      <c r="KFZ77" s="156"/>
      <c r="KGA77" s="156"/>
      <c r="KGB77" s="156"/>
      <c r="KGC77" s="156"/>
      <c r="KGD77" s="156"/>
      <c r="KGE77" s="156"/>
      <c r="KGF77" s="156"/>
      <c r="KGG77" s="156"/>
      <c r="KGH77" s="156"/>
      <c r="KGI77" s="156"/>
      <c r="KGJ77" s="156"/>
      <c r="KGK77" s="156"/>
      <c r="KGL77" s="156"/>
      <c r="KGM77" s="156"/>
      <c r="KGN77" s="156"/>
      <c r="KGO77" s="156"/>
      <c r="KGP77" s="156"/>
      <c r="KGQ77" s="156"/>
      <c r="KGR77" s="156"/>
      <c r="KGS77" s="156"/>
      <c r="KGT77" s="156"/>
      <c r="KGU77" s="156"/>
      <c r="KGV77" s="156"/>
      <c r="KGW77" s="156"/>
      <c r="KGX77" s="156"/>
      <c r="KGY77" s="156"/>
      <c r="KGZ77" s="156"/>
      <c r="KHA77" s="156"/>
      <c r="KHB77" s="156"/>
      <c r="KHC77" s="156"/>
      <c r="KHD77" s="156"/>
      <c r="KHE77" s="156"/>
      <c r="KHF77" s="156"/>
      <c r="KHG77" s="156"/>
      <c r="KHH77" s="156"/>
      <c r="KHI77" s="156"/>
      <c r="KHJ77" s="156"/>
      <c r="KHK77" s="156"/>
      <c r="KHL77" s="156"/>
      <c r="KHM77" s="156"/>
      <c r="KHN77" s="156"/>
      <c r="KHO77" s="156"/>
      <c r="KHP77" s="156"/>
      <c r="KHQ77" s="156"/>
      <c r="KHR77" s="156"/>
      <c r="KHS77" s="156"/>
      <c r="KHT77" s="156"/>
      <c r="KHU77" s="156"/>
      <c r="KHV77" s="156"/>
      <c r="KHW77" s="156"/>
      <c r="KHX77" s="156"/>
      <c r="KHY77" s="156"/>
      <c r="KHZ77" s="156"/>
      <c r="KIA77" s="156"/>
      <c r="KIB77" s="156"/>
      <c r="KIC77" s="156"/>
      <c r="KID77" s="156"/>
      <c r="KIE77" s="156"/>
      <c r="KIF77" s="156"/>
      <c r="KIG77" s="156"/>
      <c r="KIH77" s="156"/>
      <c r="KII77" s="156"/>
      <c r="KIJ77" s="156"/>
      <c r="KIK77" s="156"/>
      <c r="KIL77" s="156"/>
      <c r="KIM77" s="156"/>
      <c r="KIN77" s="156"/>
      <c r="KIO77" s="156"/>
      <c r="KIP77" s="156"/>
      <c r="KIQ77" s="156"/>
      <c r="KIR77" s="156"/>
      <c r="KIS77" s="156"/>
      <c r="KIT77" s="156"/>
      <c r="KIU77" s="156"/>
      <c r="KIV77" s="156"/>
      <c r="KIW77" s="156"/>
      <c r="KIX77" s="156"/>
      <c r="KIY77" s="156"/>
      <c r="KIZ77" s="156"/>
      <c r="KJA77" s="156"/>
      <c r="KJB77" s="156"/>
      <c r="KJC77" s="156"/>
      <c r="KJD77" s="156"/>
      <c r="KJE77" s="156"/>
      <c r="KJF77" s="156"/>
      <c r="KJG77" s="156"/>
      <c r="KJH77" s="156"/>
      <c r="KJI77" s="156"/>
      <c r="KJJ77" s="156"/>
      <c r="KJK77" s="156"/>
      <c r="KJL77" s="156"/>
      <c r="KJM77" s="156"/>
      <c r="KJN77" s="156"/>
      <c r="KJO77" s="156"/>
      <c r="KJP77" s="156"/>
      <c r="KJQ77" s="156"/>
      <c r="KJR77" s="156"/>
      <c r="KJS77" s="156"/>
      <c r="KJT77" s="156"/>
      <c r="KJU77" s="156"/>
      <c r="KJV77" s="156"/>
      <c r="KJW77" s="156"/>
      <c r="KJX77" s="156"/>
      <c r="KJY77" s="156"/>
      <c r="KJZ77" s="156"/>
      <c r="KKA77" s="156"/>
      <c r="KKB77" s="156"/>
      <c r="KKC77" s="156"/>
      <c r="KKD77" s="156"/>
      <c r="KKE77" s="156"/>
      <c r="KKF77" s="156"/>
      <c r="KKG77" s="156"/>
      <c r="KKH77" s="156"/>
      <c r="KKI77" s="156"/>
      <c r="KKJ77" s="156"/>
      <c r="KKK77" s="156"/>
      <c r="KKL77" s="156"/>
      <c r="KKM77" s="156"/>
      <c r="KKN77" s="156"/>
      <c r="KKO77" s="156"/>
      <c r="KKP77" s="156"/>
      <c r="KKQ77" s="156"/>
      <c r="KKR77" s="156"/>
      <c r="KKS77" s="156"/>
      <c r="KKT77" s="156"/>
      <c r="KKU77" s="156"/>
      <c r="KKV77" s="156"/>
      <c r="KKW77" s="156"/>
      <c r="KKX77" s="156"/>
      <c r="KKY77" s="156"/>
      <c r="KKZ77" s="156"/>
      <c r="KLA77" s="156"/>
      <c r="KLB77" s="156"/>
      <c r="KLC77" s="156"/>
      <c r="KLD77" s="156"/>
      <c r="KLE77" s="156"/>
      <c r="KLF77" s="156"/>
      <c r="KLG77" s="156"/>
      <c r="KLH77" s="156"/>
      <c r="KLI77" s="156"/>
      <c r="KLJ77" s="156"/>
      <c r="KLK77" s="156"/>
      <c r="KLL77" s="156"/>
      <c r="KLM77" s="156"/>
      <c r="KLN77" s="156"/>
      <c r="KLO77" s="156"/>
      <c r="KLP77" s="156"/>
      <c r="KLQ77" s="156"/>
      <c r="KLR77" s="156"/>
      <c r="KLS77" s="156"/>
      <c r="KLT77" s="156"/>
      <c r="KLU77" s="156"/>
      <c r="KLV77" s="156"/>
      <c r="KLW77" s="156"/>
      <c r="KLX77" s="156"/>
      <c r="KLY77" s="156"/>
      <c r="KLZ77" s="156"/>
      <c r="KMA77" s="156"/>
      <c r="KMB77" s="156"/>
      <c r="KMC77" s="156"/>
      <c r="KMD77" s="156"/>
      <c r="KME77" s="156"/>
      <c r="KMF77" s="156"/>
      <c r="KMG77" s="156"/>
      <c r="KMH77" s="156"/>
      <c r="KMI77" s="156"/>
      <c r="KMJ77" s="156"/>
      <c r="KMK77" s="156"/>
      <c r="KML77" s="156"/>
      <c r="KMM77" s="156"/>
      <c r="KMN77" s="156"/>
      <c r="KMO77" s="156"/>
      <c r="KMP77" s="156"/>
      <c r="KMQ77" s="156"/>
      <c r="KMR77" s="156"/>
      <c r="KMS77" s="156"/>
      <c r="KMT77" s="156"/>
      <c r="KMU77" s="156"/>
      <c r="KMV77" s="156"/>
      <c r="KMW77" s="156"/>
      <c r="KMX77" s="156"/>
      <c r="KMY77" s="156"/>
      <c r="KMZ77" s="156"/>
      <c r="KNA77" s="156"/>
      <c r="KNB77" s="156"/>
      <c r="KNC77" s="156"/>
      <c r="KND77" s="156"/>
      <c r="KNE77" s="156"/>
      <c r="KNF77" s="156"/>
      <c r="KNG77" s="156"/>
      <c r="KNH77" s="156"/>
      <c r="KNI77" s="156"/>
      <c r="KNJ77" s="156"/>
      <c r="KNK77" s="156"/>
      <c r="KNL77" s="156"/>
      <c r="KNM77" s="156"/>
      <c r="KNN77" s="156"/>
      <c r="KNO77" s="156"/>
      <c r="KNP77" s="156"/>
      <c r="KNQ77" s="156"/>
      <c r="KNR77" s="156"/>
      <c r="KNS77" s="156"/>
      <c r="KNT77" s="156"/>
      <c r="KNU77" s="156"/>
      <c r="KNV77" s="156"/>
      <c r="KNW77" s="156"/>
      <c r="KNX77" s="156"/>
      <c r="KNY77" s="156"/>
      <c r="KNZ77" s="156"/>
      <c r="KOA77" s="156"/>
      <c r="KOB77" s="156"/>
      <c r="KOC77" s="156"/>
      <c r="KOD77" s="156"/>
      <c r="KOE77" s="156"/>
      <c r="KOF77" s="156"/>
      <c r="KOG77" s="156"/>
      <c r="KOH77" s="156"/>
      <c r="KOI77" s="156"/>
      <c r="KOJ77" s="156"/>
      <c r="KOK77" s="156"/>
      <c r="KOL77" s="156"/>
      <c r="KOM77" s="156"/>
      <c r="KON77" s="156"/>
      <c r="KOO77" s="156"/>
      <c r="KOP77" s="156"/>
      <c r="KOQ77" s="156"/>
      <c r="KOR77" s="156"/>
      <c r="KOS77" s="156"/>
      <c r="KOT77" s="156"/>
      <c r="KOU77" s="156"/>
      <c r="KOV77" s="156"/>
      <c r="KOW77" s="156"/>
      <c r="KOX77" s="156"/>
      <c r="KOY77" s="156"/>
      <c r="KOZ77" s="156"/>
      <c r="KPA77" s="156"/>
      <c r="KPB77" s="156"/>
      <c r="KPC77" s="156"/>
      <c r="KPD77" s="156"/>
      <c r="KPE77" s="156"/>
      <c r="KPF77" s="156"/>
      <c r="KPG77" s="156"/>
      <c r="KPH77" s="156"/>
      <c r="KPI77" s="156"/>
      <c r="KPJ77" s="156"/>
      <c r="KPK77" s="156"/>
      <c r="KPL77" s="156"/>
      <c r="KPM77" s="156"/>
      <c r="KPN77" s="156"/>
      <c r="KPO77" s="156"/>
      <c r="KPP77" s="156"/>
      <c r="KPQ77" s="156"/>
      <c r="KPR77" s="156"/>
      <c r="KPS77" s="156"/>
      <c r="KPT77" s="156"/>
      <c r="KPU77" s="156"/>
      <c r="KPV77" s="156"/>
      <c r="KPW77" s="156"/>
      <c r="KPX77" s="156"/>
      <c r="KPY77" s="156"/>
      <c r="KPZ77" s="156"/>
      <c r="KQA77" s="156"/>
      <c r="KQB77" s="156"/>
      <c r="KQC77" s="156"/>
      <c r="KQD77" s="156"/>
      <c r="KQE77" s="156"/>
      <c r="KQF77" s="156"/>
      <c r="KQG77" s="156"/>
      <c r="KQH77" s="156"/>
      <c r="KQI77" s="156"/>
      <c r="KQJ77" s="156"/>
      <c r="KQK77" s="156"/>
      <c r="KQL77" s="156"/>
      <c r="KQM77" s="156"/>
      <c r="KQN77" s="156"/>
      <c r="KQO77" s="156"/>
      <c r="KQP77" s="156"/>
      <c r="KQQ77" s="156"/>
      <c r="KQR77" s="156"/>
      <c r="KQS77" s="156"/>
      <c r="KQT77" s="156"/>
      <c r="KQU77" s="156"/>
      <c r="KQV77" s="156"/>
      <c r="KQW77" s="156"/>
      <c r="KQX77" s="156"/>
      <c r="KQY77" s="156"/>
      <c r="KQZ77" s="156"/>
      <c r="KRA77" s="156"/>
      <c r="KRB77" s="156"/>
      <c r="KRC77" s="156"/>
      <c r="KRD77" s="156"/>
      <c r="KRE77" s="156"/>
      <c r="KRF77" s="156"/>
      <c r="KRG77" s="156"/>
      <c r="KRH77" s="156"/>
      <c r="KRI77" s="156"/>
      <c r="KRJ77" s="156"/>
      <c r="KRK77" s="156"/>
      <c r="KRL77" s="156"/>
      <c r="KRM77" s="156"/>
      <c r="KRN77" s="156"/>
      <c r="KRO77" s="156"/>
      <c r="KRP77" s="156"/>
      <c r="KRQ77" s="156"/>
      <c r="KRR77" s="156"/>
      <c r="KRS77" s="156"/>
      <c r="KRT77" s="156"/>
      <c r="KRU77" s="156"/>
      <c r="KRV77" s="156"/>
      <c r="KRW77" s="156"/>
      <c r="KRX77" s="156"/>
      <c r="KRY77" s="156"/>
      <c r="KRZ77" s="156"/>
      <c r="KSA77" s="156"/>
      <c r="KSB77" s="156"/>
      <c r="KSC77" s="156"/>
      <c r="KSD77" s="156"/>
      <c r="KSE77" s="156"/>
      <c r="KSF77" s="156"/>
      <c r="KSG77" s="156"/>
      <c r="KSH77" s="156"/>
      <c r="KSI77" s="156"/>
      <c r="KSJ77" s="156"/>
      <c r="KSK77" s="156"/>
      <c r="KSL77" s="156"/>
      <c r="KSM77" s="156"/>
      <c r="KSN77" s="156"/>
      <c r="KSO77" s="156"/>
      <c r="KSP77" s="156"/>
      <c r="KSQ77" s="156"/>
      <c r="KSR77" s="156"/>
      <c r="KSS77" s="156"/>
      <c r="KST77" s="156"/>
      <c r="KSU77" s="156"/>
      <c r="KSV77" s="156"/>
      <c r="KSW77" s="156"/>
      <c r="KSX77" s="156"/>
      <c r="KSY77" s="156"/>
      <c r="KSZ77" s="156"/>
      <c r="KTA77" s="156"/>
      <c r="KTB77" s="156"/>
      <c r="KTC77" s="156"/>
      <c r="KTD77" s="156"/>
      <c r="KTE77" s="156"/>
      <c r="KTF77" s="156"/>
      <c r="KTG77" s="156"/>
      <c r="KTH77" s="156"/>
      <c r="KTI77" s="156"/>
      <c r="KTJ77" s="156"/>
      <c r="KTK77" s="156"/>
      <c r="KTL77" s="156"/>
      <c r="KTM77" s="156"/>
      <c r="KTN77" s="156"/>
      <c r="KTO77" s="156"/>
      <c r="KTP77" s="156"/>
      <c r="KTQ77" s="156"/>
      <c r="KTR77" s="156"/>
      <c r="KTS77" s="156"/>
      <c r="KTT77" s="156"/>
      <c r="KTU77" s="156"/>
      <c r="KTV77" s="156"/>
      <c r="KTW77" s="156"/>
      <c r="KTX77" s="156"/>
      <c r="KTY77" s="156"/>
      <c r="KTZ77" s="156"/>
      <c r="KUA77" s="156"/>
      <c r="KUB77" s="156"/>
      <c r="KUC77" s="156"/>
      <c r="KUD77" s="156"/>
      <c r="KUE77" s="156"/>
      <c r="KUF77" s="156"/>
      <c r="KUG77" s="156"/>
      <c r="KUH77" s="156"/>
      <c r="KUI77" s="156"/>
      <c r="KUJ77" s="156"/>
      <c r="KUK77" s="156"/>
      <c r="KUL77" s="156"/>
      <c r="KUM77" s="156"/>
      <c r="KUN77" s="156"/>
      <c r="KUO77" s="156"/>
      <c r="KUP77" s="156"/>
      <c r="KUQ77" s="156"/>
      <c r="KUR77" s="156"/>
      <c r="KUS77" s="156"/>
      <c r="KUT77" s="156"/>
      <c r="KUU77" s="156"/>
      <c r="KUV77" s="156"/>
      <c r="KUW77" s="156"/>
      <c r="KUX77" s="156"/>
      <c r="KUY77" s="156"/>
      <c r="KUZ77" s="156"/>
      <c r="KVA77" s="156"/>
      <c r="KVB77" s="156"/>
      <c r="KVC77" s="156"/>
      <c r="KVD77" s="156"/>
      <c r="KVE77" s="156"/>
      <c r="KVF77" s="156"/>
      <c r="KVG77" s="156"/>
      <c r="KVH77" s="156"/>
      <c r="KVI77" s="156"/>
      <c r="KVJ77" s="156"/>
      <c r="KVK77" s="156"/>
      <c r="KVL77" s="156"/>
      <c r="KVM77" s="156"/>
      <c r="KVN77" s="156"/>
      <c r="KVO77" s="156"/>
      <c r="KVP77" s="156"/>
      <c r="KVQ77" s="156"/>
      <c r="KVR77" s="156"/>
      <c r="KVS77" s="156"/>
      <c r="KVT77" s="156"/>
      <c r="KVU77" s="156"/>
      <c r="KVV77" s="156"/>
      <c r="KVW77" s="156"/>
      <c r="KVX77" s="156"/>
      <c r="KVY77" s="156"/>
      <c r="KVZ77" s="156"/>
      <c r="KWA77" s="156"/>
      <c r="KWB77" s="156"/>
      <c r="KWC77" s="156"/>
      <c r="KWD77" s="156"/>
      <c r="KWE77" s="156"/>
      <c r="KWF77" s="156"/>
      <c r="KWG77" s="156"/>
      <c r="KWH77" s="156"/>
      <c r="KWI77" s="156"/>
      <c r="KWJ77" s="156"/>
      <c r="KWK77" s="156"/>
      <c r="KWL77" s="156"/>
      <c r="KWM77" s="156"/>
      <c r="KWN77" s="156"/>
      <c r="KWO77" s="156"/>
      <c r="KWP77" s="156"/>
      <c r="KWQ77" s="156"/>
      <c r="KWR77" s="156"/>
      <c r="KWS77" s="156"/>
      <c r="KWT77" s="156"/>
      <c r="KWU77" s="156"/>
      <c r="KWV77" s="156"/>
      <c r="KWW77" s="156"/>
      <c r="KWX77" s="156"/>
      <c r="KWY77" s="156"/>
      <c r="KWZ77" s="156"/>
      <c r="KXA77" s="156"/>
      <c r="KXB77" s="156"/>
      <c r="KXC77" s="156"/>
      <c r="KXD77" s="156"/>
      <c r="KXE77" s="156"/>
      <c r="KXF77" s="156"/>
      <c r="KXG77" s="156"/>
      <c r="KXH77" s="156"/>
      <c r="KXI77" s="156"/>
      <c r="KXJ77" s="156"/>
      <c r="KXK77" s="156"/>
      <c r="KXL77" s="156"/>
      <c r="KXM77" s="156"/>
      <c r="KXN77" s="156"/>
      <c r="KXO77" s="156"/>
      <c r="KXP77" s="156"/>
      <c r="KXQ77" s="156"/>
      <c r="KXR77" s="156"/>
      <c r="KXS77" s="156"/>
      <c r="KXT77" s="156"/>
      <c r="KXU77" s="156"/>
      <c r="KXV77" s="156"/>
      <c r="KXW77" s="156"/>
      <c r="KXX77" s="156"/>
      <c r="KXY77" s="156"/>
      <c r="KXZ77" s="156"/>
      <c r="KYA77" s="156"/>
      <c r="KYB77" s="156"/>
      <c r="KYC77" s="156"/>
      <c r="KYD77" s="156"/>
      <c r="KYE77" s="156"/>
      <c r="KYF77" s="156"/>
      <c r="KYG77" s="156"/>
      <c r="KYH77" s="156"/>
      <c r="KYI77" s="156"/>
      <c r="KYJ77" s="156"/>
      <c r="KYK77" s="156"/>
      <c r="KYL77" s="156"/>
      <c r="KYM77" s="156"/>
      <c r="KYN77" s="156"/>
      <c r="KYO77" s="156"/>
      <c r="KYP77" s="156"/>
      <c r="KYQ77" s="156"/>
      <c r="KYR77" s="156"/>
      <c r="KYS77" s="156"/>
      <c r="KYT77" s="156"/>
      <c r="KYU77" s="156"/>
      <c r="KYV77" s="156"/>
      <c r="KYW77" s="156"/>
      <c r="KYX77" s="156"/>
      <c r="KYY77" s="156"/>
      <c r="KYZ77" s="156"/>
      <c r="KZA77" s="156"/>
      <c r="KZB77" s="156"/>
      <c r="KZC77" s="156"/>
      <c r="KZD77" s="156"/>
      <c r="KZE77" s="156"/>
      <c r="KZF77" s="156"/>
      <c r="KZG77" s="156"/>
      <c r="KZH77" s="156"/>
      <c r="KZI77" s="156"/>
      <c r="KZJ77" s="156"/>
      <c r="KZK77" s="156"/>
      <c r="KZL77" s="156"/>
      <c r="KZM77" s="156"/>
      <c r="KZN77" s="156"/>
      <c r="KZO77" s="156"/>
      <c r="KZP77" s="156"/>
      <c r="KZQ77" s="156"/>
      <c r="KZR77" s="156"/>
      <c r="KZS77" s="156"/>
      <c r="KZT77" s="156"/>
      <c r="KZU77" s="156"/>
      <c r="KZV77" s="156"/>
      <c r="KZW77" s="156"/>
      <c r="KZX77" s="156"/>
      <c r="KZY77" s="156"/>
      <c r="KZZ77" s="156"/>
      <c r="LAA77" s="156"/>
      <c r="LAB77" s="156"/>
      <c r="LAC77" s="156"/>
      <c r="LAD77" s="156"/>
      <c r="LAE77" s="156"/>
      <c r="LAF77" s="156"/>
      <c r="LAG77" s="156"/>
      <c r="LAH77" s="156"/>
      <c r="LAI77" s="156"/>
      <c r="LAJ77" s="156"/>
      <c r="LAK77" s="156"/>
      <c r="LAL77" s="156"/>
      <c r="LAM77" s="156"/>
      <c r="LAN77" s="156"/>
      <c r="LAO77" s="156"/>
      <c r="LAP77" s="156"/>
      <c r="LAQ77" s="156"/>
      <c r="LAR77" s="156"/>
      <c r="LAS77" s="156"/>
      <c r="LAT77" s="156"/>
      <c r="LAU77" s="156"/>
      <c r="LAV77" s="156"/>
      <c r="LAW77" s="156"/>
      <c r="LAX77" s="156"/>
      <c r="LAY77" s="156"/>
      <c r="LAZ77" s="156"/>
      <c r="LBA77" s="156"/>
      <c r="LBB77" s="156"/>
      <c r="LBC77" s="156"/>
      <c r="LBD77" s="156"/>
      <c r="LBE77" s="156"/>
      <c r="LBF77" s="156"/>
      <c r="LBG77" s="156"/>
      <c r="LBH77" s="156"/>
      <c r="LBI77" s="156"/>
      <c r="LBJ77" s="156"/>
      <c r="LBK77" s="156"/>
      <c r="LBL77" s="156"/>
      <c r="LBM77" s="156"/>
      <c r="LBN77" s="156"/>
      <c r="LBO77" s="156"/>
      <c r="LBP77" s="156"/>
      <c r="LBQ77" s="156"/>
      <c r="LBR77" s="156"/>
      <c r="LBS77" s="156"/>
      <c r="LBT77" s="156"/>
      <c r="LBU77" s="156"/>
      <c r="LBV77" s="156"/>
      <c r="LBW77" s="156"/>
      <c r="LBX77" s="156"/>
      <c r="LBY77" s="156"/>
      <c r="LBZ77" s="156"/>
      <c r="LCA77" s="156"/>
      <c r="LCB77" s="156"/>
      <c r="LCC77" s="156"/>
      <c r="LCD77" s="156"/>
      <c r="LCE77" s="156"/>
      <c r="LCF77" s="156"/>
      <c r="LCG77" s="156"/>
      <c r="LCH77" s="156"/>
      <c r="LCI77" s="156"/>
      <c r="LCJ77" s="156"/>
      <c r="LCK77" s="156"/>
      <c r="LCL77" s="156"/>
      <c r="LCM77" s="156"/>
      <c r="LCN77" s="156"/>
      <c r="LCO77" s="156"/>
      <c r="LCP77" s="156"/>
      <c r="LCQ77" s="156"/>
      <c r="LCR77" s="156"/>
      <c r="LCS77" s="156"/>
      <c r="LCT77" s="156"/>
      <c r="LCU77" s="156"/>
      <c r="LCV77" s="156"/>
      <c r="LCW77" s="156"/>
      <c r="LCX77" s="156"/>
      <c r="LCY77" s="156"/>
      <c r="LCZ77" s="156"/>
      <c r="LDA77" s="156"/>
      <c r="LDB77" s="156"/>
      <c r="LDC77" s="156"/>
      <c r="LDD77" s="156"/>
      <c r="LDE77" s="156"/>
      <c r="LDF77" s="156"/>
      <c r="LDG77" s="156"/>
      <c r="LDH77" s="156"/>
      <c r="LDI77" s="156"/>
      <c r="LDJ77" s="156"/>
      <c r="LDK77" s="156"/>
      <c r="LDL77" s="156"/>
      <c r="LDM77" s="156"/>
      <c r="LDN77" s="156"/>
      <c r="LDO77" s="156"/>
      <c r="LDP77" s="156"/>
      <c r="LDQ77" s="156"/>
      <c r="LDR77" s="156"/>
      <c r="LDS77" s="156"/>
      <c r="LDT77" s="156"/>
      <c r="LDU77" s="156"/>
      <c r="LDV77" s="156"/>
      <c r="LDW77" s="156"/>
      <c r="LDX77" s="156"/>
      <c r="LDY77" s="156"/>
      <c r="LDZ77" s="156"/>
      <c r="LEA77" s="156"/>
      <c r="LEB77" s="156"/>
      <c r="LEC77" s="156"/>
      <c r="LED77" s="156"/>
      <c r="LEE77" s="156"/>
      <c r="LEF77" s="156"/>
      <c r="LEG77" s="156"/>
      <c r="LEH77" s="156"/>
      <c r="LEI77" s="156"/>
      <c r="LEJ77" s="156"/>
      <c r="LEK77" s="156"/>
      <c r="LEL77" s="156"/>
      <c r="LEM77" s="156"/>
      <c r="LEN77" s="156"/>
      <c r="LEO77" s="156"/>
      <c r="LEP77" s="156"/>
      <c r="LEQ77" s="156"/>
      <c r="LER77" s="156"/>
      <c r="LES77" s="156"/>
      <c r="LET77" s="156"/>
      <c r="LEU77" s="156"/>
      <c r="LEV77" s="156"/>
      <c r="LEW77" s="156"/>
      <c r="LEX77" s="156"/>
      <c r="LEY77" s="156"/>
      <c r="LEZ77" s="156"/>
      <c r="LFA77" s="156"/>
      <c r="LFB77" s="156"/>
      <c r="LFC77" s="156"/>
      <c r="LFD77" s="156"/>
      <c r="LFE77" s="156"/>
      <c r="LFF77" s="156"/>
      <c r="LFG77" s="156"/>
      <c r="LFH77" s="156"/>
      <c r="LFI77" s="156"/>
      <c r="LFJ77" s="156"/>
      <c r="LFK77" s="156"/>
      <c r="LFL77" s="156"/>
      <c r="LFM77" s="156"/>
      <c r="LFN77" s="156"/>
      <c r="LFO77" s="156"/>
      <c r="LFP77" s="156"/>
      <c r="LFQ77" s="156"/>
      <c r="LFR77" s="156"/>
      <c r="LFS77" s="156"/>
      <c r="LFT77" s="156"/>
      <c r="LFU77" s="156"/>
      <c r="LFV77" s="156"/>
      <c r="LFW77" s="156"/>
      <c r="LFX77" s="156"/>
      <c r="LFY77" s="156"/>
      <c r="LFZ77" s="156"/>
      <c r="LGA77" s="156"/>
      <c r="LGB77" s="156"/>
      <c r="LGC77" s="156"/>
      <c r="LGD77" s="156"/>
      <c r="LGE77" s="156"/>
      <c r="LGF77" s="156"/>
      <c r="LGG77" s="156"/>
      <c r="LGH77" s="156"/>
      <c r="LGI77" s="156"/>
      <c r="LGJ77" s="156"/>
      <c r="LGK77" s="156"/>
      <c r="LGL77" s="156"/>
      <c r="LGM77" s="156"/>
      <c r="LGN77" s="156"/>
      <c r="LGO77" s="156"/>
      <c r="LGP77" s="156"/>
      <c r="LGQ77" s="156"/>
      <c r="LGR77" s="156"/>
      <c r="LGS77" s="156"/>
      <c r="LGT77" s="156"/>
      <c r="LGU77" s="156"/>
      <c r="LGV77" s="156"/>
      <c r="LGW77" s="156"/>
      <c r="LGX77" s="156"/>
      <c r="LGY77" s="156"/>
      <c r="LGZ77" s="156"/>
      <c r="LHA77" s="156"/>
      <c r="LHB77" s="156"/>
      <c r="LHC77" s="156"/>
      <c r="LHD77" s="156"/>
      <c r="LHE77" s="156"/>
      <c r="LHF77" s="156"/>
      <c r="LHG77" s="156"/>
      <c r="LHH77" s="156"/>
      <c r="LHI77" s="156"/>
      <c r="LHJ77" s="156"/>
      <c r="LHK77" s="156"/>
      <c r="LHL77" s="156"/>
      <c r="LHM77" s="156"/>
      <c r="LHN77" s="156"/>
      <c r="LHO77" s="156"/>
      <c r="LHP77" s="156"/>
      <c r="LHQ77" s="156"/>
      <c r="LHR77" s="156"/>
      <c r="LHS77" s="156"/>
      <c r="LHT77" s="156"/>
      <c r="LHU77" s="156"/>
      <c r="LHV77" s="156"/>
      <c r="LHW77" s="156"/>
      <c r="LHX77" s="156"/>
      <c r="LHY77" s="156"/>
      <c r="LHZ77" s="156"/>
      <c r="LIA77" s="156"/>
      <c r="LIB77" s="156"/>
      <c r="LIC77" s="156"/>
      <c r="LID77" s="156"/>
      <c r="LIE77" s="156"/>
      <c r="LIF77" s="156"/>
      <c r="LIG77" s="156"/>
      <c r="LIH77" s="156"/>
      <c r="LII77" s="156"/>
      <c r="LIJ77" s="156"/>
      <c r="LIK77" s="156"/>
      <c r="LIL77" s="156"/>
      <c r="LIM77" s="156"/>
      <c r="LIN77" s="156"/>
      <c r="LIO77" s="156"/>
      <c r="LIP77" s="156"/>
      <c r="LIQ77" s="156"/>
      <c r="LIR77" s="156"/>
      <c r="LIS77" s="156"/>
      <c r="LIT77" s="156"/>
      <c r="LIU77" s="156"/>
      <c r="LIV77" s="156"/>
      <c r="LIW77" s="156"/>
      <c r="LIX77" s="156"/>
      <c r="LIY77" s="156"/>
      <c r="LIZ77" s="156"/>
      <c r="LJA77" s="156"/>
      <c r="LJB77" s="156"/>
      <c r="LJC77" s="156"/>
      <c r="LJD77" s="156"/>
      <c r="LJE77" s="156"/>
      <c r="LJF77" s="156"/>
      <c r="LJG77" s="156"/>
      <c r="LJH77" s="156"/>
      <c r="LJI77" s="156"/>
      <c r="LJJ77" s="156"/>
      <c r="LJK77" s="156"/>
      <c r="LJL77" s="156"/>
      <c r="LJM77" s="156"/>
      <c r="LJN77" s="156"/>
      <c r="LJO77" s="156"/>
      <c r="LJP77" s="156"/>
      <c r="LJQ77" s="156"/>
      <c r="LJR77" s="156"/>
      <c r="LJS77" s="156"/>
      <c r="LJT77" s="156"/>
      <c r="LJU77" s="156"/>
      <c r="LJV77" s="156"/>
      <c r="LJW77" s="156"/>
      <c r="LJX77" s="156"/>
      <c r="LJY77" s="156"/>
      <c r="LJZ77" s="156"/>
      <c r="LKA77" s="156"/>
      <c r="LKB77" s="156"/>
      <c r="LKC77" s="156"/>
      <c r="LKD77" s="156"/>
      <c r="LKE77" s="156"/>
      <c r="LKF77" s="156"/>
      <c r="LKG77" s="156"/>
      <c r="LKH77" s="156"/>
      <c r="LKI77" s="156"/>
      <c r="LKJ77" s="156"/>
      <c r="LKK77" s="156"/>
      <c r="LKL77" s="156"/>
      <c r="LKM77" s="156"/>
      <c r="LKN77" s="156"/>
      <c r="LKO77" s="156"/>
      <c r="LKP77" s="156"/>
      <c r="LKQ77" s="156"/>
      <c r="LKR77" s="156"/>
      <c r="LKS77" s="156"/>
      <c r="LKT77" s="156"/>
      <c r="LKU77" s="156"/>
      <c r="LKV77" s="156"/>
      <c r="LKW77" s="156"/>
      <c r="LKX77" s="156"/>
      <c r="LKY77" s="156"/>
      <c r="LKZ77" s="156"/>
      <c r="LLA77" s="156"/>
      <c r="LLB77" s="156"/>
      <c r="LLC77" s="156"/>
      <c r="LLD77" s="156"/>
      <c r="LLE77" s="156"/>
      <c r="LLF77" s="156"/>
      <c r="LLG77" s="156"/>
      <c r="LLH77" s="156"/>
      <c r="LLI77" s="156"/>
      <c r="LLJ77" s="156"/>
      <c r="LLK77" s="156"/>
      <c r="LLL77" s="156"/>
      <c r="LLM77" s="156"/>
      <c r="LLN77" s="156"/>
      <c r="LLO77" s="156"/>
      <c r="LLP77" s="156"/>
      <c r="LLQ77" s="156"/>
      <c r="LLR77" s="156"/>
      <c r="LLS77" s="156"/>
      <c r="LLT77" s="156"/>
      <c r="LLU77" s="156"/>
      <c r="LLV77" s="156"/>
      <c r="LLW77" s="156"/>
      <c r="LLX77" s="156"/>
      <c r="LLY77" s="156"/>
      <c r="LLZ77" s="156"/>
      <c r="LMA77" s="156"/>
      <c r="LMB77" s="156"/>
      <c r="LMC77" s="156"/>
      <c r="LMD77" s="156"/>
      <c r="LME77" s="156"/>
      <c r="LMF77" s="156"/>
      <c r="LMG77" s="156"/>
      <c r="LMH77" s="156"/>
      <c r="LMI77" s="156"/>
      <c r="LMJ77" s="156"/>
      <c r="LMK77" s="156"/>
      <c r="LML77" s="156"/>
      <c r="LMM77" s="156"/>
      <c r="LMN77" s="156"/>
      <c r="LMO77" s="156"/>
      <c r="LMP77" s="156"/>
      <c r="LMQ77" s="156"/>
      <c r="LMR77" s="156"/>
      <c r="LMS77" s="156"/>
      <c r="LMT77" s="156"/>
      <c r="LMU77" s="156"/>
      <c r="LMV77" s="156"/>
      <c r="LMW77" s="156"/>
      <c r="LMX77" s="156"/>
      <c r="LMY77" s="156"/>
      <c r="LMZ77" s="156"/>
      <c r="LNA77" s="156"/>
      <c r="LNB77" s="156"/>
      <c r="LNC77" s="156"/>
      <c r="LND77" s="156"/>
      <c r="LNE77" s="156"/>
      <c r="LNF77" s="156"/>
      <c r="LNG77" s="156"/>
      <c r="LNH77" s="156"/>
      <c r="LNI77" s="156"/>
      <c r="LNJ77" s="156"/>
      <c r="LNK77" s="156"/>
      <c r="LNL77" s="156"/>
      <c r="LNM77" s="156"/>
      <c r="LNN77" s="156"/>
      <c r="LNO77" s="156"/>
      <c r="LNP77" s="156"/>
      <c r="LNQ77" s="156"/>
      <c r="LNR77" s="156"/>
      <c r="LNS77" s="156"/>
      <c r="LNT77" s="156"/>
      <c r="LNU77" s="156"/>
      <c r="LNV77" s="156"/>
      <c r="LNW77" s="156"/>
      <c r="LNX77" s="156"/>
      <c r="LNY77" s="156"/>
      <c r="LNZ77" s="156"/>
      <c r="LOA77" s="156"/>
      <c r="LOB77" s="156"/>
      <c r="LOC77" s="156"/>
      <c r="LOD77" s="156"/>
      <c r="LOE77" s="156"/>
      <c r="LOF77" s="156"/>
      <c r="LOG77" s="156"/>
      <c r="LOH77" s="156"/>
      <c r="LOI77" s="156"/>
      <c r="LOJ77" s="156"/>
      <c r="LOK77" s="156"/>
      <c r="LOL77" s="156"/>
      <c r="LOM77" s="156"/>
      <c r="LON77" s="156"/>
      <c r="LOO77" s="156"/>
      <c r="LOP77" s="156"/>
      <c r="LOQ77" s="156"/>
      <c r="LOR77" s="156"/>
      <c r="LOS77" s="156"/>
      <c r="LOT77" s="156"/>
      <c r="LOU77" s="156"/>
      <c r="LOV77" s="156"/>
      <c r="LOW77" s="156"/>
      <c r="LOX77" s="156"/>
      <c r="LOY77" s="156"/>
      <c r="LOZ77" s="156"/>
      <c r="LPA77" s="156"/>
      <c r="LPB77" s="156"/>
      <c r="LPC77" s="156"/>
      <c r="LPD77" s="156"/>
      <c r="LPE77" s="156"/>
      <c r="LPF77" s="156"/>
      <c r="LPG77" s="156"/>
      <c r="LPH77" s="156"/>
      <c r="LPI77" s="156"/>
      <c r="LPJ77" s="156"/>
      <c r="LPK77" s="156"/>
      <c r="LPL77" s="156"/>
      <c r="LPM77" s="156"/>
      <c r="LPN77" s="156"/>
      <c r="LPO77" s="156"/>
      <c r="LPP77" s="156"/>
      <c r="LPQ77" s="156"/>
      <c r="LPR77" s="156"/>
      <c r="LPS77" s="156"/>
      <c r="LPT77" s="156"/>
      <c r="LPU77" s="156"/>
      <c r="LPV77" s="156"/>
      <c r="LPW77" s="156"/>
      <c r="LPX77" s="156"/>
      <c r="LPY77" s="156"/>
      <c r="LPZ77" s="156"/>
      <c r="LQA77" s="156"/>
      <c r="LQB77" s="156"/>
      <c r="LQC77" s="156"/>
      <c r="LQD77" s="156"/>
      <c r="LQE77" s="156"/>
      <c r="LQF77" s="156"/>
      <c r="LQG77" s="156"/>
      <c r="LQH77" s="156"/>
      <c r="LQI77" s="156"/>
      <c r="LQJ77" s="156"/>
      <c r="LQK77" s="156"/>
      <c r="LQL77" s="156"/>
      <c r="LQM77" s="156"/>
      <c r="LQN77" s="156"/>
      <c r="LQO77" s="156"/>
      <c r="LQP77" s="156"/>
      <c r="LQQ77" s="156"/>
      <c r="LQR77" s="156"/>
      <c r="LQS77" s="156"/>
      <c r="LQT77" s="156"/>
      <c r="LQU77" s="156"/>
      <c r="LQV77" s="156"/>
      <c r="LQW77" s="156"/>
      <c r="LQX77" s="156"/>
      <c r="LQY77" s="156"/>
      <c r="LQZ77" s="156"/>
      <c r="LRA77" s="156"/>
      <c r="LRB77" s="156"/>
      <c r="LRC77" s="156"/>
      <c r="LRD77" s="156"/>
      <c r="LRE77" s="156"/>
      <c r="LRF77" s="156"/>
      <c r="LRG77" s="156"/>
      <c r="LRH77" s="156"/>
      <c r="LRI77" s="156"/>
      <c r="LRJ77" s="156"/>
      <c r="LRK77" s="156"/>
      <c r="LRL77" s="156"/>
      <c r="LRM77" s="156"/>
      <c r="LRN77" s="156"/>
      <c r="LRO77" s="156"/>
      <c r="LRP77" s="156"/>
      <c r="LRQ77" s="156"/>
      <c r="LRR77" s="156"/>
      <c r="LRS77" s="156"/>
      <c r="LRT77" s="156"/>
      <c r="LRU77" s="156"/>
      <c r="LRV77" s="156"/>
      <c r="LRW77" s="156"/>
      <c r="LRX77" s="156"/>
      <c r="LRY77" s="156"/>
      <c r="LRZ77" s="156"/>
      <c r="LSA77" s="156"/>
      <c r="LSB77" s="156"/>
      <c r="LSC77" s="156"/>
      <c r="LSD77" s="156"/>
      <c r="LSE77" s="156"/>
      <c r="LSF77" s="156"/>
      <c r="LSG77" s="156"/>
      <c r="LSH77" s="156"/>
      <c r="LSI77" s="156"/>
      <c r="LSJ77" s="156"/>
      <c r="LSK77" s="156"/>
      <c r="LSL77" s="156"/>
      <c r="LSM77" s="156"/>
      <c r="LSN77" s="156"/>
      <c r="LSO77" s="156"/>
      <c r="LSP77" s="156"/>
      <c r="LSQ77" s="156"/>
      <c r="LSR77" s="156"/>
      <c r="LSS77" s="156"/>
      <c r="LST77" s="156"/>
      <c r="LSU77" s="156"/>
      <c r="LSV77" s="156"/>
      <c r="LSW77" s="156"/>
      <c r="LSX77" s="156"/>
      <c r="LSY77" s="156"/>
      <c r="LSZ77" s="156"/>
      <c r="LTA77" s="156"/>
      <c r="LTB77" s="156"/>
      <c r="LTC77" s="156"/>
      <c r="LTD77" s="156"/>
      <c r="LTE77" s="156"/>
      <c r="LTF77" s="156"/>
      <c r="LTG77" s="156"/>
      <c r="LTH77" s="156"/>
      <c r="LTI77" s="156"/>
      <c r="LTJ77" s="156"/>
      <c r="LTK77" s="156"/>
      <c r="LTL77" s="156"/>
      <c r="LTM77" s="156"/>
      <c r="LTN77" s="156"/>
      <c r="LTO77" s="156"/>
      <c r="LTP77" s="156"/>
      <c r="LTQ77" s="156"/>
      <c r="LTR77" s="156"/>
      <c r="LTS77" s="156"/>
      <c r="LTT77" s="156"/>
      <c r="LTU77" s="156"/>
      <c r="LTV77" s="156"/>
      <c r="LTW77" s="156"/>
      <c r="LTX77" s="156"/>
      <c r="LTY77" s="156"/>
      <c r="LTZ77" s="156"/>
      <c r="LUA77" s="156"/>
      <c r="LUB77" s="156"/>
      <c r="LUC77" s="156"/>
      <c r="LUD77" s="156"/>
      <c r="LUE77" s="156"/>
      <c r="LUF77" s="156"/>
      <c r="LUG77" s="156"/>
      <c r="LUH77" s="156"/>
      <c r="LUI77" s="156"/>
      <c r="LUJ77" s="156"/>
      <c r="LUK77" s="156"/>
      <c r="LUL77" s="156"/>
      <c r="LUM77" s="156"/>
      <c r="LUN77" s="156"/>
      <c r="LUO77" s="156"/>
      <c r="LUP77" s="156"/>
      <c r="LUQ77" s="156"/>
      <c r="LUR77" s="156"/>
      <c r="LUS77" s="156"/>
      <c r="LUT77" s="156"/>
      <c r="LUU77" s="156"/>
      <c r="LUV77" s="156"/>
      <c r="LUW77" s="156"/>
      <c r="LUX77" s="156"/>
      <c r="LUY77" s="156"/>
      <c r="LUZ77" s="156"/>
      <c r="LVA77" s="156"/>
      <c r="LVB77" s="156"/>
      <c r="LVC77" s="156"/>
      <c r="LVD77" s="156"/>
      <c r="LVE77" s="156"/>
      <c r="LVF77" s="156"/>
      <c r="LVG77" s="156"/>
      <c r="LVH77" s="156"/>
      <c r="LVI77" s="156"/>
      <c r="LVJ77" s="156"/>
      <c r="LVK77" s="156"/>
      <c r="LVL77" s="156"/>
      <c r="LVM77" s="156"/>
      <c r="LVN77" s="156"/>
      <c r="LVO77" s="156"/>
      <c r="LVP77" s="156"/>
      <c r="LVQ77" s="156"/>
      <c r="LVR77" s="156"/>
      <c r="LVS77" s="156"/>
      <c r="LVT77" s="156"/>
      <c r="LVU77" s="156"/>
      <c r="LVV77" s="156"/>
      <c r="LVW77" s="156"/>
      <c r="LVX77" s="156"/>
      <c r="LVY77" s="156"/>
      <c r="LVZ77" s="156"/>
      <c r="LWA77" s="156"/>
      <c r="LWB77" s="156"/>
      <c r="LWC77" s="156"/>
      <c r="LWD77" s="156"/>
      <c r="LWE77" s="156"/>
      <c r="LWF77" s="156"/>
      <c r="LWG77" s="156"/>
      <c r="LWH77" s="156"/>
      <c r="LWI77" s="156"/>
      <c r="LWJ77" s="156"/>
      <c r="LWK77" s="156"/>
      <c r="LWL77" s="156"/>
      <c r="LWM77" s="156"/>
      <c r="LWN77" s="156"/>
      <c r="LWO77" s="156"/>
      <c r="LWP77" s="156"/>
      <c r="LWQ77" s="156"/>
      <c r="LWR77" s="156"/>
      <c r="LWS77" s="156"/>
      <c r="LWT77" s="156"/>
      <c r="LWU77" s="156"/>
      <c r="LWV77" s="156"/>
      <c r="LWW77" s="156"/>
      <c r="LWX77" s="156"/>
      <c r="LWY77" s="156"/>
      <c r="LWZ77" s="156"/>
      <c r="LXA77" s="156"/>
      <c r="LXB77" s="156"/>
      <c r="LXC77" s="156"/>
      <c r="LXD77" s="156"/>
      <c r="LXE77" s="156"/>
      <c r="LXF77" s="156"/>
      <c r="LXG77" s="156"/>
      <c r="LXH77" s="156"/>
      <c r="LXI77" s="156"/>
      <c r="LXJ77" s="156"/>
      <c r="LXK77" s="156"/>
      <c r="LXL77" s="156"/>
      <c r="LXM77" s="156"/>
      <c r="LXN77" s="156"/>
      <c r="LXO77" s="156"/>
      <c r="LXP77" s="156"/>
      <c r="LXQ77" s="156"/>
      <c r="LXR77" s="156"/>
      <c r="LXS77" s="156"/>
      <c r="LXT77" s="156"/>
      <c r="LXU77" s="156"/>
      <c r="LXV77" s="156"/>
      <c r="LXW77" s="156"/>
      <c r="LXX77" s="156"/>
      <c r="LXY77" s="156"/>
      <c r="LXZ77" s="156"/>
      <c r="LYA77" s="156"/>
      <c r="LYB77" s="156"/>
      <c r="LYC77" s="156"/>
      <c r="LYD77" s="156"/>
      <c r="LYE77" s="156"/>
      <c r="LYF77" s="156"/>
      <c r="LYG77" s="156"/>
      <c r="LYH77" s="156"/>
      <c r="LYI77" s="156"/>
      <c r="LYJ77" s="156"/>
      <c r="LYK77" s="156"/>
      <c r="LYL77" s="156"/>
      <c r="LYM77" s="156"/>
      <c r="LYN77" s="156"/>
      <c r="LYO77" s="156"/>
      <c r="LYP77" s="156"/>
      <c r="LYQ77" s="156"/>
      <c r="LYR77" s="156"/>
      <c r="LYS77" s="156"/>
      <c r="LYT77" s="156"/>
      <c r="LYU77" s="156"/>
      <c r="LYV77" s="156"/>
      <c r="LYW77" s="156"/>
      <c r="LYX77" s="156"/>
      <c r="LYY77" s="156"/>
      <c r="LYZ77" s="156"/>
      <c r="LZA77" s="156"/>
      <c r="LZB77" s="156"/>
      <c r="LZC77" s="156"/>
      <c r="LZD77" s="156"/>
      <c r="LZE77" s="156"/>
      <c r="LZF77" s="156"/>
      <c r="LZG77" s="156"/>
      <c r="LZH77" s="156"/>
      <c r="LZI77" s="156"/>
      <c r="LZJ77" s="156"/>
      <c r="LZK77" s="156"/>
      <c r="LZL77" s="156"/>
      <c r="LZM77" s="156"/>
      <c r="LZN77" s="156"/>
      <c r="LZO77" s="156"/>
      <c r="LZP77" s="156"/>
      <c r="LZQ77" s="156"/>
      <c r="LZR77" s="156"/>
      <c r="LZS77" s="156"/>
      <c r="LZT77" s="156"/>
      <c r="LZU77" s="156"/>
      <c r="LZV77" s="156"/>
      <c r="LZW77" s="156"/>
      <c r="LZX77" s="156"/>
      <c r="LZY77" s="156"/>
      <c r="LZZ77" s="156"/>
      <c r="MAA77" s="156"/>
      <c r="MAB77" s="156"/>
      <c r="MAC77" s="156"/>
      <c r="MAD77" s="156"/>
      <c r="MAE77" s="156"/>
      <c r="MAF77" s="156"/>
      <c r="MAG77" s="156"/>
      <c r="MAH77" s="156"/>
      <c r="MAI77" s="156"/>
      <c r="MAJ77" s="156"/>
      <c r="MAK77" s="156"/>
      <c r="MAL77" s="156"/>
      <c r="MAM77" s="156"/>
      <c r="MAN77" s="156"/>
      <c r="MAO77" s="156"/>
      <c r="MAP77" s="156"/>
      <c r="MAQ77" s="156"/>
      <c r="MAR77" s="156"/>
      <c r="MAS77" s="156"/>
      <c r="MAT77" s="156"/>
      <c r="MAU77" s="156"/>
      <c r="MAV77" s="156"/>
      <c r="MAW77" s="156"/>
      <c r="MAX77" s="156"/>
      <c r="MAY77" s="156"/>
      <c r="MAZ77" s="156"/>
      <c r="MBA77" s="156"/>
      <c r="MBB77" s="156"/>
      <c r="MBC77" s="156"/>
      <c r="MBD77" s="156"/>
      <c r="MBE77" s="156"/>
      <c r="MBF77" s="156"/>
      <c r="MBG77" s="156"/>
      <c r="MBH77" s="156"/>
      <c r="MBI77" s="156"/>
      <c r="MBJ77" s="156"/>
      <c r="MBK77" s="156"/>
      <c r="MBL77" s="156"/>
      <c r="MBM77" s="156"/>
      <c r="MBN77" s="156"/>
      <c r="MBO77" s="156"/>
      <c r="MBP77" s="156"/>
      <c r="MBQ77" s="156"/>
      <c r="MBR77" s="156"/>
      <c r="MBS77" s="156"/>
      <c r="MBT77" s="156"/>
      <c r="MBU77" s="156"/>
      <c r="MBV77" s="156"/>
      <c r="MBW77" s="156"/>
      <c r="MBX77" s="156"/>
      <c r="MBY77" s="156"/>
      <c r="MBZ77" s="156"/>
      <c r="MCA77" s="156"/>
      <c r="MCB77" s="156"/>
      <c r="MCC77" s="156"/>
      <c r="MCD77" s="156"/>
      <c r="MCE77" s="156"/>
      <c r="MCF77" s="156"/>
      <c r="MCG77" s="156"/>
      <c r="MCH77" s="156"/>
      <c r="MCI77" s="156"/>
      <c r="MCJ77" s="156"/>
      <c r="MCK77" s="156"/>
      <c r="MCL77" s="156"/>
      <c r="MCM77" s="156"/>
      <c r="MCN77" s="156"/>
      <c r="MCO77" s="156"/>
      <c r="MCP77" s="156"/>
      <c r="MCQ77" s="156"/>
      <c r="MCR77" s="156"/>
      <c r="MCS77" s="156"/>
      <c r="MCT77" s="156"/>
      <c r="MCU77" s="156"/>
      <c r="MCV77" s="156"/>
      <c r="MCW77" s="156"/>
      <c r="MCX77" s="156"/>
      <c r="MCY77" s="156"/>
      <c r="MCZ77" s="156"/>
      <c r="MDA77" s="156"/>
      <c r="MDB77" s="156"/>
      <c r="MDC77" s="156"/>
      <c r="MDD77" s="156"/>
      <c r="MDE77" s="156"/>
      <c r="MDF77" s="156"/>
      <c r="MDG77" s="156"/>
      <c r="MDH77" s="156"/>
      <c r="MDI77" s="156"/>
      <c r="MDJ77" s="156"/>
      <c r="MDK77" s="156"/>
      <c r="MDL77" s="156"/>
      <c r="MDM77" s="156"/>
      <c r="MDN77" s="156"/>
      <c r="MDO77" s="156"/>
      <c r="MDP77" s="156"/>
      <c r="MDQ77" s="156"/>
      <c r="MDR77" s="156"/>
      <c r="MDS77" s="156"/>
      <c r="MDT77" s="156"/>
      <c r="MDU77" s="156"/>
      <c r="MDV77" s="156"/>
      <c r="MDW77" s="156"/>
      <c r="MDX77" s="156"/>
      <c r="MDY77" s="156"/>
      <c r="MDZ77" s="156"/>
      <c r="MEA77" s="156"/>
      <c r="MEB77" s="156"/>
      <c r="MEC77" s="156"/>
      <c r="MED77" s="156"/>
      <c r="MEE77" s="156"/>
      <c r="MEF77" s="156"/>
      <c r="MEG77" s="156"/>
      <c r="MEH77" s="156"/>
      <c r="MEI77" s="156"/>
      <c r="MEJ77" s="156"/>
      <c r="MEK77" s="156"/>
      <c r="MEL77" s="156"/>
      <c r="MEM77" s="156"/>
      <c r="MEN77" s="156"/>
      <c r="MEO77" s="156"/>
      <c r="MEP77" s="156"/>
      <c r="MEQ77" s="156"/>
      <c r="MER77" s="156"/>
      <c r="MES77" s="156"/>
      <c r="MET77" s="156"/>
      <c r="MEU77" s="156"/>
      <c r="MEV77" s="156"/>
      <c r="MEW77" s="156"/>
      <c r="MEX77" s="156"/>
      <c r="MEY77" s="156"/>
      <c r="MEZ77" s="156"/>
      <c r="MFA77" s="156"/>
      <c r="MFB77" s="156"/>
      <c r="MFC77" s="156"/>
      <c r="MFD77" s="156"/>
      <c r="MFE77" s="156"/>
      <c r="MFF77" s="156"/>
      <c r="MFG77" s="156"/>
      <c r="MFH77" s="156"/>
      <c r="MFI77" s="156"/>
      <c r="MFJ77" s="156"/>
      <c r="MFK77" s="156"/>
      <c r="MFL77" s="156"/>
      <c r="MFM77" s="156"/>
      <c r="MFN77" s="156"/>
      <c r="MFO77" s="156"/>
      <c r="MFP77" s="156"/>
      <c r="MFQ77" s="156"/>
      <c r="MFR77" s="156"/>
      <c r="MFS77" s="156"/>
      <c r="MFT77" s="156"/>
      <c r="MFU77" s="156"/>
      <c r="MFV77" s="156"/>
      <c r="MFW77" s="156"/>
      <c r="MFX77" s="156"/>
      <c r="MFY77" s="156"/>
      <c r="MFZ77" s="156"/>
      <c r="MGA77" s="156"/>
      <c r="MGB77" s="156"/>
      <c r="MGC77" s="156"/>
      <c r="MGD77" s="156"/>
      <c r="MGE77" s="156"/>
      <c r="MGF77" s="156"/>
      <c r="MGG77" s="156"/>
      <c r="MGH77" s="156"/>
      <c r="MGI77" s="156"/>
      <c r="MGJ77" s="156"/>
      <c r="MGK77" s="156"/>
      <c r="MGL77" s="156"/>
      <c r="MGM77" s="156"/>
      <c r="MGN77" s="156"/>
      <c r="MGO77" s="156"/>
      <c r="MGP77" s="156"/>
      <c r="MGQ77" s="156"/>
      <c r="MGR77" s="156"/>
      <c r="MGS77" s="156"/>
      <c r="MGT77" s="156"/>
      <c r="MGU77" s="156"/>
      <c r="MGV77" s="156"/>
      <c r="MGW77" s="156"/>
      <c r="MGX77" s="156"/>
      <c r="MGY77" s="156"/>
      <c r="MGZ77" s="156"/>
      <c r="MHA77" s="156"/>
      <c r="MHB77" s="156"/>
      <c r="MHC77" s="156"/>
      <c r="MHD77" s="156"/>
      <c r="MHE77" s="156"/>
      <c r="MHF77" s="156"/>
      <c r="MHG77" s="156"/>
      <c r="MHH77" s="156"/>
      <c r="MHI77" s="156"/>
      <c r="MHJ77" s="156"/>
      <c r="MHK77" s="156"/>
      <c r="MHL77" s="156"/>
      <c r="MHM77" s="156"/>
      <c r="MHN77" s="156"/>
      <c r="MHO77" s="156"/>
      <c r="MHP77" s="156"/>
      <c r="MHQ77" s="156"/>
      <c r="MHR77" s="156"/>
      <c r="MHS77" s="156"/>
      <c r="MHT77" s="156"/>
      <c r="MHU77" s="156"/>
      <c r="MHV77" s="156"/>
      <c r="MHW77" s="156"/>
      <c r="MHX77" s="156"/>
      <c r="MHY77" s="156"/>
      <c r="MHZ77" s="156"/>
      <c r="MIA77" s="156"/>
      <c r="MIB77" s="156"/>
      <c r="MIC77" s="156"/>
      <c r="MID77" s="156"/>
      <c r="MIE77" s="156"/>
      <c r="MIF77" s="156"/>
      <c r="MIG77" s="156"/>
      <c r="MIH77" s="156"/>
      <c r="MII77" s="156"/>
      <c r="MIJ77" s="156"/>
      <c r="MIK77" s="156"/>
      <c r="MIL77" s="156"/>
      <c r="MIM77" s="156"/>
      <c r="MIN77" s="156"/>
      <c r="MIO77" s="156"/>
      <c r="MIP77" s="156"/>
      <c r="MIQ77" s="156"/>
      <c r="MIR77" s="156"/>
      <c r="MIS77" s="156"/>
      <c r="MIT77" s="156"/>
      <c r="MIU77" s="156"/>
      <c r="MIV77" s="156"/>
      <c r="MIW77" s="156"/>
      <c r="MIX77" s="156"/>
      <c r="MIY77" s="156"/>
      <c r="MIZ77" s="156"/>
      <c r="MJA77" s="156"/>
      <c r="MJB77" s="156"/>
      <c r="MJC77" s="156"/>
      <c r="MJD77" s="156"/>
      <c r="MJE77" s="156"/>
      <c r="MJF77" s="156"/>
      <c r="MJG77" s="156"/>
      <c r="MJH77" s="156"/>
      <c r="MJI77" s="156"/>
      <c r="MJJ77" s="156"/>
      <c r="MJK77" s="156"/>
      <c r="MJL77" s="156"/>
      <c r="MJM77" s="156"/>
      <c r="MJN77" s="156"/>
      <c r="MJO77" s="156"/>
      <c r="MJP77" s="156"/>
      <c r="MJQ77" s="156"/>
      <c r="MJR77" s="156"/>
      <c r="MJS77" s="156"/>
      <c r="MJT77" s="156"/>
      <c r="MJU77" s="156"/>
      <c r="MJV77" s="156"/>
      <c r="MJW77" s="156"/>
      <c r="MJX77" s="156"/>
      <c r="MJY77" s="156"/>
      <c r="MJZ77" s="156"/>
      <c r="MKA77" s="156"/>
      <c r="MKB77" s="156"/>
      <c r="MKC77" s="156"/>
      <c r="MKD77" s="156"/>
      <c r="MKE77" s="156"/>
      <c r="MKF77" s="156"/>
      <c r="MKG77" s="156"/>
      <c r="MKH77" s="156"/>
      <c r="MKI77" s="156"/>
      <c r="MKJ77" s="156"/>
      <c r="MKK77" s="156"/>
      <c r="MKL77" s="156"/>
      <c r="MKM77" s="156"/>
      <c r="MKN77" s="156"/>
      <c r="MKO77" s="156"/>
      <c r="MKP77" s="156"/>
      <c r="MKQ77" s="156"/>
      <c r="MKR77" s="156"/>
      <c r="MKS77" s="156"/>
      <c r="MKT77" s="156"/>
      <c r="MKU77" s="156"/>
      <c r="MKV77" s="156"/>
      <c r="MKW77" s="156"/>
      <c r="MKX77" s="156"/>
      <c r="MKY77" s="156"/>
      <c r="MKZ77" s="156"/>
      <c r="MLA77" s="156"/>
      <c r="MLB77" s="156"/>
      <c r="MLC77" s="156"/>
      <c r="MLD77" s="156"/>
      <c r="MLE77" s="156"/>
      <c r="MLF77" s="156"/>
      <c r="MLG77" s="156"/>
      <c r="MLH77" s="156"/>
      <c r="MLI77" s="156"/>
      <c r="MLJ77" s="156"/>
      <c r="MLK77" s="156"/>
      <c r="MLL77" s="156"/>
      <c r="MLM77" s="156"/>
      <c r="MLN77" s="156"/>
      <c r="MLO77" s="156"/>
      <c r="MLP77" s="156"/>
      <c r="MLQ77" s="156"/>
      <c r="MLR77" s="156"/>
      <c r="MLS77" s="156"/>
      <c r="MLT77" s="156"/>
      <c r="MLU77" s="156"/>
      <c r="MLV77" s="156"/>
      <c r="MLW77" s="156"/>
      <c r="MLX77" s="156"/>
      <c r="MLY77" s="156"/>
      <c r="MLZ77" s="156"/>
      <c r="MMA77" s="156"/>
      <c r="MMB77" s="156"/>
      <c r="MMC77" s="156"/>
      <c r="MMD77" s="156"/>
      <c r="MME77" s="156"/>
      <c r="MMF77" s="156"/>
      <c r="MMG77" s="156"/>
      <c r="MMH77" s="156"/>
      <c r="MMI77" s="156"/>
      <c r="MMJ77" s="156"/>
      <c r="MMK77" s="156"/>
      <c r="MML77" s="156"/>
      <c r="MMM77" s="156"/>
      <c r="MMN77" s="156"/>
      <c r="MMO77" s="156"/>
      <c r="MMP77" s="156"/>
      <c r="MMQ77" s="156"/>
      <c r="MMR77" s="156"/>
      <c r="MMS77" s="156"/>
      <c r="MMT77" s="156"/>
      <c r="MMU77" s="156"/>
      <c r="MMV77" s="156"/>
      <c r="MMW77" s="156"/>
      <c r="MMX77" s="156"/>
      <c r="MMY77" s="156"/>
      <c r="MMZ77" s="156"/>
      <c r="MNA77" s="156"/>
      <c r="MNB77" s="156"/>
      <c r="MNC77" s="156"/>
      <c r="MND77" s="156"/>
      <c r="MNE77" s="156"/>
      <c r="MNF77" s="156"/>
      <c r="MNG77" s="156"/>
      <c r="MNH77" s="156"/>
      <c r="MNI77" s="156"/>
      <c r="MNJ77" s="156"/>
      <c r="MNK77" s="156"/>
      <c r="MNL77" s="156"/>
      <c r="MNM77" s="156"/>
      <c r="MNN77" s="156"/>
      <c r="MNO77" s="156"/>
      <c r="MNP77" s="156"/>
      <c r="MNQ77" s="156"/>
      <c r="MNR77" s="156"/>
      <c r="MNS77" s="156"/>
      <c r="MNT77" s="156"/>
      <c r="MNU77" s="156"/>
      <c r="MNV77" s="156"/>
      <c r="MNW77" s="156"/>
      <c r="MNX77" s="156"/>
      <c r="MNY77" s="156"/>
      <c r="MNZ77" s="156"/>
      <c r="MOA77" s="156"/>
      <c r="MOB77" s="156"/>
      <c r="MOC77" s="156"/>
      <c r="MOD77" s="156"/>
      <c r="MOE77" s="156"/>
      <c r="MOF77" s="156"/>
      <c r="MOG77" s="156"/>
      <c r="MOH77" s="156"/>
      <c r="MOI77" s="156"/>
      <c r="MOJ77" s="156"/>
      <c r="MOK77" s="156"/>
      <c r="MOL77" s="156"/>
      <c r="MOM77" s="156"/>
      <c r="MON77" s="156"/>
      <c r="MOO77" s="156"/>
      <c r="MOP77" s="156"/>
      <c r="MOQ77" s="156"/>
      <c r="MOR77" s="156"/>
      <c r="MOS77" s="156"/>
      <c r="MOT77" s="156"/>
      <c r="MOU77" s="156"/>
      <c r="MOV77" s="156"/>
      <c r="MOW77" s="156"/>
      <c r="MOX77" s="156"/>
      <c r="MOY77" s="156"/>
      <c r="MOZ77" s="156"/>
      <c r="MPA77" s="156"/>
      <c r="MPB77" s="156"/>
      <c r="MPC77" s="156"/>
      <c r="MPD77" s="156"/>
      <c r="MPE77" s="156"/>
      <c r="MPF77" s="156"/>
      <c r="MPG77" s="156"/>
      <c r="MPH77" s="156"/>
      <c r="MPI77" s="156"/>
      <c r="MPJ77" s="156"/>
      <c r="MPK77" s="156"/>
      <c r="MPL77" s="156"/>
      <c r="MPM77" s="156"/>
      <c r="MPN77" s="156"/>
      <c r="MPO77" s="156"/>
      <c r="MPP77" s="156"/>
      <c r="MPQ77" s="156"/>
      <c r="MPR77" s="156"/>
      <c r="MPS77" s="156"/>
      <c r="MPT77" s="156"/>
      <c r="MPU77" s="156"/>
      <c r="MPV77" s="156"/>
      <c r="MPW77" s="156"/>
      <c r="MPX77" s="156"/>
      <c r="MPY77" s="156"/>
      <c r="MPZ77" s="156"/>
      <c r="MQA77" s="156"/>
      <c r="MQB77" s="156"/>
      <c r="MQC77" s="156"/>
      <c r="MQD77" s="156"/>
      <c r="MQE77" s="156"/>
      <c r="MQF77" s="156"/>
      <c r="MQG77" s="156"/>
      <c r="MQH77" s="156"/>
      <c r="MQI77" s="156"/>
      <c r="MQJ77" s="156"/>
      <c r="MQK77" s="156"/>
      <c r="MQL77" s="156"/>
      <c r="MQM77" s="156"/>
      <c r="MQN77" s="156"/>
      <c r="MQO77" s="156"/>
      <c r="MQP77" s="156"/>
      <c r="MQQ77" s="156"/>
      <c r="MQR77" s="156"/>
      <c r="MQS77" s="156"/>
      <c r="MQT77" s="156"/>
      <c r="MQU77" s="156"/>
      <c r="MQV77" s="156"/>
      <c r="MQW77" s="156"/>
      <c r="MQX77" s="156"/>
      <c r="MQY77" s="156"/>
      <c r="MQZ77" s="156"/>
      <c r="MRA77" s="156"/>
      <c r="MRB77" s="156"/>
      <c r="MRC77" s="156"/>
      <c r="MRD77" s="156"/>
      <c r="MRE77" s="156"/>
      <c r="MRF77" s="156"/>
      <c r="MRG77" s="156"/>
      <c r="MRH77" s="156"/>
      <c r="MRI77" s="156"/>
      <c r="MRJ77" s="156"/>
      <c r="MRK77" s="156"/>
      <c r="MRL77" s="156"/>
      <c r="MRM77" s="156"/>
      <c r="MRN77" s="156"/>
      <c r="MRO77" s="156"/>
      <c r="MRP77" s="156"/>
      <c r="MRQ77" s="156"/>
      <c r="MRR77" s="156"/>
      <c r="MRS77" s="156"/>
      <c r="MRT77" s="156"/>
      <c r="MRU77" s="156"/>
      <c r="MRV77" s="156"/>
      <c r="MRW77" s="156"/>
      <c r="MRX77" s="156"/>
      <c r="MRY77" s="156"/>
      <c r="MRZ77" s="156"/>
      <c r="MSA77" s="156"/>
      <c r="MSB77" s="156"/>
      <c r="MSC77" s="156"/>
      <c r="MSD77" s="156"/>
      <c r="MSE77" s="156"/>
      <c r="MSF77" s="156"/>
      <c r="MSG77" s="156"/>
      <c r="MSH77" s="156"/>
      <c r="MSI77" s="156"/>
      <c r="MSJ77" s="156"/>
      <c r="MSK77" s="156"/>
      <c r="MSL77" s="156"/>
      <c r="MSM77" s="156"/>
      <c r="MSN77" s="156"/>
      <c r="MSO77" s="156"/>
      <c r="MSP77" s="156"/>
      <c r="MSQ77" s="156"/>
      <c r="MSR77" s="156"/>
      <c r="MSS77" s="156"/>
      <c r="MST77" s="156"/>
      <c r="MSU77" s="156"/>
      <c r="MSV77" s="156"/>
      <c r="MSW77" s="156"/>
      <c r="MSX77" s="156"/>
      <c r="MSY77" s="156"/>
      <c r="MSZ77" s="156"/>
      <c r="MTA77" s="156"/>
      <c r="MTB77" s="156"/>
      <c r="MTC77" s="156"/>
      <c r="MTD77" s="156"/>
      <c r="MTE77" s="156"/>
      <c r="MTF77" s="156"/>
      <c r="MTG77" s="156"/>
      <c r="MTH77" s="156"/>
      <c r="MTI77" s="156"/>
      <c r="MTJ77" s="156"/>
      <c r="MTK77" s="156"/>
      <c r="MTL77" s="156"/>
      <c r="MTM77" s="156"/>
      <c r="MTN77" s="156"/>
      <c r="MTO77" s="156"/>
      <c r="MTP77" s="156"/>
      <c r="MTQ77" s="156"/>
      <c r="MTR77" s="156"/>
      <c r="MTS77" s="156"/>
      <c r="MTT77" s="156"/>
      <c r="MTU77" s="156"/>
      <c r="MTV77" s="156"/>
      <c r="MTW77" s="156"/>
      <c r="MTX77" s="156"/>
      <c r="MTY77" s="156"/>
      <c r="MTZ77" s="156"/>
      <c r="MUA77" s="156"/>
      <c r="MUB77" s="156"/>
      <c r="MUC77" s="156"/>
      <c r="MUD77" s="156"/>
      <c r="MUE77" s="156"/>
      <c r="MUF77" s="156"/>
      <c r="MUG77" s="156"/>
      <c r="MUH77" s="156"/>
      <c r="MUI77" s="156"/>
      <c r="MUJ77" s="156"/>
      <c r="MUK77" s="156"/>
      <c r="MUL77" s="156"/>
      <c r="MUM77" s="156"/>
      <c r="MUN77" s="156"/>
      <c r="MUO77" s="156"/>
      <c r="MUP77" s="156"/>
      <c r="MUQ77" s="156"/>
      <c r="MUR77" s="156"/>
      <c r="MUS77" s="156"/>
      <c r="MUT77" s="156"/>
      <c r="MUU77" s="156"/>
      <c r="MUV77" s="156"/>
      <c r="MUW77" s="156"/>
      <c r="MUX77" s="156"/>
      <c r="MUY77" s="156"/>
      <c r="MUZ77" s="156"/>
      <c r="MVA77" s="156"/>
      <c r="MVB77" s="156"/>
      <c r="MVC77" s="156"/>
      <c r="MVD77" s="156"/>
      <c r="MVE77" s="156"/>
      <c r="MVF77" s="156"/>
      <c r="MVG77" s="156"/>
      <c r="MVH77" s="156"/>
      <c r="MVI77" s="156"/>
      <c r="MVJ77" s="156"/>
      <c r="MVK77" s="156"/>
      <c r="MVL77" s="156"/>
      <c r="MVM77" s="156"/>
      <c r="MVN77" s="156"/>
      <c r="MVO77" s="156"/>
      <c r="MVP77" s="156"/>
      <c r="MVQ77" s="156"/>
      <c r="MVR77" s="156"/>
      <c r="MVS77" s="156"/>
      <c r="MVT77" s="156"/>
      <c r="MVU77" s="156"/>
      <c r="MVV77" s="156"/>
      <c r="MVW77" s="156"/>
      <c r="MVX77" s="156"/>
      <c r="MVY77" s="156"/>
      <c r="MVZ77" s="156"/>
      <c r="MWA77" s="156"/>
      <c r="MWB77" s="156"/>
      <c r="MWC77" s="156"/>
      <c r="MWD77" s="156"/>
      <c r="MWE77" s="156"/>
      <c r="MWF77" s="156"/>
      <c r="MWG77" s="156"/>
      <c r="MWH77" s="156"/>
      <c r="MWI77" s="156"/>
      <c r="MWJ77" s="156"/>
      <c r="MWK77" s="156"/>
      <c r="MWL77" s="156"/>
      <c r="MWM77" s="156"/>
      <c r="MWN77" s="156"/>
      <c r="MWO77" s="156"/>
      <c r="MWP77" s="156"/>
      <c r="MWQ77" s="156"/>
      <c r="MWR77" s="156"/>
      <c r="MWS77" s="156"/>
      <c r="MWT77" s="156"/>
      <c r="MWU77" s="156"/>
      <c r="MWV77" s="156"/>
      <c r="MWW77" s="156"/>
      <c r="MWX77" s="156"/>
      <c r="MWY77" s="156"/>
      <c r="MWZ77" s="156"/>
      <c r="MXA77" s="156"/>
      <c r="MXB77" s="156"/>
      <c r="MXC77" s="156"/>
      <c r="MXD77" s="156"/>
      <c r="MXE77" s="156"/>
      <c r="MXF77" s="156"/>
      <c r="MXG77" s="156"/>
      <c r="MXH77" s="156"/>
      <c r="MXI77" s="156"/>
      <c r="MXJ77" s="156"/>
      <c r="MXK77" s="156"/>
      <c r="MXL77" s="156"/>
      <c r="MXM77" s="156"/>
      <c r="MXN77" s="156"/>
      <c r="MXO77" s="156"/>
      <c r="MXP77" s="156"/>
      <c r="MXQ77" s="156"/>
      <c r="MXR77" s="156"/>
      <c r="MXS77" s="156"/>
      <c r="MXT77" s="156"/>
      <c r="MXU77" s="156"/>
      <c r="MXV77" s="156"/>
      <c r="MXW77" s="156"/>
      <c r="MXX77" s="156"/>
      <c r="MXY77" s="156"/>
      <c r="MXZ77" s="156"/>
      <c r="MYA77" s="156"/>
      <c r="MYB77" s="156"/>
      <c r="MYC77" s="156"/>
      <c r="MYD77" s="156"/>
      <c r="MYE77" s="156"/>
      <c r="MYF77" s="156"/>
      <c r="MYG77" s="156"/>
      <c r="MYH77" s="156"/>
      <c r="MYI77" s="156"/>
      <c r="MYJ77" s="156"/>
      <c r="MYK77" s="156"/>
      <c r="MYL77" s="156"/>
      <c r="MYM77" s="156"/>
      <c r="MYN77" s="156"/>
      <c r="MYO77" s="156"/>
      <c r="MYP77" s="156"/>
      <c r="MYQ77" s="156"/>
      <c r="MYR77" s="156"/>
      <c r="MYS77" s="156"/>
      <c r="MYT77" s="156"/>
      <c r="MYU77" s="156"/>
      <c r="MYV77" s="156"/>
      <c r="MYW77" s="156"/>
      <c r="MYX77" s="156"/>
      <c r="MYY77" s="156"/>
      <c r="MYZ77" s="156"/>
      <c r="MZA77" s="156"/>
      <c r="MZB77" s="156"/>
      <c r="MZC77" s="156"/>
      <c r="MZD77" s="156"/>
      <c r="MZE77" s="156"/>
      <c r="MZF77" s="156"/>
      <c r="MZG77" s="156"/>
      <c r="MZH77" s="156"/>
      <c r="MZI77" s="156"/>
      <c r="MZJ77" s="156"/>
      <c r="MZK77" s="156"/>
      <c r="MZL77" s="156"/>
      <c r="MZM77" s="156"/>
      <c r="MZN77" s="156"/>
      <c r="MZO77" s="156"/>
      <c r="MZP77" s="156"/>
      <c r="MZQ77" s="156"/>
      <c r="MZR77" s="156"/>
      <c r="MZS77" s="156"/>
      <c r="MZT77" s="156"/>
      <c r="MZU77" s="156"/>
      <c r="MZV77" s="156"/>
      <c r="MZW77" s="156"/>
      <c r="MZX77" s="156"/>
      <c r="MZY77" s="156"/>
      <c r="MZZ77" s="156"/>
      <c r="NAA77" s="156"/>
      <c r="NAB77" s="156"/>
      <c r="NAC77" s="156"/>
      <c r="NAD77" s="156"/>
      <c r="NAE77" s="156"/>
      <c r="NAF77" s="156"/>
      <c r="NAG77" s="156"/>
      <c r="NAH77" s="156"/>
      <c r="NAI77" s="156"/>
      <c r="NAJ77" s="156"/>
      <c r="NAK77" s="156"/>
      <c r="NAL77" s="156"/>
      <c r="NAM77" s="156"/>
      <c r="NAN77" s="156"/>
      <c r="NAO77" s="156"/>
      <c r="NAP77" s="156"/>
      <c r="NAQ77" s="156"/>
      <c r="NAR77" s="156"/>
      <c r="NAS77" s="156"/>
      <c r="NAT77" s="156"/>
      <c r="NAU77" s="156"/>
      <c r="NAV77" s="156"/>
      <c r="NAW77" s="156"/>
      <c r="NAX77" s="156"/>
      <c r="NAY77" s="156"/>
      <c r="NAZ77" s="156"/>
      <c r="NBA77" s="156"/>
      <c r="NBB77" s="156"/>
      <c r="NBC77" s="156"/>
      <c r="NBD77" s="156"/>
      <c r="NBE77" s="156"/>
      <c r="NBF77" s="156"/>
      <c r="NBG77" s="156"/>
      <c r="NBH77" s="156"/>
      <c r="NBI77" s="156"/>
      <c r="NBJ77" s="156"/>
      <c r="NBK77" s="156"/>
      <c r="NBL77" s="156"/>
      <c r="NBM77" s="156"/>
      <c r="NBN77" s="156"/>
      <c r="NBO77" s="156"/>
      <c r="NBP77" s="156"/>
      <c r="NBQ77" s="156"/>
      <c r="NBR77" s="156"/>
      <c r="NBS77" s="156"/>
      <c r="NBT77" s="156"/>
      <c r="NBU77" s="156"/>
      <c r="NBV77" s="156"/>
      <c r="NBW77" s="156"/>
      <c r="NBX77" s="156"/>
      <c r="NBY77" s="156"/>
      <c r="NBZ77" s="156"/>
      <c r="NCA77" s="156"/>
      <c r="NCB77" s="156"/>
      <c r="NCC77" s="156"/>
      <c r="NCD77" s="156"/>
      <c r="NCE77" s="156"/>
      <c r="NCF77" s="156"/>
      <c r="NCG77" s="156"/>
      <c r="NCH77" s="156"/>
      <c r="NCI77" s="156"/>
      <c r="NCJ77" s="156"/>
      <c r="NCK77" s="156"/>
      <c r="NCL77" s="156"/>
      <c r="NCM77" s="156"/>
      <c r="NCN77" s="156"/>
      <c r="NCO77" s="156"/>
      <c r="NCP77" s="156"/>
      <c r="NCQ77" s="156"/>
      <c r="NCR77" s="156"/>
      <c r="NCS77" s="156"/>
      <c r="NCT77" s="156"/>
      <c r="NCU77" s="156"/>
      <c r="NCV77" s="156"/>
      <c r="NCW77" s="156"/>
      <c r="NCX77" s="156"/>
      <c r="NCY77" s="156"/>
      <c r="NCZ77" s="156"/>
      <c r="NDA77" s="156"/>
      <c r="NDB77" s="156"/>
      <c r="NDC77" s="156"/>
      <c r="NDD77" s="156"/>
      <c r="NDE77" s="156"/>
      <c r="NDF77" s="156"/>
      <c r="NDG77" s="156"/>
      <c r="NDH77" s="156"/>
      <c r="NDI77" s="156"/>
      <c r="NDJ77" s="156"/>
      <c r="NDK77" s="156"/>
      <c r="NDL77" s="156"/>
      <c r="NDM77" s="156"/>
      <c r="NDN77" s="156"/>
      <c r="NDO77" s="156"/>
      <c r="NDP77" s="156"/>
      <c r="NDQ77" s="156"/>
      <c r="NDR77" s="156"/>
      <c r="NDS77" s="156"/>
      <c r="NDT77" s="156"/>
      <c r="NDU77" s="156"/>
      <c r="NDV77" s="156"/>
      <c r="NDW77" s="156"/>
      <c r="NDX77" s="156"/>
      <c r="NDY77" s="156"/>
      <c r="NDZ77" s="156"/>
      <c r="NEA77" s="156"/>
      <c r="NEB77" s="156"/>
      <c r="NEC77" s="156"/>
      <c r="NED77" s="156"/>
      <c r="NEE77" s="156"/>
      <c r="NEF77" s="156"/>
      <c r="NEG77" s="156"/>
      <c r="NEH77" s="156"/>
      <c r="NEI77" s="156"/>
      <c r="NEJ77" s="156"/>
      <c r="NEK77" s="156"/>
      <c r="NEL77" s="156"/>
      <c r="NEM77" s="156"/>
      <c r="NEN77" s="156"/>
      <c r="NEO77" s="156"/>
      <c r="NEP77" s="156"/>
      <c r="NEQ77" s="156"/>
      <c r="NER77" s="156"/>
      <c r="NES77" s="156"/>
      <c r="NET77" s="156"/>
      <c r="NEU77" s="156"/>
      <c r="NEV77" s="156"/>
      <c r="NEW77" s="156"/>
      <c r="NEX77" s="156"/>
      <c r="NEY77" s="156"/>
      <c r="NEZ77" s="156"/>
      <c r="NFA77" s="156"/>
      <c r="NFB77" s="156"/>
      <c r="NFC77" s="156"/>
      <c r="NFD77" s="156"/>
      <c r="NFE77" s="156"/>
      <c r="NFF77" s="156"/>
      <c r="NFG77" s="156"/>
      <c r="NFH77" s="156"/>
      <c r="NFI77" s="156"/>
      <c r="NFJ77" s="156"/>
      <c r="NFK77" s="156"/>
      <c r="NFL77" s="156"/>
      <c r="NFM77" s="156"/>
      <c r="NFN77" s="156"/>
      <c r="NFO77" s="156"/>
      <c r="NFP77" s="156"/>
      <c r="NFQ77" s="156"/>
      <c r="NFR77" s="156"/>
      <c r="NFS77" s="156"/>
      <c r="NFT77" s="156"/>
      <c r="NFU77" s="156"/>
      <c r="NFV77" s="156"/>
      <c r="NFW77" s="156"/>
      <c r="NFX77" s="156"/>
      <c r="NFY77" s="156"/>
      <c r="NFZ77" s="156"/>
      <c r="NGA77" s="156"/>
      <c r="NGB77" s="156"/>
      <c r="NGC77" s="156"/>
      <c r="NGD77" s="156"/>
      <c r="NGE77" s="156"/>
      <c r="NGF77" s="156"/>
      <c r="NGG77" s="156"/>
      <c r="NGH77" s="156"/>
      <c r="NGI77" s="156"/>
      <c r="NGJ77" s="156"/>
      <c r="NGK77" s="156"/>
      <c r="NGL77" s="156"/>
      <c r="NGM77" s="156"/>
      <c r="NGN77" s="156"/>
      <c r="NGO77" s="156"/>
      <c r="NGP77" s="156"/>
      <c r="NGQ77" s="156"/>
      <c r="NGR77" s="156"/>
      <c r="NGS77" s="156"/>
      <c r="NGT77" s="156"/>
      <c r="NGU77" s="156"/>
      <c r="NGV77" s="156"/>
      <c r="NGW77" s="156"/>
      <c r="NGX77" s="156"/>
      <c r="NGY77" s="156"/>
      <c r="NGZ77" s="156"/>
      <c r="NHA77" s="156"/>
      <c r="NHB77" s="156"/>
      <c r="NHC77" s="156"/>
      <c r="NHD77" s="156"/>
      <c r="NHE77" s="156"/>
      <c r="NHF77" s="156"/>
      <c r="NHG77" s="156"/>
      <c r="NHH77" s="156"/>
      <c r="NHI77" s="156"/>
      <c r="NHJ77" s="156"/>
      <c r="NHK77" s="156"/>
      <c r="NHL77" s="156"/>
      <c r="NHM77" s="156"/>
      <c r="NHN77" s="156"/>
      <c r="NHO77" s="156"/>
      <c r="NHP77" s="156"/>
      <c r="NHQ77" s="156"/>
      <c r="NHR77" s="156"/>
      <c r="NHS77" s="156"/>
      <c r="NHT77" s="156"/>
      <c r="NHU77" s="156"/>
      <c r="NHV77" s="156"/>
      <c r="NHW77" s="156"/>
      <c r="NHX77" s="156"/>
      <c r="NHY77" s="156"/>
      <c r="NHZ77" s="156"/>
      <c r="NIA77" s="156"/>
      <c r="NIB77" s="156"/>
      <c r="NIC77" s="156"/>
      <c r="NID77" s="156"/>
      <c r="NIE77" s="156"/>
      <c r="NIF77" s="156"/>
      <c r="NIG77" s="156"/>
      <c r="NIH77" s="156"/>
      <c r="NII77" s="156"/>
      <c r="NIJ77" s="156"/>
      <c r="NIK77" s="156"/>
      <c r="NIL77" s="156"/>
      <c r="NIM77" s="156"/>
      <c r="NIN77" s="156"/>
      <c r="NIO77" s="156"/>
      <c r="NIP77" s="156"/>
      <c r="NIQ77" s="156"/>
      <c r="NIR77" s="156"/>
      <c r="NIS77" s="156"/>
      <c r="NIT77" s="156"/>
      <c r="NIU77" s="156"/>
      <c r="NIV77" s="156"/>
      <c r="NIW77" s="156"/>
      <c r="NIX77" s="156"/>
      <c r="NIY77" s="156"/>
      <c r="NIZ77" s="156"/>
      <c r="NJA77" s="156"/>
      <c r="NJB77" s="156"/>
      <c r="NJC77" s="156"/>
      <c r="NJD77" s="156"/>
      <c r="NJE77" s="156"/>
      <c r="NJF77" s="156"/>
      <c r="NJG77" s="156"/>
      <c r="NJH77" s="156"/>
      <c r="NJI77" s="156"/>
      <c r="NJJ77" s="156"/>
      <c r="NJK77" s="156"/>
      <c r="NJL77" s="156"/>
      <c r="NJM77" s="156"/>
      <c r="NJN77" s="156"/>
      <c r="NJO77" s="156"/>
      <c r="NJP77" s="156"/>
      <c r="NJQ77" s="156"/>
      <c r="NJR77" s="156"/>
      <c r="NJS77" s="156"/>
      <c r="NJT77" s="156"/>
      <c r="NJU77" s="156"/>
      <c r="NJV77" s="156"/>
      <c r="NJW77" s="156"/>
      <c r="NJX77" s="156"/>
      <c r="NJY77" s="156"/>
      <c r="NJZ77" s="156"/>
      <c r="NKA77" s="156"/>
      <c r="NKB77" s="156"/>
      <c r="NKC77" s="156"/>
      <c r="NKD77" s="156"/>
      <c r="NKE77" s="156"/>
      <c r="NKF77" s="156"/>
      <c r="NKG77" s="156"/>
      <c r="NKH77" s="156"/>
      <c r="NKI77" s="156"/>
      <c r="NKJ77" s="156"/>
      <c r="NKK77" s="156"/>
      <c r="NKL77" s="156"/>
      <c r="NKM77" s="156"/>
      <c r="NKN77" s="156"/>
      <c r="NKO77" s="156"/>
      <c r="NKP77" s="156"/>
      <c r="NKQ77" s="156"/>
      <c r="NKR77" s="156"/>
      <c r="NKS77" s="156"/>
      <c r="NKT77" s="156"/>
      <c r="NKU77" s="156"/>
      <c r="NKV77" s="156"/>
      <c r="NKW77" s="156"/>
      <c r="NKX77" s="156"/>
      <c r="NKY77" s="156"/>
      <c r="NKZ77" s="156"/>
      <c r="NLA77" s="156"/>
      <c r="NLB77" s="156"/>
      <c r="NLC77" s="156"/>
      <c r="NLD77" s="156"/>
      <c r="NLE77" s="156"/>
      <c r="NLF77" s="156"/>
      <c r="NLG77" s="156"/>
      <c r="NLH77" s="156"/>
      <c r="NLI77" s="156"/>
      <c r="NLJ77" s="156"/>
      <c r="NLK77" s="156"/>
      <c r="NLL77" s="156"/>
      <c r="NLM77" s="156"/>
      <c r="NLN77" s="156"/>
      <c r="NLO77" s="156"/>
      <c r="NLP77" s="156"/>
      <c r="NLQ77" s="156"/>
      <c r="NLR77" s="156"/>
      <c r="NLS77" s="156"/>
      <c r="NLT77" s="156"/>
      <c r="NLU77" s="156"/>
      <c r="NLV77" s="156"/>
      <c r="NLW77" s="156"/>
      <c r="NLX77" s="156"/>
      <c r="NLY77" s="156"/>
      <c r="NLZ77" s="156"/>
      <c r="NMA77" s="156"/>
      <c r="NMB77" s="156"/>
      <c r="NMC77" s="156"/>
      <c r="NMD77" s="156"/>
      <c r="NME77" s="156"/>
      <c r="NMF77" s="156"/>
      <c r="NMG77" s="156"/>
      <c r="NMH77" s="156"/>
      <c r="NMI77" s="156"/>
      <c r="NMJ77" s="156"/>
      <c r="NMK77" s="156"/>
      <c r="NML77" s="156"/>
      <c r="NMM77" s="156"/>
      <c r="NMN77" s="156"/>
      <c r="NMO77" s="156"/>
      <c r="NMP77" s="156"/>
      <c r="NMQ77" s="156"/>
      <c r="NMR77" s="156"/>
      <c r="NMS77" s="156"/>
      <c r="NMT77" s="156"/>
      <c r="NMU77" s="156"/>
      <c r="NMV77" s="156"/>
      <c r="NMW77" s="156"/>
      <c r="NMX77" s="156"/>
      <c r="NMY77" s="156"/>
      <c r="NMZ77" s="156"/>
      <c r="NNA77" s="156"/>
      <c r="NNB77" s="156"/>
      <c r="NNC77" s="156"/>
      <c r="NND77" s="156"/>
      <c r="NNE77" s="156"/>
      <c r="NNF77" s="156"/>
      <c r="NNG77" s="156"/>
      <c r="NNH77" s="156"/>
      <c r="NNI77" s="156"/>
      <c r="NNJ77" s="156"/>
      <c r="NNK77" s="156"/>
      <c r="NNL77" s="156"/>
      <c r="NNM77" s="156"/>
      <c r="NNN77" s="156"/>
      <c r="NNO77" s="156"/>
      <c r="NNP77" s="156"/>
      <c r="NNQ77" s="156"/>
      <c r="NNR77" s="156"/>
      <c r="NNS77" s="156"/>
      <c r="NNT77" s="156"/>
      <c r="NNU77" s="156"/>
      <c r="NNV77" s="156"/>
      <c r="NNW77" s="156"/>
      <c r="NNX77" s="156"/>
      <c r="NNY77" s="156"/>
      <c r="NNZ77" s="156"/>
      <c r="NOA77" s="156"/>
      <c r="NOB77" s="156"/>
      <c r="NOC77" s="156"/>
      <c r="NOD77" s="156"/>
      <c r="NOE77" s="156"/>
      <c r="NOF77" s="156"/>
      <c r="NOG77" s="156"/>
      <c r="NOH77" s="156"/>
      <c r="NOI77" s="156"/>
      <c r="NOJ77" s="156"/>
      <c r="NOK77" s="156"/>
      <c r="NOL77" s="156"/>
      <c r="NOM77" s="156"/>
      <c r="NON77" s="156"/>
      <c r="NOO77" s="156"/>
      <c r="NOP77" s="156"/>
      <c r="NOQ77" s="156"/>
      <c r="NOR77" s="156"/>
      <c r="NOS77" s="156"/>
      <c r="NOT77" s="156"/>
      <c r="NOU77" s="156"/>
      <c r="NOV77" s="156"/>
      <c r="NOW77" s="156"/>
      <c r="NOX77" s="156"/>
      <c r="NOY77" s="156"/>
      <c r="NOZ77" s="156"/>
      <c r="NPA77" s="156"/>
      <c r="NPB77" s="156"/>
      <c r="NPC77" s="156"/>
      <c r="NPD77" s="156"/>
      <c r="NPE77" s="156"/>
      <c r="NPF77" s="156"/>
      <c r="NPG77" s="156"/>
      <c r="NPH77" s="156"/>
      <c r="NPI77" s="156"/>
      <c r="NPJ77" s="156"/>
      <c r="NPK77" s="156"/>
      <c r="NPL77" s="156"/>
      <c r="NPM77" s="156"/>
      <c r="NPN77" s="156"/>
      <c r="NPO77" s="156"/>
      <c r="NPP77" s="156"/>
      <c r="NPQ77" s="156"/>
      <c r="NPR77" s="156"/>
      <c r="NPS77" s="156"/>
      <c r="NPT77" s="156"/>
      <c r="NPU77" s="156"/>
      <c r="NPV77" s="156"/>
      <c r="NPW77" s="156"/>
      <c r="NPX77" s="156"/>
      <c r="NPY77" s="156"/>
      <c r="NPZ77" s="156"/>
      <c r="NQA77" s="156"/>
      <c r="NQB77" s="156"/>
      <c r="NQC77" s="156"/>
      <c r="NQD77" s="156"/>
      <c r="NQE77" s="156"/>
      <c r="NQF77" s="156"/>
      <c r="NQG77" s="156"/>
      <c r="NQH77" s="156"/>
      <c r="NQI77" s="156"/>
      <c r="NQJ77" s="156"/>
      <c r="NQK77" s="156"/>
      <c r="NQL77" s="156"/>
      <c r="NQM77" s="156"/>
      <c r="NQN77" s="156"/>
      <c r="NQO77" s="156"/>
      <c r="NQP77" s="156"/>
      <c r="NQQ77" s="156"/>
      <c r="NQR77" s="156"/>
      <c r="NQS77" s="156"/>
      <c r="NQT77" s="156"/>
      <c r="NQU77" s="156"/>
      <c r="NQV77" s="156"/>
      <c r="NQW77" s="156"/>
      <c r="NQX77" s="156"/>
      <c r="NQY77" s="156"/>
      <c r="NQZ77" s="156"/>
      <c r="NRA77" s="156"/>
      <c r="NRB77" s="156"/>
      <c r="NRC77" s="156"/>
      <c r="NRD77" s="156"/>
      <c r="NRE77" s="156"/>
      <c r="NRF77" s="156"/>
      <c r="NRG77" s="156"/>
      <c r="NRH77" s="156"/>
      <c r="NRI77" s="156"/>
      <c r="NRJ77" s="156"/>
      <c r="NRK77" s="156"/>
      <c r="NRL77" s="156"/>
      <c r="NRM77" s="156"/>
      <c r="NRN77" s="156"/>
      <c r="NRO77" s="156"/>
      <c r="NRP77" s="156"/>
      <c r="NRQ77" s="156"/>
      <c r="NRR77" s="156"/>
      <c r="NRS77" s="156"/>
      <c r="NRT77" s="156"/>
      <c r="NRU77" s="156"/>
      <c r="NRV77" s="156"/>
      <c r="NRW77" s="156"/>
      <c r="NRX77" s="156"/>
      <c r="NRY77" s="156"/>
      <c r="NRZ77" s="156"/>
      <c r="NSA77" s="156"/>
      <c r="NSB77" s="156"/>
      <c r="NSC77" s="156"/>
      <c r="NSD77" s="156"/>
      <c r="NSE77" s="156"/>
      <c r="NSF77" s="156"/>
      <c r="NSG77" s="156"/>
      <c r="NSH77" s="156"/>
      <c r="NSI77" s="156"/>
      <c r="NSJ77" s="156"/>
      <c r="NSK77" s="156"/>
      <c r="NSL77" s="156"/>
      <c r="NSM77" s="156"/>
      <c r="NSN77" s="156"/>
      <c r="NSO77" s="156"/>
      <c r="NSP77" s="156"/>
      <c r="NSQ77" s="156"/>
      <c r="NSR77" s="156"/>
      <c r="NSS77" s="156"/>
      <c r="NST77" s="156"/>
      <c r="NSU77" s="156"/>
      <c r="NSV77" s="156"/>
      <c r="NSW77" s="156"/>
      <c r="NSX77" s="156"/>
      <c r="NSY77" s="156"/>
      <c r="NSZ77" s="156"/>
      <c r="NTA77" s="156"/>
      <c r="NTB77" s="156"/>
      <c r="NTC77" s="156"/>
      <c r="NTD77" s="156"/>
      <c r="NTE77" s="156"/>
      <c r="NTF77" s="156"/>
      <c r="NTG77" s="156"/>
      <c r="NTH77" s="156"/>
      <c r="NTI77" s="156"/>
      <c r="NTJ77" s="156"/>
      <c r="NTK77" s="156"/>
      <c r="NTL77" s="156"/>
      <c r="NTM77" s="156"/>
      <c r="NTN77" s="156"/>
      <c r="NTO77" s="156"/>
      <c r="NTP77" s="156"/>
      <c r="NTQ77" s="156"/>
      <c r="NTR77" s="156"/>
      <c r="NTS77" s="156"/>
      <c r="NTT77" s="156"/>
      <c r="NTU77" s="156"/>
      <c r="NTV77" s="156"/>
      <c r="NTW77" s="156"/>
      <c r="NTX77" s="156"/>
      <c r="NTY77" s="156"/>
      <c r="NTZ77" s="156"/>
      <c r="NUA77" s="156"/>
      <c r="NUB77" s="156"/>
      <c r="NUC77" s="156"/>
      <c r="NUD77" s="156"/>
      <c r="NUE77" s="156"/>
      <c r="NUF77" s="156"/>
      <c r="NUG77" s="156"/>
      <c r="NUH77" s="156"/>
      <c r="NUI77" s="156"/>
      <c r="NUJ77" s="156"/>
      <c r="NUK77" s="156"/>
      <c r="NUL77" s="156"/>
      <c r="NUM77" s="156"/>
      <c r="NUN77" s="156"/>
      <c r="NUO77" s="156"/>
      <c r="NUP77" s="156"/>
      <c r="NUQ77" s="156"/>
      <c r="NUR77" s="156"/>
      <c r="NUS77" s="156"/>
      <c r="NUT77" s="156"/>
      <c r="NUU77" s="156"/>
      <c r="NUV77" s="156"/>
      <c r="NUW77" s="156"/>
      <c r="NUX77" s="156"/>
      <c r="NUY77" s="156"/>
      <c r="NUZ77" s="156"/>
      <c r="NVA77" s="156"/>
      <c r="NVB77" s="156"/>
      <c r="NVC77" s="156"/>
      <c r="NVD77" s="156"/>
      <c r="NVE77" s="156"/>
      <c r="NVF77" s="156"/>
      <c r="NVG77" s="156"/>
      <c r="NVH77" s="156"/>
      <c r="NVI77" s="156"/>
      <c r="NVJ77" s="156"/>
      <c r="NVK77" s="156"/>
      <c r="NVL77" s="156"/>
      <c r="NVM77" s="156"/>
      <c r="NVN77" s="156"/>
      <c r="NVO77" s="156"/>
      <c r="NVP77" s="156"/>
      <c r="NVQ77" s="156"/>
      <c r="NVR77" s="156"/>
      <c r="NVS77" s="156"/>
      <c r="NVT77" s="156"/>
      <c r="NVU77" s="156"/>
      <c r="NVV77" s="156"/>
      <c r="NVW77" s="156"/>
      <c r="NVX77" s="156"/>
      <c r="NVY77" s="156"/>
      <c r="NVZ77" s="156"/>
      <c r="NWA77" s="156"/>
      <c r="NWB77" s="156"/>
      <c r="NWC77" s="156"/>
      <c r="NWD77" s="156"/>
      <c r="NWE77" s="156"/>
      <c r="NWF77" s="156"/>
      <c r="NWG77" s="156"/>
      <c r="NWH77" s="156"/>
      <c r="NWI77" s="156"/>
      <c r="NWJ77" s="156"/>
      <c r="NWK77" s="156"/>
      <c r="NWL77" s="156"/>
      <c r="NWM77" s="156"/>
      <c r="NWN77" s="156"/>
      <c r="NWO77" s="156"/>
      <c r="NWP77" s="156"/>
      <c r="NWQ77" s="156"/>
      <c r="NWR77" s="156"/>
      <c r="NWS77" s="156"/>
      <c r="NWT77" s="156"/>
      <c r="NWU77" s="156"/>
      <c r="NWV77" s="156"/>
      <c r="NWW77" s="156"/>
      <c r="NWX77" s="156"/>
      <c r="NWY77" s="156"/>
      <c r="NWZ77" s="156"/>
      <c r="NXA77" s="156"/>
      <c r="NXB77" s="156"/>
      <c r="NXC77" s="156"/>
      <c r="NXD77" s="156"/>
      <c r="NXE77" s="156"/>
      <c r="NXF77" s="156"/>
      <c r="NXG77" s="156"/>
      <c r="NXH77" s="156"/>
      <c r="NXI77" s="156"/>
      <c r="NXJ77" s="156"/>
      <c r="NXK77" s="156"/>
      <c r="NXL77" s="156"/>
      <c r="NXM77" s="156"/>
      <c r="NXN77" s="156"/>
      <c r="NXO77" s="156"/>
      <c r="NXP77" s="156"/>
      <c r="NXQ77" s="156"/>
      <c r="NXR77" s="156"/>
      <c r="NXS77" s="156"/>
      <c r="NXT77" s="156"/>
      <c r="NXU77" s="156"/>
      <c r="NXV77" s="156"/>
      <c r="NXW77" s="156"/>
      <c r="NXX77" s="156"/>
      <c r="NXY77" s="156"/>
      <c r="NXZ77" s="156"/>
      <c r="NYA77" s="156"/>
      <c r="NYB77" s="156"/>
      <c r="NYC77" s="156"/>
      <c r="NYD77" s="156"/>
      <c r="NYE77" s="156"/>
      <c r="NYF77" s="156"/>
      <c r="NYG77" s="156"/>
      <c r="NYH77" s="156"/>
      <c r="NYI77" s="156"/>
      <c r="NYJ77" s="156"/>
      <c r="NYK77" s="156"/>
      <c r="NYL77" s="156"/>
      <c r="NYM77" s="156"/>
      <c r="NYN77" s="156"/>
      <c r="NYO77" s="156"/>
      <c r="NYP77" s="156"/>
      <c r="NYQ77" s="156"/>
      <c r="NYR77" s="156"/>
      <c r="NYS77" s="156"/>
      <c r="NYT77" s="156"/>
      <c r="NYU77" s="156"/>
      <c r="NYV77" s="156"/>
      <c r="NYW77" s="156"/>
      <c r="NYX77" s="156"/>
      <c r="NYY77" s="156"/>
      <c r="NYZ77" s="156"/>
      <c r="NZA77" s="156"/>
      <c r="NZB77" s="156"/>
      <c r="NZC77" s="156"/>
      <c r="NZD77" s="156"/>
      <c r="NZE77" s="156"/>
      <c r="NZF77" s="156"/>
      <c r="NZG77" s="156"/>
      <c r="NZH77" s="156"/>
      <c r="NZI77" s="156"/>
      <c r="NZJ77" s="156"/>
      <c r="NZK77" s="156"/>
      <c r="NZL77" s="156"/>
      <c r="NZM77" s="156"/>
      <c r="NZN77" s="156"/>
      <c r="NZO77" s="156"/>
      <c r="NZP77" s="156"/>
      <c r="NZQ77" s="156"/>
      <c r="NZR77" s="156"/>
      <c r="NZS77" s="156"/>
      <c r="NZT77" s="156"/>
      <c r="NZU77" s="156"/>
      <c r="NZV77" s="156"/>
      <c r="NZW77" s="156"/>
      <c r="NZX77" s="156"/>
      <c r="NZY77" s="156"/>
      <c r="NZZ77" s="156"/>
      <c r="OAA77" s="156"/>
      <c r="OAB77" s="156"/>
      <c r="OAC77" s="156"/>
      <c r="OAD77" s="156"/>
      <c r="OAE77" s="156"/>
      <c r="OAF77" s="156"/>
      <c r="OAG77" s="156"/>
      <c r="OAH77" s="156"/>
      <c r="OAI77" s="156"/>
      <c r="OAJ77" s="156"/>
      <c r="OAK77" s="156"/>
      <c r="OAL77" s="156"/>
      <c r="OAM77" s="156"/>
      <c r="OAN77" s="156"/>
      <c r="OAO77" s="156"/>
      <c r="OAP77" s="156"/>
      <c r="OAQ77" s="156"/>
      <c r="OAR77" s="156"/>
      <c r="OAS77" s="156"/>
      <c r="OAT77" s="156"/>
      <c r="OAU77" s="156"/>
      <c r="OAV77" s="156"/>
      <c r="OAW77" s="156"/>
      <c r="OAX77" s="156"/>
      <c r="OAY77" s="156"/>
      <c r="OAZ77" s="156"/>
      <c r="OBA77" s="156"/>
      <c r="OBB77" s="156"/>
      <c r="OBC77" s="156"/>
      <c r="OBD77" s="156"/>
      <c r="OBE77" s="156"/>
      <c r="OBF77" s="156"/>
      <c r="OBG77" s="156"/>
      <c r="OBH77" s="156"/>
      <c r="OBI77" s="156"/>
      <c r="OBJ77" s="156"/>
      <c r="OBK77" s="156"/>
      <c r="OBL77" s="156"/>
      <c r="OBM77" s="156"/>
      <c r="OBN77" s="156"/>
      <c r="OBO77" s="156"/>
      <c r="OBP77" s="156"/>
      <c r="OBQ77" s="156"/>
      <c r="OBR77" s="156"/>
      <c r="OBS77" s="156"/>
      <c r="OBT77" s="156"/>
      <c r="OBU77" s="156"/>
      <c r="OBV77" s="156"/>
      <c r="OBW77" s="156"/>
      <c r="OBX77" s="156"/>
      <c r="OBY77" s="156"/>
      <c r="OBZ77" s="156"/>
      <c r="OCA77" s="156"/>
      <c r="OCB77" s="156"/>
      <c r="OCC77" s="156"/>
      <c r="OCD77" s="156"/>
      <c r="OCE77" s="156"/>
      <c r="OCF77" s="156"/>
      <c r="OCG77" s="156"/>
      <c r="OCH77" s="156"/>
      <c r="OCI77" s="156"/>
      <c r="OCJ77" s="156"/>
      <c r="OCK77" s="156"/>
      <c r="OCL77" s="156"/>
      <c r="OCM77" s="156"/>
      <c r="OCN77" s="156"/>
      <c r="OCO77" s="156"/>
      <c r="OCP77" s="156"/>
      <c r="OCQ77" s="156"/>
      <c r="OCR77" s="156"/>
      <c r="OCS77" s="156"/>
      <c r="OCT77" s="156"/>
      <c r="OCU77" s="156"/>
      <c r="OCV77" s="156"/>
      <c r="OCW77" s="156"/>
      <c r="OCX77" s="156"/>
      <c r="OCY77" s="156"/>
      <c r="OCZ77" s="156"/>
      <c r="ODA77" s="156"/>
      <c r="ODB77" s="156"/>
      <c r="ODC77" s="156"/>
      <c r="ODD77" s="156"/>
      <c r="ODE77" s="156"/>
      <c r="ODF77" s="156"/>
      <c r="ODG77" s="156"/>
      <c r="ODH77" s="156"/>
      <c r="ODI77" s="156"/>
      <c r="ODJ77" s="156"/>
      <c r="ODK77" s="156"/>
      <c r="ODL77" s="156"/>
      <c r="ODM77" s="156"/>
      <c r="ODN77" s="156"/>
      <c r="ODO77" s="156"/>
      <c r="ODP77" s="156"/>
      <c r="ODQ77" s="156"/>
      <c r="ODR77" s="156"/>
      <c r="ODS77" s="156"/>
      <c r="ODT77" s="156"/>
      <c r="ODU77" s="156"/>
      <c r="ODV77" s="156"/>
      <c r="ODW77" s="156"/>
      <c r="ODX77" s="156"/>
      <c r="ODY77" s="156"/>
      <c r="ODZ77" s="156"/>
      <c r="OEA77" s="156"/>
      <c r="OEB77" s="156"/>
      <c r="OEC77" s="156"/>
      <c r="OED77" s="156"/>
      <c r="OEE77" s="156"/>
      <c r="OEF77" s="156"/>
      <c r="OEG77" s="156"/>
      <c r="OEH77" s="156"/>
      <c r="OEI77" s="156"/>
      <c r="OEJ77" s="156"/>
      <c r="OEK77" s="156"/>
      <c r="OEL77" s="156"/>
      <c r="OEM77" s="156"/>
      <c r="OEN77" s="156"/>
      <c r="OEO77" s="156"/>
      <c r="OEP77" s="156"/>
      <c r="OEQ77" s="156"/>
      <c r="OER77" s="156"/>
      <c r="OES77" s="156"/>
      <c r="OET77" s="156"/>
      <c r="OEU77" s="156"/>
      <c r="OEV77" s="156"/>
      <c r="OEW77" s="156"/>
      <c r="OEX77" s="156"/>
      <c r="OEY77" s="156"/>
      <c r="OEZ77" s="156"/>
      <c r="OFA77" s="156"/>
      <c r="OFB77" s="156"/>
      <c r="OFC77" s="156"/>
      <c r="OFD77" s="156"/>
      <c r="OFE77" s="156"/>
      <c r="OFF77" s="156"/>
      <c r="OFG77" s="156"/>
      <c r="OFH77" s="156"/>
      <c r="OFI77" s="156"/>
      <c r="OFJ77" s="156"/>
      <c r="OFK77" s="156"/>
      <c r="OFL77" s="156"/>
      <c r="OFM77" s="156"/>
      <c r="OFN77" s="156"/>
      <c r="OFO77" s="156"/>
      <c r="OFP77" s="156"/>
      <c r="OFQ77" s="156"/>
      <c r="OFR77" s="156"/>
      <c r="OFS77" s="156"/>
      <c r="OFT77" s="156"/>
      <c r="OFU77" s="156"/>
      <c r="OFV77" s="156"/>
      <c r="OFW77" s="156"/>
      <c r="OFX77" s="156"/>
      <c r="OFY77" s="156"/>
      <c r="OFZ77" s="156"/>
      <c r="OGA77" s="156"/>
      <c r="OGB77" s="156"/>
      <c r="OGC77" s="156"/>
      <c r="OGD77" s="156"/>
      <c r="OGE77" s="156"/>
      <c r="OGF77" s="156"/>
      <c r="OGG77" s="156"/>
      <c r="OGH77" s="156"/>
      <c r="OGI77" s="156"/>
      <c r="OGJ77" s="156"/>
      <c r="OGK77" s="156"/>
      <c r="OGL77" s="156"/>
      <c r="OGM77" s="156"/>
      <c r="OGN77" s="156"/>
      <c r="OGO77" s="156"/>
      <c r="OGP77" s="156"/>
      <c r="OGQ77" s="156"/>
      <c r="OGR77" s="156"/>
      <c r="OGS77" s="156"/>
      <c r="OGT77" s="156"/>
      <c r="OGU77" s="156"/>
      <c r="OGV77" s="156"/>
      <c r="OGW77" s="156"/>
      <c r="OGX77" s="156"/>
      <c r="OGY77" s="156"/>
      <c r="OGZ77" s="156"/>
      <c r="OHA77" s="156"/>
      <c r="OHB77" s="156"/>
      <c r="OHC77" s="156"/>
      <c r="OHD77" s="156"/>
      <c r="OHE77" s="156"/>
      <c r="OHF77" s="156"/>
      <c r="OHG77" s="156"/>
      <c r="OHH77" s="156"/>
      <c r="OHI77" s="156"/>
      <c r="OHJ77" s="156"/>
      <c r="OHK77" s="156"/>
      <c r="OHL77" s="156"/>
      <c r="OHM77" s="156"/>
      <c r="OHN77" s="156"/>
      <c r="OHO77" s="156"/>
      <c r="OHP77" s="156"/>
      <c r="OHQ77" s="156"/>
      <c r="OHR77" s="156"/>
      <c r="OHS77" s="156"/>
      <c r="OHT77" s="156"/>
      <c r="OHU77" s="156"/>
      <c r="OHV77" s="156"/>
      <c r="OHW77" s="156"/>
      <c r="OHX77" s="156"/>
      <c r="OHY77" s="156"/>
      <c r="OHZ77" s="156"/>
      <c r="OIA77" s="156"/>
      <c r="OIB77" s="156"/>
      <c r="OIC77" s="156"/>
      <c r="OID77" s="156"/>
      <c r="OIE77" s="156"/>
      <c r="OIF77" s="156"/>
      <c r="OIG77" s="156"/>
      <c r="OIH77" s="156"/>
      <c r="OII77" s="156"/>
      <c r="OIJ77" s="156"/>
      <c r="OIK77" s="156"/>
      <c r="OIL77" s="156"/>
      <c r="OIM77" s="156"/>
      <c r="OIN77" s="156"/>
      <c r="OIO77" s="156"/>
      <c r="OIP77" s="156"/>
      <c r="OIQ77" s="156"/>
      <c r="OIR77" s="156"/>
      <c r="OIS77" s="156"/>
      <c r="OIT77" s="156"/>
      <c r="OIU77" s="156"/>
      <c r="OIV77" s="156"/>
      <c r="OIW77" s="156"/>
      <c r="OIX77" s="156"/>
      <c r="OIY77" s="156"/>
      <c r="OIZ77" s="156"/>
      <c r="OJA77" s="156"/>
      <c r="OJB77" s="156"/>
      <c r="OJC77" s="156"/>
      <c r="OJD77" s="156"/>
      <c r="OJE77" s="156"/>
      <c r="OJF77" s="156"/>
      <c r="OJG77" s="156"/>
      <c r="OJH77" s="156"/>
      <c r="OJI77" s="156"/>
      <c r="OJJ77" s="156"/>
      <c r="OJK77" s="156"/>
      <c r="OJL77" s="156"/>
      <c r="OJM77" s="156"/>
      <c r="OJN77" s="156"/>
      <c r="OJO77" s="156"/>
      <c r="OJP77" s="156"/>
      <c r="OJQ77" s="156"/>
      <c r="OJR77" s="156"/>
      <c r="OJS77" s="156"/>
      <c r="OJT77" s="156"/>
      <c r="OJU77" s="156"/>
      <c r="OJV77" s="156"/>
      <c r="OJW77" s="156"/>
      <c r="OJX77" s="156"/>
      <c r="OJY77" s="156"/>
      <c r="OJZ77" s="156"/>
      <c r="OKA77" s="156"/>
      <c r="OKB77" s="156"/>
      <c r="OKC77" s="156"/>
      <c r="OKD77" s="156"/>
      <c r="OKE77" s="156"/>
      <c r="OKF77" s="156"/>
      <c r="OKG77" s="156"/>
      <c r="OKH77" s="156"/>
      <c r="OKI77" s="156"/>
      <c r="OKJ77" s="156"/>
      <c r="OKK77" s="156"/>
      <c r="OKL77" s="156"/>
      <c r="OKM77" s="156"/>
      <c r="OKN77" s="156"/>
      <c r="OKO77" s="156"/>
      <c r="OKP77" s="156"/>
      <c r="OKQ77" s="156"/>
      <c r="OKR77" s="156"/>
      <c r="OKS77" s="156"/>
      <c r="OKT77" s="156"/>
      <c r="OKU77" s="156"/>
      <c r="OKV77" s="156"/>
      <c r="OKW77" s="156"/>
      <c r="OKX77" s="156"/>
      <c r="OKY77" s="156"/>
      <c r="OKZ77" s="156"/>
      <c r="OLA77" s="156"/>
      <c r="OLB77" s="156"/>
      <c r="OLC77" s="156"/>
      <c r="OLD77" s="156"/>
      <c r="OLE77" s="156"/>
      <c r="OLF77" s="156"/>
      <c r="OLG77" s="156"/>
      <c r="OLH77" s="156"/>
      <c r="OLI77" s="156"/>
      <c r="OLJ77" s="156"/>
      <c r="OLK77" s="156"/>
      <c r="OLL77" s="156"/>
      <c r="OLM77" s="156"/>
      <c r="OLN77" s="156"/>
      <c r="OLO77" s="156"/>
      <c r="OLP77" s="156"/>
      <c r="OLQ77" s="156"/>
      <c r="OLR77" s="156"/>
      <c r="OLS77" s="156"/>
      <c r="OLT77" s="156"/>
      <c r="OLU77" s="156"/>
      <c r="OLV77" s="156"/>
      <c r="OLW77" s="156"/>
      <c r="OLX77" s="156"/>
      <c r="OLY77" s="156"/>
      <c r="OLZ77" s="156"/>
      <c r="OMA77" s="156"/>
      <c r="OMB77" s="156"/>
      <c r="OMC77" s="156"/>
      <c r="OMD77" s="156"/>
      <c r="OME77" s="156"/>
      <c r="OMF77" s="156"/>
      <c r="OMG77" s="156"/>
      <c r="OMH77" s="156"/>
      <c r="OMI77" s="156"/>
      <c r="OMJ77" s="156"/>
      <c r="OMK77" s="156"/>
      <c r="OML77" s="156"/>
      <c r="OMM77" s="156"/>
      <c r="OMN77" s="156"/>
      <c r="OMO77" s="156"/>
      <c r="OMP77" s="156"/>
      <c r="OMQ77" s="156"/>
      <c r="OMR77" s="156"/>
      <c r="OMS77" s="156"/>
      <c r="OMT77" s="156"/>
      <c r="OMU77" s="156"/>
      <c r="OMV77" s="156"/>
      <c r="OMW77" s="156"/>
      <c r="OMX77" s="156"/>
      <c r="OMY77" s="156"/>
      <c r="OMZ77" s="156"/>
      <c r="ONA77" s="156"/>
      <c r="ONB77" s="156"/>
      <c r="ONC77" s="156"/>
      <c r="OND77" s="156"/>
      <c r="ONE77" s="156"/>
      <c r="ONF77" s="156"/>
      <c r="ONG77" s="156"/>
      <c r="ONH77" s="156"/>
      <c r="ONI77" s="156"/>
      <c r="ONJ77" s="156"/>
      <c r="ONK77" s="156"/>
      <c r="ONL77" s="156"/>
      <c r="ONM77" s="156"/>
      <c r="ONN77" s="156"/>
      <c r="ONO77" s="156"/>
      <c r="ONP77" s="156"/>
      <c r="ONQ77" s="156"/>
      <c r="ONR77" s="156"/>
      <c r="ONS77" s="156"/>
      <c r="ONT77" s="156"/>
      <c r="ONU77" s="156"/>
      <c r="ONV77" s="156"/>
      <c r="ONW77" s="156"/>
      <c r="ONX77" s="156"/>
      <c r="ONY77" s="156"/>
      <c r="ONZ77" s="156"/>
      <c r="OOA77" s="156"/>
      <c r="OOB77" s="156"/>
      <c r="OOC77" s="156"/>
      <c r="OOD77" s="156"/>
      <c r="OOE77" s="156"/>
      <c r="OOF77" s="156"/>
      <c r="OOG77" s="156"/>
      <c r="OOH77" s="156"/>
      <c r="OOI77" s="156"/>
      <c r="OOJ77" s="156"/>
      <c r="OOK77" s="156"/>
      <c r="OOL77" s="156"/>
      <c r="OOM77" s="156"/>
      <c r="OON77" s="156"/>
      <c r="OOO77" s="156"/>
      <c r="OOP77" s="156"/>
      <c r="OOQ77" s="156"/>
      <c r="OOR77" s="156"/>
      <c r="OOS77" s="156"/>
      <c r="OOT77" s="156"/>
      <c r="OOU77" s="156"/>
      <c r="OOV77" s="156"/>
      <c r="OOW77" s="156"/>
      <c r="OOX77" s="156"/>
      <c r="OOY77" s="156"/>
      <c r="OOZ77" s="156"/>
      <c r="OPA77" s="156"/>
      <c r="OPB77" s="156"/>
      <c r="OPC77" s="156"/>
      <c r="OPD77" s="156"/>
      <c r="OPE77" s="156"/>
      <c r="OPF77" s="156"/>
      <c r="OPG77" s="156"/>
      <c r="OPH77" s="156"/>
      <c r="OPI77" s="156"/>
      <c r="OPJ77" s="156"/>
      <c r="OPK77" s="156"/>
      <c r="OPL77" s="156"/>
      <c r="OPM77" s="156"/>
      <c r="OPN77" s="156"/>
      <c r="OPO77" s="156"/>
      <c r="OPP77" s="156"/>
      <c r="OPQ77" s="156"/>
      <c r="OPR77" s="156"/>
      <c r="OPS77" s="156"/>
      <c r="OPT77" s="156"/>
      <c r="OPU77" s="156"/>
      <c r="OPV77" s="156"/>
      <c r="OPW77" s="156"/>
      <c r="OPX77" s="156"/>
      <c r="OPY77" s="156"/>
      <c r="OPZ77" s="156"/>
      <c r="OQA77" s="156"/>
      <c r="OQB77" s="156"/>
      <c r="OQC77" s="156"/>
      <c r="OQD77" s="156"/>
      <c r="OQE77" s="156"/>
      <c r="OQF77" s="156"/>
      <c r="OQG77" s="156"/>
      <c r="OQH77" s="156"/>
      <c r="OQI77" s="156"/>
      <c r="OQJ77" s="156"/>
      <c r="OQK77" s="156"/>
      <c r="OQL77" s="156"/>
      <c r="OQM77" s="156"/>
      <c r="OQN77" s="156"/>
      <c r="OQO77" s="156"/>
      <c r="OQP77" s="156"/>
      <c r="OQQ77" s="156"/>
      <c r="OQR77" s="156"/>
      <c r="OQS77" s="156"/>
      <c r="OQT77" s="156"/>
      <c r="OQU77" s="156"/>
      <c r="OQV77" s="156"/>
      <c r="OQW77" s="156"/>
      <c r="OQX77" s="156"/>
      <c r="OQY77" s="156"/>
      <c r="OQZ77" s="156"/>
      <c r="ORA77" s="156"/>
      <c r="ORB77" s="156"/>
      <c r="ORC77" s="156"/>
      <c r="ORD77" s="156"/>
      <c r="ORE77" s="156"/>
      <c r="ORF77" s="156"/>
      <c r="ORG77" s="156"/>
      <c r="ORH77" s="156"/>
      <c r="ORI77" s="156"/>
      <c r="ORJ77" s="156"/>
      <c r="ORK77" s="156"/>
      <c r="ORL77" s="156"/>
      <c r="ORM77" s="156"/>
      <c r="ORN77" s="156"/>
      <c r="ORO77" s="156"/>
      <c r="ORP77" s="156"/>
      <c r="ORQ77" s="156"/>
      <c r="ORR77" s="156"/>
      <c r="ORS77" s="156"/>
      <c r="ORT77" s="156"/>
      <c r="ORU77" s="156"/>
      <c r="ORV77" s="156"/>
      <c r="ORW77" s="156"/>
      <c r="ORX77" s="156"/>
      <c r="ORY77" s="156"/>
      <c r="ORZ77" s="156"/>
      <c r="OSA77" s="156"/>
      <c r="OSB77" s="156"/>
      <c r="OSC77" s="156"/>
      <c r="OSD77" s="156"/>
      <c r="OSE77" s="156"/>
      <c r="OSF77" s="156"/>
      <c r="OSG77" s="156"/>
      <c r="OSH77" s="156"/>
      <c r="OSI77" s="156"/>
      <c r="OSJ77" s="156"/>
      <c r="OSK77" s="156"/>
      <c r="OSL77" s="156"/>
      <c r="OSM77" s="156"/>
      <c r="OSN77" s="156"/>
      <c r="OSO77" s="156"/>
      <c r="OSP77" s="156"/>
      <c r="OSQ77" s="156"/>
      <c r="OSR77" s="156"/>
      <c r="OSS77" s="156"/>
      <c r="OST77" s="156"/>
      <c r="OSU77" s="156"/>
      <c r="OSV77" s="156"/>
      <c r="OSW77" s="156"/>
      <c r="OSX77" s="156"/>
      <c r="OSY77" s="156"/>
      <c r="OSZ77" s="156"/>
      <c r="OTA77" s="156"/>
      <c r="OTB77" s="156"/>
      <c r="OTC77" s="156"/>
      <c r="OTD77" s="156"/>
      <c r="OTE77" s="156"/>
      <c r="OTF77" s="156"/>
      <c r="OTG77" s="156"/>
      <c r="OTH77" s="156"/>
      <c r="OTI77" s="156"/>
      <c r="OTJ77" s="156"/>
      <c r="OTK77" s="156"/>
      <c r="OTL77" s="156"/>
      <c r="OTM77" s="156"/>
      <c r="OTN77" s="156"/>
      <c r="OTO77" s="156"/>
      <c r="OTP77" s="156"/>
      <c r="OTQ77" s="156"/>
      <c r="OTR77" s="156"/>
      <c r="OTS77" s="156"/>
      <c r="OTT77" s="156"/>
      <c r="OTU77" s="156"/>
      <c r="OTV77" s="156"/>
      <c r="OTW77" s="156"/>
      <c r="OTX77" s="156"/>
      <c r="OTY77" s="156"/>
      <c r="OTZ77" s="156"/>
      <c r="OUA77" s="156"/>
      <c r="OUB77" s="156"/>
      <c r="OUC77" s="156"/>
      <c r="OUD77" s="156"/>
      <c r="OUE77" s="156"/>
      <c r="OUF77" s="156"/>
      <c r="OUG77" s="156"/>
      <c r="OUH77" s="156"/>
      <c r="OUI77" s="156"/>
      <c r="OUJ77" s="156"/>
      <c r="OUK77" s="156"/>
      <c r="OUL77" s="156"/>
      <c r="OUM77" s="156"/>
      <c r="OUN77" s="156"/>
      <c r="OUO77" s="156"/>
      <c r="OUP77" s="156"/>
      <c r="OUQ77" s="156"/>
      <c r="OUR77" s="156"/>
      <c r="OUS77" s="156"/>
      <c r="OUT77" s="156"/>
      <c r="OUU77" s="156"/>
      <c r="OUV77" s="156"/>
      <c r="OUW77" s="156"/>
      <c r="OUX77" s="156"/>
      <c r="OUY77" s="156"/>
      <c r="OUZ77" s="156"/>
      <c r="OVA77" s="156"/>
      <c r="OVB77" s="156"/>
      <c r="OVC77" s="156"/>
      <c r="OVD77" s="156"/>
      <c r="OVE77" s="156"/>
      <c r="OVF77" s="156"/>
      <c r="OVG77" s="156"/>
      <c r="OVH77" s="156"/>
      <c r="OVI77" s="156"/>
      <c r="OVJ77" s="156"/>
      <c r="OVK77" s="156"/>
      <c r="OVL77" s="156"/>
      <c r="OVM77" s="156"/>
      <c r="OVN77" s="156"/>
      <c r="OVO77" s="156"/>
      <c r="OVP77" s="156"/>
      <c r="OVQ77" s="156"/>
      <c r="OVR77" s="156"/>
      <c r="OVS77" s="156"/>
      <c r="OVT77" s="156"/>
      <c r="OVU77" s="156"/>
      <c r="OVV77" s="156"/>
      <c r="OVW77" s="156"/>
      <c r="OVX77" s="156"/>
      <c r="OVY77" s="156"/>
      <c r="OVZ77" s="156"/>
      <c r="OWA77" s="156"/>
      <c r="OWB77" s="156"/>
      <c r="OWC77" s="156"/>
      <c r="OWD77" s="156"/>
      <c r="OWE77" s="156"/>
      <c r="OWF77" s="156"/>
      <c r="OWG77" s="156"/>
      <c r="OWH77" s="156"/>
      <c r="OWI77" s="156"/>
      <c r="OWJ77" s="156"/>
      <c r="OWK77" s="156"/>
      <c r="OWL77" s="156"/>
      <c r="OWM77" s="156"/>
      <c r="OWN77" s="156"/>
      <c r="OWO77" s="156"/>
      <c r="OWP77" s="156"/>
      <c r="OWQ77" s="156"/>
      <c r="OWR77" s="156"/>
      <c r="OWS77" s="156"/>
      <c r="OWT77" s="156"/>
      <c r="OWU77" s="156"/>
      <c r="OWV77" s="156"/>
      <c r="OWW77" s="156"/>
      <c r="OWX77" s="156"/>
      <c r="OWY77" s="156"/>
      <c r="OWZ77" s="156"/>
      <c r="OXA77" s="156"/>
      <c r="OXB77" s="156"/>
      <c r="OXC77" s="156"/>
      <c r="OXD77" s="156"/>
      <c r="OXE77" s="156"/>
      <c r="OXF77" s="156"/>
      <c r="OXG77" s="156"/>
      <c r="OXH77" s="156"/>
      <c r="OXI77" s="156"/>
      <c r="OXJ77" s="156"/>
      <c r="OXK77" s="156"/>
      <c r="OXL77" s="156"/>
      <c r="OXM77" s="156"/>
      <c r="OXN77" s="156"/>
      <c r="OXO77" s="156"/>
      <c r="OXP77" s="156"/>
      <c r="OXQ77" s="156"/>
      <c r="OXR77" s="156"/>
      <c r="OXS77" s="156"/>
      <c r="OXT77" s="156"/>
      <c r="OXU77" s="156"/>
      <c r="OXV77" s="156"/>
      <c r="OXW77" s="156"/>
      <c r="OXX77" s="156"/>
      <c r="OXY77" s="156"/>
      <c r="OXZ77" s="156"/>
      <c r="OYA77" s="156"/>
      <c r="OYB77" s="156"/>
      <c r="OYC77" s="156"/>
      <c r="OYD77" s="156"/>
      <c r="OYE77" s="156"/>
      <c r="OYF77" s="156"/>
      <c r="OYG77" s="156"/>
      <c r="OYH77" s="156"/>
      <c r="OYI77" s="156"/>
      <c r="OYJ77" s="156"/>
      <c r="OYK77" s="156"/>
      <c r="OYL77" s="156"/>
      <c r="OYM77" s="156"/>
      <c r="OYN77" s="156"/>
      <c r="OYO77" s="156"/>
      <c r="OYP77" s="156"/>
      <c r="OYQ77" s="156"/>
      <c r="OYR77" s="156"/>
      <c r="OYS77" s="156"/>
      <c r="OYT77" s="156"/>
      <c r="OYU77" s="156"/>
      <c r="OYV77" s="156"/>
      <c r="OYW77" s="156"/>
      <c r="OYX77" s="156"/>
      <c r="OYY77" s="156"/>
      <c r="OYZ77" s="156"/>
      <c r="OZA77" s="156"/>
      <c r="OZB77" s="156"/>
      <c r="OZC77" s="156"/>
      <c r="OZD77" s="156"/>
      <c r="OZE77" s="156"/>
      <c r="OZF77" s="156"/>
      <c r="OZG77" s="156"/>
      <c r="OZH77" s="156"/>
      <c r="OZI77" s="156"/>
      <c r="OZJ77" s="156"/>
      <c r="OZK77" s="156"/>
      <c r="OZL77" s="156"/>
      <c r="OZM77" s="156"/>
      <c r="OZN77" s="156"/>
      <c r="OZO77" s="156"/>
      <c r="OZP77" s="156"/>
      <c r="OZQ77" s="156"/>
      <c r="OZR77" s="156"/>
      <c r="OZS77" s="156"/>
      <c r="OZT77" s="156"/>
      <c r="OZU77" s="156"/>
      <c r="OZV77" s="156"/>
      <c r="OZW77" s="156"/>
      <c r="OZX77" s="156"/>
      <c r="OZY77" s="156"/>
      <c r="OZZ77" s="156"/>
      <c r="PAA77" s="156"/>
      <c r="PAB77" s="156"/>
      <c r="PAC77" s="156"/>
      <c r="PAD77" s="156"/>
      <c r="PAE77" s="156"/>
      <c r="PAF77" s="156"/>
      <c r="PAG77" s="156"/>
      <c r="PAH77" s="156"/>
      <c r="PAI77" s="156"/>
      <c r="PAJ77" s="156"/>
      <c r="PAK77" s="156"/>
      <c r="PAL77" s="156"/>
      <c r="PAM77" s="156"/>
      <c r="PAN77" s="156"/>
      <c r="PAO77" s="156"/>
      <c r="PAP77" s="156"/>
      <c r="PAQ77" s="156"/>
      <c r="PAR77" s="156"/>
      <c r="PAS77" s="156"/>
      <c r="PAT77" s="156"/>
      <c r="PAU77" s="156"/>
      <c r="PAV77" s="156"/>
      <c r="PAW77" s="156"/>
      <c r="PAX77" s="156"/>
      <c r="PAY77" s="156"/>
      <c r="PAZ77" s="156"/>
      <c r="PBA77" s="156"/>
      <c r="PBB77" s="156"/>
      <c r="PBC77" s="156"/>
      <c r="PBD77" s="156"/>
      <c r="PBE77" s="156"/>
      <c r="PBF77" s="156"/>
      <c r="PBG77" s="156"/>
      <c r="PBH77" s="156"/>
      <c r="PBI77" s="156"/>
      <c r="PBJ77" s="156"/>
      <c r="PBK77" s="156"/>
      <c r="PBL77" s="156"/>
      <c r="PBM77" s="156"/>
      <c r="PBN77" s="156"/>
      <c r="PBO77" s="156"/>
      <c r="PBP77" s="156"/>
      <c r="PBQ77" s="156"/>
      <c r="PBR77" s="156"/>
      <c r="PBS77" s="156"/>
      <c r="PBT77" s="156"/>
      <c r="PBU77" s="156"/>
      <c r="PBV77" s="156"/>
      <c r="PBW77" s="156"/>
      <c r="PBX77" s="156"/>
      <c r="PBY77" s="156"/>
      <c r="PBZ77" s="156"/>
      <c r="PCA77" s="156"/>
      <c r="PCB77" s="156"/>
      <c r="PCC77" s="156"/>
      <c r="PCD77" s="156"/>
      <c r="PCE77" s="156"/>
      <c r="PCF77" s="156"/>
      <c r="PCG77" s="156"/>
      <c r="PCH77" s="156"/>
      <c r="PCI77" s="156"/>
      <c r="PCJ77" s="156"/>
      <c r="PCK77" s="156"/>
      <c r="PCL77" s="156"/>
      <c r="PCM77" s="156"/>
      <c r="PCN77" s="156"/>
      <c r="PCO77" s="156"/>
      <c r="PCP77" s="156"/>
      <c r="PCQ77" s="156"/>
      <c r="PCR77" s="156"/>
      <c r="PCS77" s="156"/>
      <c r="PCT77" s="156"/>
      <c r="PCU77" s="156"/>
      <c r="PCV77" s="156"/>
      <c r="PCW77" s="156"/>
      <c r="PCX77" s="156"/>
      <c r="PCY77" s="156"/>
      <c r="PCZ77" s="156"/>
      <c r="PDA77" s="156"/>
      <c r="PDB77" s="156"/>
      <c r="PDC77" s="156"/>
      <c r="PDD77" s="156"/>
      <c r="PDE77" s="156"/>
      <c r="PDF77" s="156"/>
      <c r="PDG77" s="156"/>
      <c r="PDH77" s="156"/>
      <c r="PDI77" s="156"/>
      <c r="PDJ77" s="156"/>
      <c r="PDK77" s="156"/>
      <c r="PDL77" s="156"/>
      <c r="PDM77" s="156"/>
      <c r="PDN77" s="156"/>
      <c r="PDO77" s="156"/>
      <c r="PDP77" s="156"/>
      <c r="PDQ77" s="156"/>
      <c r="PDR77" s="156"/>
      <c r="PDS77" s="156"/>
      <c r="PDT77" s="156"/>
      <c r="PDU77" s="156"/>
      <c r="PDV77" s="156"/>
      <c r="PDW77" s="156"/>
      <c r="PDX77" s="156"/>
      <c r="PDY77" s="156"/>
      <c r="PDZ77" s="156"/>
      <c r="PEA77" s="156"/>
      <c r="PEB77" s="156"/>
      <c r="PEC77" s="156"/>
      <c r="PED77" s="156"/>
      <c r="PEE77" s="156"/>
      <c r="PEF77" s="156"/>
      <c r="PEG77" s="156"/>
      <c r="PEH77" s="156"/>
      <c r="PEI77" s="156"/>
      <c r="PEJ77" s="156"/>
      <c r="PEK77" s="156"/>
      <c r="PEL77" s="156"/>
      <c r="PEM77" s="156"/>
      <c r="PEN77" s="156"/>
      <c r="PEO77" s="156"/>
      <c r="PEP77" s="156"/>
      <c r="PEQ77" s="156"/>
      <c r="PER77" s="156"/>
      <c r="PES77" s="156"/>
      <c r="PET77" s="156"/>
      <c r="PEU77" s="156"/>
      <c r="PEV77" s="156"/>
      <c r="PEW77" s="156"/>
      <c r="PEX77" s="156"/>
      <c r="PEY77" s="156"/>
      <c r="PEZ77" s="156"/>
      <c r="PFA77" s="156"/>
      <c r="PFB77" s="156"/>
      <c r="PFC77" s="156"/>
      <c r="PFD77" s="156"/>
      <c r="PFE77" s="156"/>
      <c r="PFF77" s="156"/>
      <c r="PFG77" s="156"/>
      <c r="PFH77" s="156"/>
      <c r="PFI77" s="156"/>
      <c r="PFJ77" s="156"/>
      <c r="PFK77" s="156"/>
      <c r="PFL77" s="156"/>
      <c r="PFM77" s="156"/>
      <c r="PFN77" s="156"/>
      <c r="PFO77" s="156"/>
      <c r="PFP77" s="156"/>
      <c r="PFQ77" s="156"/>
      <c r="PFR77" s="156"/>
      <c r="PFS77" s="156"/>
      <c r="PFT77" s="156"/>
      <c r="PFU77" s="156"/>
      <c r="PFV77" s="156"/>
      <c r="PFW77" s="156"/>
      <c r="PFX77" s="156"/>
      <c r="PFY77" s="156"/>
      <c r="PFZ77" s="156"/>
      <c r="PGA77" s="156"/>
      <c r="PGB77" s="156"/>
      <c r="PGC77" s="156"/>
      <c r="PGD77" s="156"/>
      <c r="PGE77" s="156"/>
      <c r="PGF77" s="156"/>
      <c r="PGG77" s="156"/>
      <c r="PGH77" s="156"/>
      <c r="PGI77" s="156"/>
      <c r="PGJ77" s="156"/>
      <c r="PGK77" s="156"/>
      <c r="PGL77" s="156"/>
      <c r="PGM77" s="156"/>
      <c r="PGN77" s="156"/>
      <c r="PGO77" s="156"/>
      <c r="PGP77" s="156"/>
      <c r="PGQ77" s="156"/>
      <c r="PGR77" s="156"/>
      <c r="PGS77" s="156"/>
      <c r="PGT77" s="156"/>
      <c r="PGU77" s="156"/>
      <c r="PGV77" s="156"/>
      <c r="PGW77" s="156"/>
      <c r="PGX77" s="156"/>
      <c r="PGY77" s="156"/>
      <c r="PGZ77" s="156"/>
      <c r="PHA77" s="156"/>
      <c r="PHB77" s="156"/>
      <c r="PHC77" s="156"/>
      <c r="PHD77" s="156"/>
      <c r="PHE77" s="156"/>
      <c r="PHF77" s="156"/>
      <c r="PHG77" s="156"/>
      <c r="PHH77" s="156"/>
      <c r="PHI77" s="156"/>
      <c r="PHJ77" s="156"/>
      <c r="PHK77" s="156"/>
      <c r="PHL77" s="156"/>
      <c r="PHM77" s="156"/>
      <c r="PHN77" s="156"/>
      <c r="PHO77" s="156"/>
      <c r="PHP77" s="156"/>
      <c r="PHQ77" s="156"/>
      <c r="PHR77" s="156"/>
      <c r="PHS77" s="156"/>
      <c r="PHT77" s="156"/>
      <c r="PHU77" s="156"/>
      <c r="PHV77" s="156"/>
      <c r="PHW77" s="156"/>
      <c r="PHX77" s="156"/>
      <c r="PHY77" s="156"/>
      <c r="PHZ77" s="156"/>
      <c r="PIA77" s="156"/>
      <c r="PIB77" s="156"/>
      <c r="PIC77" s="156"/>
      <c r="PID77" s="156"/>
      <c r="PIE77" s="156"/>
      <c r="PIF77" s="156"/>
      <c r="PIG77" s="156"/>
      <c r="PIH77" s="156"/>
      <c r="PII77" s="156"/>
      <c r="PIJ77" s="156"/>
      <c r="PIK77" s="156"/>
      <c r="PIL77" s="156"/>
      <c r="PIM77" s="156"/>
      <c r="PIN77" s="156"/>
      <c r="PIO77" s="156"/>
      <c r="PIP77" s="156"/>
      <c r="PIQ77" s="156"/>
      <c r="PIR77" s="156"/>
      <c r="PIS77" s="156"/>
      <c r="PIT77" s="156"/>
      <c r="PIU77" s="156"/>
      <c r="PIV77" s="156"/>
      <c r="PIW77" s="156"/>
      <c r="PIX77" s="156"/>
      <c r="PIY77" s="156"/>
      <c r="PIZ77" s="156"/>
      <c r="PJA77" s="156"/>
      <c r="PJB77" s="156"/>
      <c r="PJC77" s="156"/>
      <c r="PJD77" s="156"/>
      <c r="PJE77" s="156"/>
      <c r="PJF77" s="156"/>
      <c r="PJG77" s="156"/>
      <c r="PJH77" s="156"/>
      <c r="PJI77" s="156"/>
      <c r="PJJ77" s="156"/>
      <c r="PJK77" s="156"/>
      <c r="PJL77" s="156"/>
      <c r="PJM77" s="156"/>
      <c r="PJN77" s="156"/>
      <c r="PJO77" s="156"/>
      <c r="PJP77" s="156"/>
      <c r="PJQ77" s="156"/>
      <c r="PJR77" s="156"/>
      <c r="PJS77" s="156"/>
      <c r="PJT77" s="156"/>
      <c r="PJU77" s="156"/>
      <c r="PJV77" s="156"/>
      <c r="PJW77" s="156"/>
      <c r="PJX77" s="156"/>
      <c r="PJY77" s="156"/>
      <c r="PJZ77" s="156"/>
      <c r="PKA77" s="156"/>
      <c r="PKB77" s="156"/>
      <c r="PKC77" s="156"/>
      <c r="PKD77" s="156"/>
      <c r="PKE77" s="156"/>
      <c r="PKF77" s="156"/>
      <c r="PKG77" s="156"/>
      <c r="PKH77" s="156"/>
      <c r="PKI77" s="156"/>
      <c r="PKJ77" s="156"/>
      <c r="PKK77" s="156"/>
      <c r="PKL77" s="156"/>
      <c r="PKM77" s="156"/>
      <c r="PKN77" s="156"/>
      <c r="PKO77" s="156"/>
      <c r="PKP77" s="156"/>
      <c r="PKQ77" s="156"/>
      <c r="PKR77" s="156"/>
      <c r="PKS77" s="156"/>
      <c r="PKT77" s="156"/>
      <c r="PKU77" s="156"/>
      <c r="PKV77" s="156"/>
      <c r="PKW77" s="156"/>
      <c r="PKX77" s="156"/>
      <c r="PKY77" s="156"/>
      <c r="PKZ77" s="156"/>
      <c r="PLA77" s="156"/>
      <c r="PLB77" s="156"/>
      <c r="PLC77" s="156"/>
      <c r="PLD77" s="156"/>
      <c r="PLE77" s="156"/>
      <c r="PLF77" s="156"/>
      <c r="PLG77" s="156"/>
      <c r="PLH77" s="156"/>
      <c r="PLI77" s="156"/>
      <c r="PLJ77" s="156"/>
      <c r="PLK77" s="156"/>
      <c r="PLL77" s="156"/>
      <c r="PLM77" s="156"/>
      <c r="PLN77" s="156"/>
      <c r="PLO77" s="156"/>
      <c r="PLP77" s="156"/>
      <c r="PLQ77" s="156"/>
      <c r="PLR77" s="156"/>
      <c r="PLS77" s="156"/>
      <c r="PLT77" s="156"/>
      <c r="PLU77" s="156"/>
      <c r="PLV77" s="156"/>
      <c r="PLW77" s="156"/>
      <c r="PLX77" s="156"/>
      <c r="PLY77" s="156"/>
      <c r="PLZ77" s="156"/>
      <c r="PMA77" s="156"/>
      <c r="PMB77" s="156"/>
      <c r="PMC77" s="156"/>
      <c r="PMD77" s="156"/>
      <c r="PME77" s="156"/>
      <c r="PMF77" s="156"/>
      <c r="PMG77" s="156"/>
      <c r="PMH77" s="156"/>
      <c r="PMI77" s="156"/>
      <c r="PMJ77" s="156"/>
      <c r="PMK77" s="156"/>
      <c r="PML77" s="156"/>
      <c r="PMM77" s="156"/>
      <c r="PMN77" s="156"/>
      <c r="PMO77" s="156"/>
      <c r="PMP77" s="156"/>
      <c r="PMQ77" s="156"/>
      <c r="PMR77" s="156"/>
      <c r="PMS77" s="156"/>
      <c r="PMT77" s="156"/>
      <c r="PMU77" s="156"/>
      <c r="PMV77" s="156"/>
      <c r="PMW77" s="156"/>
      <c r="PMX77" s="156"/>
      <c r="PMY77" s="156"/>
      <c r="PMZ77" s="156"/>
      <c r="PNA77" s="156"/>
      <c r="PNB77" s="156"/>
      <c r="PNC77" s="156"/>
      <c r="PND77" s="156"/>
      <c r="PNE77" s="156"/>
      <c r="PNF77" s="156"/>
      <c r="PNG77" s="156"/>
      <c r="PNH77" s="156"/>
      <c r="PNI77" s="156"/>
      <c r="PNJ77" s="156"/>
      <c r="PNK77" s="156"/>
      <c r="PNL77" s="156"/>
      <c r="PNM77" s="156"/>
      <c r="PNN77" s="156"/>
      <c r="PNO77" s="156"/>
      <c r="PNP77" s="156"/>
      <c r="PNQ77" s="156"/>
      <c r="PNR77" s="156"/>
      <c r="PNS77" s="156"/>
      <c r="PNT77" s="156"/>
      <c r="PNU77" s="156"/>
      <c r="PNV77" s="156"/>
      <c r="PNW77" s="156"/>
      <c r="PNX77" s="156"/>
      <c r="PNY77" s="156"/>
      <c r="PNZ77" s="156"/>
      <c r="POA77" s="156"/>
      <c r="POB77" s="156"/>
      <c r="POC77" s="156"/>
      <c r="POD77" s="156"/>
      <c r="POE77" s="156"/>
      <c r="POF77" s="156"/>
      <c r="POG77" s="156"/>
      <c r="POH77" s="156"/>
      <c r="POI77" s="156"/>
      <c r="POJ77" s="156"/>
      <c r="POK77" s="156"/>
      <c r="POL77" s="156"/>
      <c r="POM77" s="156"/>
      <c r="PON77" s="156"/>
      <c r="POO77" s="156"/>
      <c r="POP77" s="156"/>
      <c r="POQ77" s="156"/>
      <c r="POR77" s="156"/>
      <c r="POS77" s="156"/>
      <c r="POT77" s="156"/>
      <c r="POU77" s="156"/>
      <c r="POV77" s="156"/>
      <c r="POW77" s="156"/>
      <c r="POX77" s="156"/>
      <c r="POY77" s="156"/>
      <c r="POZ77" s="156"/>
      <c r="PPA77" s="156"/>
      <c r="PPB77" s="156"/>
      <c r="PPC77" s="156"/>
      <c r="PPD77" s="156"/>
      <c r="PPE77" s="156"/>
      <c r="PPF77" s="156"/>
      <c r="PPG77" s="156"/>
      <c r="PPH77" s="156"/>
      <c r="PPI77" s="156"/>
      <c r="PPJ77" s="156"/>
      <c r="PPK77" s="156"/>
      <c r="PPL77" s="156"/>
      <c r="PPM77" s="156"/>
      <c r="PPN77" s="156"/>
      <c r="PPO77" s="156"/>
      <c r="PPP77" s="156"/>
      <c r="PPQ77" s="156"/>
      <c r="PPR77" s="156"/>
      <c r="PPS77" s="156"/>
      <c r="PPT77" s="156"/>
      <c r="PPU77" s="156"/>
      <c r="PPV77" s="156"/>
      <c r="PPW77" s="156"/>
      <c r="PPX77" s="156"/>
      <c r="PPY77" s="156"/>
      <c r="PPZ77" s="156"/>
      <c r="PQA77" s="156"/>
      <c r="PQB77" s="156"/>
      <c r="PQC77" s="156"/>
      <c r="PQD77" s="156"/>
      <c r="PQE77" s="156"/>
      <c r="PQF77" s="156"/>
      <c r="PQG77" s="156"/>
      <c r="PQH77" s="156"/>
      <c r="PQI77" s="156"/>
      <c r="PQJ77" s="156"/>
      <c r="PQK77" s="156"/>
      <c r="PQL77" s="156"/>
      <c r="PQM77" s="156"/>
      <c r="PQN77" s="156"/>
      <c r="PQO77" s="156"/>
      <c r="PQP77" s="156"/>
      <c r="PQQ77" s="156"/>
      <c r="PQR77" s="156"/>
      <c r="PQS77" s="156"/>
      <c r="PQT77" s="156"/>
      <c r="PQU77" s="156"/>
      <c r="PQV77" s="156"/>
      <c r="PQW77" s="156"/>
      <c r="PQX77" s="156"/>
      <c r="PQY77" s="156"/>
      <c r="PQZ77" s="156"/>
      <c r="PRA77" s="156"/>
      <c r="PRB77" s="156"/>
      <c r="PRC77" s="156"/>
      <c r="PRD77" s="156"/>
      <c r="PRE77" s="156"/>
      <c r="PRF77" s="156"/>
      <c r="PRG77" s="156"/>
      <c r="PRH77" s="156"/>
      <c r="PRI77" s="156"/>
      <c r="PRJ77" s="156"/>
      <c r="PRK77" s="156"/>
      <c r="PRL77" s="156"/>
      <c r="PRM77" s="156"/>
      <c r="PRN77" s="156"/>
      <c r="PRO77" s="156"/>
      <c r="PRP77" s="156"/>
      <c r="PRQ77" s="156"/>
      <c r="PRR77" s="156"/>
      <c r="PRS77" s="156"/>
      <c r="PRT77" s="156"/>
      <c r="PRU77" s="156"/>
      <c r="PRV77" s="156"/>
      <c r="PRW77" s="156"/>
      <c r="PRX77" s="156"/>
      <c r="PRY77" s="156"/>
      <c r="PRZ77" s="156"/>
      <c r="PSA77" s="156"/>
      <c r="PSB77" s="156"/>
      <c r="PSC77" s="156"/>
      <c r="PSD77" s="156"/>
      <c r="PSE77" s="156"/>
      <c r="PSF77" s="156"/>
      <c r="PSG77" s="156"/>
      <c r="PSH77" s="156"/>
      <c r="PSI77" s="156"/>
      <c r="PSJ77" s="156"/>
      <c r="PSK77" s="156"/>
      <c r="PSL77" s="156"/>
      <c r="PSM77" s="156"/>
      <c r="PSN77" s="156"/>
      <c r="PSO77" s="156"/>
      <c r="PSP77" s="156"/>
      <c r="PSQ77" s="156"/>
      <c r="PSR77" s="156"/>
      <c r="PSS77" s="156"/>
      <c r="PST77" s="156"/>
      <c r="PSU77" s="156"/>
      <c r="PSV77" s="156"/>
      <c r="PSW77" s="156"/>
      <c r="PSX77" s="156"/>
      <c r="PSY77" s="156"/>
      <c r="PSZ77" s="156"/>
      <c r="PTA77" s="156"/>
      <c r="PTB77" s="156"/>
      <c r="PTC77" s="156"/>
      <c r="PTD77" s="156"/>
      <c r="PTE77" s="156"/>
      <c r="PTF77" s="156"/>
      <c r="PTG77" s="156"/>
      <c r="PTH77" s="156"/>
      <c r="PTI77" s="156"/>
      <c r="PTJ77" s="156"/>
      <c r="PTK77" s="156"/>
      <c r="PTL77" s="156"/>
      <c r="PTM77" s="156"/>
      <c r="PTN77" s="156"/>
      <c r="PTO77" s="156"/>
      <c r="PTP77" s="156"/>
      <c r="PTQ77" s="156"/>
      <c r="PTR77" s="156"/>
      <c r="PTS77" s="156"/>
      <c r="PTT77" s="156"/>
      <c r="PTU77" s="156"/>
      <c r="PTV77" s="156"/>
      <c r="PTW77" s="156"/>
      <c r="PTX77" s="156"/>
      <c r="PTY77" s="156"/>
      <c r="PTZ77" s="156"/>
      <c r="PUA77" s="156"/>
      <c r="PUB77" s="156"/>
      <c r="PUC77" s="156"/>
      <c r="PUD77" s="156"/>
      <c r="PUE77" s="156"/>
      <c r="PUF77" s="156"/>
      <c r="PUG77" s="156"/>
      <c r="PUH77" s="156"/>
      <c r="PUI77" s="156"/>
      <c r="PUJ77" s="156"/>
      <c r="PUK77" s="156"/>
      <c r="PUL77" s="156"/>
      <c r="PUM77" s="156"/>
      <c r="PUN77" s="156"/>
      <c r="PUO77" s="156"/>
      <c r="PUP77" s="156"/>
      <c r="PUQ77" s="156"/>
      <c r="PUR77" s="156"/>
      <c r="PUS77" s="156"/>
      <c r="PUT77" s="156"/>
      <c r="PUU77" s="156"/>
      <c r="PUV77" s="156"/>
      <c r="PUW77" s="156"/>
      <c r="PUX77" s="156"/>
      <c r="PUY77" s="156"/>
      <c r="PUZ77" s="156"/>
      <c r="PVA77" s="156"/>
      <c r="PVB77" s="156"/>
      <c r="PVC77" s="156"/>
      <c r="PVD77" s="156"/>
      <c r="PVE77" s="156"/>
      <c r="PVF77" s="156"/>
      <c r="PVG77" s="156"/>
      <c r="PVH77" s="156"/>
      <c r="PVI77" s="156"/>
      <c r="PVJ77" s="156"/>
      <c r="PVK77" s="156"/>
      <c r="PVL77" s="156"/>
      <c r="PVM77" s="156"/>
      <c r="PVN77" s="156"/>
      <c r="PVO77" s="156"/>
      <c r="PVP77" s="156"/>
      <c r="PVQ77" s="156"/>
      <c r="PVR77" s="156"/>
      <c r="PVS77" s="156"/>
      <c r="PVT77" s="156"/>
      <c r="PVU77" s="156"/>
      <c r="PVV77" s="156"/>
      <c r="PVW77" s="156"/>
      <c r="PVX77" s="156"/>
      <c r="PVY77" s="156"/>
      <c r="PVZ77" s="156"/>
      <c r="PWA77" s="156"/>
      <c r="PWB77" s="156"/>
      <c r="PWC77" s="156"/>
      <c r="PWD77" s="156"/>
      <c r="PWE77" s="156"/>
      <c r="PWF77" s="156"/>
      <c r="PWG77" s="156"/>
      <c r="PWH77" s="156"/>
      <c r="PWI77" s="156"/>
      <c r="PWJ77" s="156"/>
      <c r="PWK77" s="156"/>
      <c r="PWL77" s="156"/>
      <c r="PWM77" s="156"/>
      <c r="PWN77" s="156"/>
      <c r="PWO77" s="156"/>
      <c r="PWP77" s="156"/>
      <c r="PWQ77" s="156"/>
      <c r="PWR77" s="156"/>
      <c r="PWS77" s="156"/>
      <c r="PWT77" s="156"/>
      <c r="PWU77" s="156"/>
      <c r="PWV77" s="156"/>
      <c r="PWW77" s="156"/>
      <c r="PWX77" s="156"/>
      <c r="PWY77" s="156"/>
      <c r="PWZ77" s="156"/>
      <c r="PXA77" s="156"/>
      <c r="PXB77" s="156"/>
      <c r="PXC77" s="156"/>
      <c r="PXD77" s="156"/>
      <c r="PXE77" s="156"/>
      <c r="PXF77" s="156"/>
      <c r="PXG77" s="156"/>
      <c r="PXH77" s="156"/>
      <c r="PXI77" s="156"/>
      <c r="PXJ77" s="156"/>
      <c r="PXK77" s="156"/>
      <c r="PXL77" s="156"/>
      <c r="PXM77" s="156"/>
      <c r="PXN77" s="156"/>
      <c r="PXO77" s="156"/>
      <c r="PXP77" s="156"/>
      <c r="PXQ77" s="156"/>
      <c r="PXR77" s="156"/>
      <c r="PXS77" s="156"/>
      <c r="PXT77" s="156"/>
      <c r="PXU77" s="156"/>
      <c r="PXV77" s="156"/>
      <c r="PXW77" s="156"/>
      <c r="PXX77" s="156"/>
      <c r="PXY77" s="156"/>
      <c r="PXZ77" s="156"/>
      <c r="PYA77" s="156"/>
      <c r="PYB77" s="156"/>
      <c r="PYC77" s="156"/>
      <c r="PYD77" s="156"/>
      <c r="PYE77" s="156"/>
      <c r="PYF77" s="156"/>
      <c r="PYG77" s="156"/>
      <c r="PYH77" s="156"/>
      <c r="PYI77" s="156"/>
      <c r="PYJ77" s="156"/>
      <c r="PYK77" s="156"/>
      <c r="PYL77" s="156"/>
      <c r="PYM77" s="156"/>
      <c r="PYN77" s="156"/>
      <c r="PYO77" s="156"/>
      <c r="PYP77" s="156"/>
      <c r="PYQ77" s="156"/>
      <c r="PYR77" s="156"/>
      <c r="PYS77" s="156"/>
      <c r="PYT77" s="156"/>
      <c r="PYU77" s="156"/>
      <c r="PYV77" s="156"/>
      <c r="PYW77" s="156"/>
      <c r="PYX77" s="156"/>
      <c r="PYY77" s="156"/>
      <c r="PYZ77" s="156"/>
      <c r="PZA77" s="156"/>
      <c r="PZB77" s="156"/>
      <c r="PZC77" s="156"/>
      <c r="PZD77" s="156"/>
      <c r="PZE77" s="156"/>
      <c r="PZF77" s="156"/>
      <c r="PZG77" s="156"/>
      <c r="PZH77" s="156"/>
      <c r="PZI77" s="156"/>
      <c r="PZJ77" s="156"/>
      <c r="PZK77" s="156"/>
      <c r="PZL77" s="156"/>
      <c r="PZM77" s="156"/>
      <c r="PZN77" s="156"/>
      <c r="PZO77" s="156"/>
      <c r="PZP77" s="156"/>
      <c r="PZQ77" s="156"/>
      <c r="PZR77" s="156"/>
      <c r="PZS77" s="156"/>
      <c r="PZT77" s="156"/>
      <c r="PZU77" s="156"/>
      <c r="PZV77" s="156"/>
      <c r="PZW77" s="156"/>
      <c r="PZX77" s="156"/>
      <c r="PZY77" s="156"/>
      <c r="PZZ77" s="156"/>
      <c r="QAA77" s="156"/>
      <c r="QAB77" s="156"/>
      <c r="QAC77" s="156"/>
      <c r="QAD77" s="156"/>
      <c r="QAE77" s="156"/>
      <c r="QAF77" s="156"/>
      <c r="QAG77" s="156"/>
      <c r="QAH77" s="156"/>
      <c r="QAI77" s="156"/>
      <c r="QAJ77" s="156"/>
      <c r="QAK77" s="156"/>
      <c r="QAL77" s="156"/>
      <c r="QAM77" s="156"/>
      <c r="QAN77" s="156"/>
      <c r="QAO77" s="156"/>
      <c r="QAP77" s="156"/>
      <c r="QAQ77" s="156"/>
      <c r="QAR77" s="156"/>
      <c r="QAS77" s="156"/>
      <c r="QAT77" s="156"/>
      <c r="QAU77" s="156"/>
      <c r="QAV77" s="156"/>
      <c r="QAW77" s="156"/>
      <c r="QAX77" s="156"/>
      <c r="QAY77" s="156"/>
      <c r="QAZ77" s="156"/>
      <c r="QBA77" s="156"/>
      <c r="QBB77" s="156"/>
      <c r="QBC77" s="156"/>
      <c r="QBD77" s="156"/>
      <c r="QBE77" s="156"/>
      <c r="QBF77" s="156"/>
      <c r="QBG77" s="156"/>
      <c r="QBH77" s="156"/>
      <c r="QBI77" s="156"/>
      <c r="QBJ77" s="156"/>
      <c r="QBK77" s="156"/>
      <c r="QBL77" s="156"/>
      <c r="QBM77" s="156"/>
      <c r="QBN77" s="156"/>
      <c r="QBO77" s="156"/>
      <c r="QBP77" s="156"/>
      <c r="QBQ77" s="156"/>
      <c r="QBR77" s="156"/>
      <c r="QBS77" s="156"/>
      <c r="QBT77" s="156"/>
      <c r="QBU77" s="156"/>
      <c r="QBV77" s="156"/>
      <c r="QBW77" s="156"/>
      <c r="QBX77" s="156"/>
      <c r="QBY77" s="156"/>
      <c r="QBZ77" s="156"/>
      <c r="QCA77" s="156"/>
      <c r="QCB77" s="156"/>
      <c r="QCC77" s="156"/>
      <c r="QCD77" s="156"/>
      <c r="QCE77" s="156"/>
      <c r="QCF77" s="156"/>
      <c r="QCG77" s="156"/>
      <c r="QCH77" s="156"/>
      <c r="QCI77" s="156"/>
      <c r="QCJ77" s="156"/>
      <c r="QCK77" s="156"/>
      <c r="QCL77" s="156"/>
      <c r="QCM77" s="156"/>
      <c r="QCN77" s="156"/>
      <c r="QCO77" s="156"/>
      <c r="QCP77" s="156"/>
      <c r="QCQ77" s="156"/>
      <c r="QCR77" s="156"/>
      <c r="QCS77" s="156"/>
      <c r="QCT77" s="156"/>
      <c r="QCU77" s="156"/>
      <c r="QCV77" s="156"/>
      <c r="QCW77" s="156"/>
      <c r="QCX77" s="156"/>
      <c r="QCY77" s="156"/>
      <c r="QCZ77" s="156"/>
      <c r="QDA77" s="156"/>
      <c r="QDB77" s="156"/>
      <c r="QDC77" s="156"/>
      <c r="QDD77" s="156"/>
      <c r="QDE77" s="156"/>
      <c r="QDF77" s="156"/>
      <c r="QDG77" s="156"/>
      <c r="QDH77" s="156"/>
      <c r="QDI77" s="156"/>
      <c r="QDJ77" s="156"/>
      <c r="QDK77" s="156"/>
      <c r="QDL77" s="156"/>
      <c r="QDM77" s="156"/>
      <c r="QDN77" s="156"/>
      <c r="QDO77" s="156"/>
      <c r="QDP77" s="156"/>
      <c r="QDQ77" s="156"/>
      <c r="QDR77" s="156"/>
      <c r="QDS77" s="156"/>
      <c r="QDT77" s="156"/>
      <c r="QDU77" s="156"/>
      <c r="QDV77" s="156"/>
      <c r="QDW77" s="156"/>
      <c r="QDX77" s="156"/>
      <c r="QDY77" s="156"/>
      <c r="QDZ77" s="156"/>
      <c r="QEA77" s="156"/>
      <c r="QEB77" s="156"/>
      <c r="QEC77" s="156"/>
      <c r="QED77" s="156"/>
      <c r="QEE77" s="156"/>
      <c r="QEF77" s="156"/>
      <c r="QEG77" s="156"/>
      <c r="QEH77" s="156"/>
      <c r="QEI77" s="156"/>
      <c r="QEJ77" s="156"/>
      <c r="QEK77" s="156"/>
      <c r="QEL77" s="156"/>
      <c r="QEM77" s="156"/>
      <c r="QEN77" s="156"/>
      <c r="QEO77" s="156"/>
      <c r="QEP77" s="156"/>
      <c r="QEQ77" s="156"/>
      <c r="QER77" s="156"/>
      <c r="QES77" s="156"/>
      <c r="QET77" s="156"/>
      <c r="QEU77" s="156"/>
      <c r="QEV77" s="156"/>
      <c r="QEW77" s="156"/>
      <c r="QEX77" s="156"/>
      <c r="QEY77" s="156"/>
      <c r="QEZ77" s="156"/>
      <c r="QFA77" s="156"/>
      <c r="QFB77" s="156"/>
      <c r="QFC77" s="156"/>
      <c r="QFD77" s="156"/>
      <c r="QFE77" s="156"/>
      <c r="QFF77" s="156"/>
      <c r="QFG77" s="156"/>
      <c r="QFH77" s="156"/>
      <c r="QFI77" s="156"/>
      <c r="QFJ77" s="156"/>
      <c r="QFK77" s="156"/>
      <c r="QFL77" s="156"/>
      <c r="QFM77" s="156"/>
      <c r="QFN77" s="156"/>
      <c r="QFO77" s="156"/>
      <c r="QFP77" s="156"/>
      <c r="QFQ77" s="156"/>
      <c r="QFR77" s="156"/>
      <c r="QFS77" s="156"/>
      <c r="QFT77" s="156"/>
      <c r="QFU77" s="156"/>
      <c r="QFV77" s="156"/>
      <c r="QFW77" s="156"/>
      <c r="QFX77" s="156"/>
      <c r="QFY77" s="156"/>
      <c r="QFZ77" s="156"/>
      <c r="QGA77" s="156"/>
      <c r="QGB77" s="156"/>
      <c r="QGC77" s="156"/>
      <c r="QGD77" s="156"/>
      <c r="QGE77" s="156"/>
      <c r="QGF77" s="156"/>
      <c r="QGG77" s="156"/>
      <c r="QGH77" s="156"/>
      <c r="QGI77" s="156"/>
      <c r="QGJ77" s="156"/>
      <c r="QGK77" s="156"/>
      <c r="QGL77" s="156"/>
      <c r="QGM77" s="156"/>
      <c r="QGN77" s="156"/>
      <c r="QGO77" s="156"/>
      <c r="QGP77" s="156"/>
      <c r="QGQ77" s="156"/>
      <c r="QGR77" s="156"/>
      <c r="QGS77" s="156"/>
      <c r="QGT77" s="156"/>
      <c r="QGU77" s="156"/>
      <c r="QGV77" s="156"/>
      <c r="QGW77" s="156"/>
      <c r="QGX77" s="156"/>
      <c r="QGY77" s="156"/>
      <c r="QGZ77" s="156"/>
      <c r="QHA77" s="156"/>
      <c r="QHB77" s="156"/>
      <c r="QHC77" s="156"/>
      <c r="QHD77" s="156"/>
      <c r="QHE77" s="156"/>
      <c r="QHF77" s="156"/>
      <c r="QHG77" s="156"/>
      <c r="QHH77" s="156"/>
      <c r="QHI77" s="156"/>
      <c r="QHJ77" s="156"/>
      <c r="QHK77" s="156"/>
      <c r="QHL77" s="156"/>
      <c r="QHM77" s="156"/>
      <c r="QHN77" s="156"/>
      <c r="QHO77" s="156"/>
      <c r="QHP77" s="156"/>
      <c r="QHQ77" s="156"/>
      <c r="QHR77" s="156"/>
      <c r="QHS77" s="156"/>
      <c r="QHT77" s="156"/>
      <c r="QHU77" s="156"/>
      <c r="QHV77" s="156"/>
      <c r="QHW77" s="156"/>
      <c r="QHX77" s="156"/>
      <c r="QHY77" s="156"/>
      <c r="QHZ77" s="156"/>
      <c r="QIA77" s="156"/>
      <c r="QIB77" s="156"/>
      <c r="QIC77" s="156"/>
      <c r="QID77" s="156"/>
      <c r="QIE77" s="156"/>
      <c r="QIF77" s="156"/>
      <c r="QIG77" s="156"/>
      <c r="QIH77" s="156"/>
      <c r="QII77" s="156"/>
      <c r="QIJ77" s="156"/>
      <c r="QIK77" s="156"/>
      <c r="QIL77" s="156"/>
      <c r="QIM77" s="156"/>
      <c r="QIN77" s="156"/>
      <c r="QIO77" s="156"/>
      <c r="QIP77" s="156"/>
      <c r="QIQ77" s="156"/>
      <c r="QIR77" s="156"/>
      <c r="QIS77" s="156"/>
      <c r="QIT77" s="156"/>
      <c r="QIU77" s="156"/>
      <c r="QIV77" s="156"/>
      <c r="QIW77" s="156"/>
      <c r="QIX77" s="156"/>
      <c r="QIY77" s="156"/>
      <c r="QIZ77" s="156"/>
      <c r="QJA77" s="156"/>
      <c r="QJB77" s="156"/>
      <c r="QJC77" s="156"/>
      <c r="QJD77" s="156"/>
      <c r="QJE77" s="156"/>
      <c r="QJF77" s="156"/>
      <c r="QJG77" s="156"/>
      <c r="QJH77" s="156"/>
      <c r="QJI77" s="156"/>
      <c r="QJJ77" s="156"/>
      <c r="QJK77" s="156"/>
      <c r="QJL77" s="156"/>
      <c r="QJM77" s="156"/>
      <c r="QJN77" s="156"/>
      <c r="QJO77" s="156"/>
      <c r="QJP77" s="156"/>
      <c r="QJQ77" s="156"/>
      <c r="QJR77" s="156"/>
      <c r="QJS77" s="156"/>
      <c r="QJT77" s="156"/>
      <c r="QJU77" s="156"/>
      <c r="QJV77" s="156"/>
      <c r="QJW77" s="156"/>
      <c r="QJX77" s="156"/>
      <c r="QJY77" s="156"/>
      <c r="QJZ77" s="156"/>
      <c r="QKA77" s="156"/>
      <c r="QKB77" s="156"/>
      <c r="QKC77" s="156"/>
      <c r="QKD77" s="156"/>
      <c r="QKE77" s="156"/>
      <c r="QKF77" s="156"/>
      <c r="QKG77" s="156"/>
      <c r="QKH77" s="156"/>
      <c r="QKI77" s="156"/>
      <c r="QKJ77" s="156"/>
      <c r="QKK77" s="156"/>
      <c r="QKL77" s="156"/>
      <c r="QKM77" s="156"/>
      <c r="QKN77" s="156"/>
      <c r="QKO77" s="156"/>
      <c r="QKP77" s="156"/>
      <c r="QKQ77" s="156"/>
      <c r="QKR77" s="156"/>
      <c r="QKS77" s="156"/>
      <c r="QKT77" s="156"/>
      <c r="QKU77" s="156"/>
      <c r="QKV77" s="156"/>
      <c r="QKW77" s="156"/>
      <c r="QKX77" s="156"/>
      <c r="QKY77" s="156"/>
      <c r="QKZ77" s="156"/>
      <c r="QLA77" s="156"/>
      <c r="QLB77" s="156"/>
      <c r="QLC77" s="156"/>
      <c r="QLD77" s="156"/>
      <c r="QLE77" s="156"/>
      <c r="QLF77" s="156"/>
      <c r="QLG77" s="156"/>
      <c r="QLH77" s="156"/>
      <c r="QLI77" s="156"/>
      <c r="QLJ77" s="156"/>
      <c r="QLK77" s="156"/>
      <c r="QLL77" s="156"/>
      <c r="QLM77" s="156"/>
      <c r="QLN77" s="156"/>
      <c r="QLO77" s="156"/>
      <c r="QLP77" s="156"/>
      <c r="QLQ77" s="156"/>
      <c r="QLR77" s="156"/>
      <c r="QLS77" s="156"/>
      <c r="QLT77" s="156"/>
      <c r="QLU77" s="156"/>
      <c r="QLV77" s="156"/>
      <c r="QLW77" s="156"/>
      <c r="QLX77" s="156"/>
      <c r="QLY77" s="156"/>
      <c r="QLZ77" s="156"/>
      <c r="QMA77" s="156"/>
      <c r="QMB77" s="156"/>
      <c r="QMC77" s="156"/>
      <c r="QMD77" s="156"/>
      <c r="QME77" s="156"/>
      <c r="QMF77" s="156"/>
      <c r="QMG77" s="156"/>
      <c r="QMH77" s="156"/>
      <c r="QMI77" s="156"/>
      <c r="QMJ77" s="156"/>
      <c r="QMK77" s="156"/>
      <c r="QML77" s="156"/>
      <c r="QMM77" s="156"/>
      <c r="QMN77" s="156"/>
      <c r="QMO77" s="156"/>
      <c r="QMP77" s="156"/>
      <c r="QMQ77" s="156"/>
      <c r="QMR77" s="156"/>
      <c r="QMS77" s="156"/>
      <c r="QMT77" s="156"/>
      <c r="QMU77" s="156"/>
      <c r="QMV77" s="156"/>
      <c r="QMW77" s="156"/>
      <c r="QMX77" s="156"/>
      <c r="QMY77" s="156"/>
      <c r="QMZ77" s="156"/>
      <c r="QNA77" s="156"/>
      <c r="QNB77" s="156"/>
      <c r="QNC77" s="156"/>
      <c r="QND77" s="156"/>
      <c r="QNE77" s="156"/>
      <c r="QNF77" s="156"/>
      <c r="QNG77" s="156"/>
      <c r="QNH77" s="156"/>
      <c r="QNI77" s="156"/>
      <c r="QNJ77" s="156"/>
      <c r="QNK77" s="156"/>
      <c r="QNL77" s="156"/>
      <c r="QNM77" s="156"/>
      <c r="QNN77" s="156"/>
      <c r="QNO77" s="156"/>
      <c r="QNP77" s="156"/>
      <c r="QNQ77" s="156"/>
      <c r="QNR77" s="156"/>
      <c r="QNS77" s="156"/>
      <c r="QNT77" s="156"/>
      <c r="QNU77" s="156"/>
      <c r="QNV77" s="156"/>
      <c r="QNW77" s="156"/>
      <c r="QNX77" s="156"/>
      <c r="QNY77" s="156"/>
      <c r="QNZ77" s="156"/>
      <c r="QOA77" s="156"/>
      <c r="QOB77" s="156"/>
      <c r="QOC77" s="156"/>
      <c r="QOD77" s="156"/>
      <c r="QOE77" s="156"/>
      <c r="QOF77" s="156"/>
      <c r="QOG77" s="156"/>
      <c r="QOH77" s="156"/>
      <c r="QOI77" s="156"/>
      <c r="QOJ77" s="156"/>
      <c r="QOK77" s="156"/>
      <c r="QOL77" s="156"/>
      <c r="QOM77" s="156"/>
      <c r="QON77" s="156"/>
      <c r="QOO77" s="156"/>
      <c r="QOP77" s="156"/>
      <c r="QOQ77" s="156"/>
      <c r="QOR77" s="156"/>
      <c r="QOS77" s="156"/>
      <c r="QOT77" s="156"/>
      <c r="QOU77" s="156"/>
      <c r="QOV77" s="156"/>
      <c r="QOW77" s="156"/>
      <c r="QOX77" s="156"/>
      <c r="QOY77" s="156"/>
      <c r="QOZ77" s="156"/>
      <c r="QPA77" s="156"/>
      <c r="QPB77" s="156"/>
      <c r="QPC77" s="156"/>
      <c r="QPD77" s="156"/>
      <c r="QPE77" s="156"/>
      <c r="QPF77" s="156"/>
      <c r="QPG77" s="156"/>
      <c r="QPH77" s="156"/>
      <c r="QPI77" s="156"/>
      <c r="QPJ77" s="156"/>
      <c r="QPK77" s="156"/>
      <c r="QPL77" s="156"/>
      <c r="QPM77" s="156"/>
      <c r="QPN77" s="156"/>
      <c r="QPO77" s="156"/>
      <c r="QPP77" s="156"/>
      <c r="QPQ77" s="156"/>
      <c r="QPR77" s="156"/>
      <c r="QPS77" s="156"/>
      <c r="QPT77" s="156"/>
      <c r="QPU77" s="156"/>
      <c r="QPV77" s="156"/>
      <c r="QPW77" s="156"/>
      <c r="QPX77" s="156"/>
      <c r="QPY77" s="156"/>
      <c r="QPZ77" s="156"/>
      <c r="QQA77" s="156"/>
      <c r="QQB77" s="156"/>
      <c r="QQC77" s="156"/>
      <c r="QQD77" s="156"/>
      <c r="QQE77" s="156"/>
      <c r="QQF77" s="156"/>
      <c r="QQG77" s="156"/>
      <c r="QQH77" s="156"/>
      <c r="QQI77" s="156"/>
      <c r="QQJ77" s="156"/>
      <c r="QQK77" s="156"/>
      <c r="QQL77" s="156"/>
      <c r="QQM77" s="156"/>
      <c r="QQN77" s="156"/>
      <c r="QQO77" s="156"/>
      <c r="QQP77" s="156"/>
      <c r="QQQ77" s="156"/>
      <c r="QQR77" s="156"/>
      <c r="QQS77" s="156"/>
      <c r="QQT77" s="156"/>
      <c r="QQU77" s="156"/>
      <c r="QQV77" s="156"/>
      <c r="QQW77" s="156"/>
      <c r="QQX77" s="156"/>
      <c r="QQY77" s="156"/>
      <c r="QQZ77" s="156"/>
      <c r="QRA77" s="156"/>
      <c r="QRB77" s="156"/>
      <c r="QRC77" s="156"/>
      <c r="QRD77" s="156"/>
      <c r="QRE77" s="156"/>
      <c r="QRF77" s="156"/>
      <c r="QRG77" s="156"/>
      <c r="QRH77" s="156"/>
      <c r="QRI77" s="156"/>
      <c r="QRJ77" s="156"/>
      <c r="QRK77" s="156"/>
      <c r="QRL77" s="156"/>
      <c r="QRM77" s="156"/>
      <c r="QRN77" s="156"/>
      <c r="QRO77" s="156"/>
      <c r="QRP77" s="156"/>
      <c r="QRQ77" s="156"/>
      <c r="QRR77" s="156"/>
      <c r="QRS77" s="156"/>
      <c r="QRT77" s="156"/>
      <c r="QRU77" s="156"/>
      <c r="QRV77" s="156"/>
      <c r="QRW77" s="156"/>
      <c r="QRX77" s="156"/>
      <c r="QRY77" s="156"/>
      <c r="QRZ77" s="156"/>
      <c r="QSA77" s="156"/>
      <c r="QSB77" s="156"/>
      <c r="QSC77" s="156"/>
      <c r="QSD77" s="156"/>
      <c r="QSE77" s="156"/>
      <c r="QSF77" s="156"/>
      <c r="QSG77" s="156"/>
      <c r="QSH77" s="156"/>
      <c r="QSI77" s="156"/>
      <c r="QSJ77" s="156"/>
      <c r="QSK77" s="156"/>
      <c r="QSL77" s="156"/>
      <c r="QSM77" s="156"/>
      <c r="QSN77" s="156"/>
      <c r="QSO77" s="156"/>
      <c r="QSP77" s="156"/>
      <c r="QSQ77" s="156"/>
      <c r="QSR77" s="156"/>
      <c r="QSS77" s="156"/>
      <c r="QST77" s="156"/>
      <c r="QSU77" s="156"/>
      <c r="QSV77" s="156"/>
      <c r="QSW77" s="156"/>
      <c r="QSX77" s="156"/>
      <c r="QSY77" s="156"/>
      <c r="QSZ77" s="156"/>
      <c r="QTA77" s="156"/>
      <c r="QTB77" s="156"/>
      <c r="QTC77" s="156"/>
      <c r="QTD77" s="156"/>
      <c r="QTE77" s="156"/>
      <c r="QTF77" s="156"/>
      <c r="QTG77" s="156"/>
      <c r="QTH77" s="156"/>
      <c r="QTI77" s="156"/>
      <c r="QTJ77" s="156"/>
      <c r="QTK77" s="156"/>
      <c r="QTL77" s="156"/>
      <c r="QTM77" s="156"/>
      <c r="QTN77" s="156"/>
      <c r="QTO77" s="156"/>
      <c r="QTP77" s="156"/>
      <c r="QTQ77" s="156"/>
      <c r="QTR77" s="156"/>
      <c r="QTS77" s="156"/>
      <c r="QTT77" s="156"/>
      <c r="QTU77" s="156"/>
      <c r="QTV77" s="156"/>
      <c r="QTW77" s="156"/>
      <c r="QTX77" s="156"/>
      <c r="QTY77" s="156"/>
      <c r="QTZ77" s="156"/>
      <c r="QUA77" s="156"/>
      <c r="QUB77" s="156"/>
      <c r="QUC77" s="156"/>
      <c r="QUD77" s="156"/>
      <c r="QUE77" s="156"/>
      <c r="QUF77" s="156"/>
      <c r="QUG77" s="156"/>
      <c r="QUH77" s="156"/>
      <c r="QUI77" s="156"/>
      <c r="QUJ77" s="156"/>
      <c r="QUK77" s="156"/>
      <c r="QUL77" s="156"/>
      <c r="QUM77" s="156"/>
      <c r="QUN77" s="156"/>
      <c r="QUO77" s="156"/>
      <c r="QUP77" s="156"/>
      <c r="QUQ77" s="156"/>
      <c r="QUR77" s="156"/>
      <c r="QUS77" s="156"/>
      <c r="QUT77" s="156"/>
      <c r="QUU77" s="156"/>
      <c r="QUV77" s="156"/>
      <c r="QUW77" s="156"/>
      <c r="QUX77" s="156"/>
      <c r="QUY77" s="156"/>
      <c r="QUZ77" s="156"/>
      <c r="QVA77" s="156"/>
      <c r="QVB77" s="156"/>
      <c r="QVC77" s="156"/>
      <c r="QVD77" s="156"/>
      <c r="QVE77" s="156"/>
      <c r="QVF77" s="156"/>
      <c r="QVG77" s="156"/>
      <c r="QVH77" s="156"/>
      <c r="QVI77" s="156"/>
      <c r="QVJ77" s="156"/>
      <c r="QVK77" s="156"/>
      <c r="QVL77" s="156"/>
      <c r="QVM77" s="156"/>
      <c r="QVN77" s="156"/>
      <c r="QVO77" s="156"/>
      <c r="QVP77" s="156"/>
      <c r="QVQ77" s="156"/>
      <c r="QVR77" s="156"/>
      <c r="QVS77" s="156"/>
      <c r="QVT77" s="156"/>
      <c r="QVU77" s="156"/>
      <c r="QVV77" s="156"/>
      <c r="QVW77" s="156"/>
      <c r="QVX77" s="156"/>
      <c r="QVY77" s="156"/>
      <c r="QVZ77" s="156"/>
      <c r="QWA77" s="156"/>
      <c r="QWB77" s="156"/>
      <c r="QWC77" s="156"/>
      <c r="QWD77" s="156"/>
      <c r="QWE77" s="156"/>
      <c r="QWF77" s="156"/>
      <c r="QWG77" s="156"/>
      <c r="QWH77" s="156"/>
      <c r="QWI77" s="156"/>
      <c r="QWJ77" s="156"/>
      <c r="QWK77" s="156"/>
      <c r="QWL77" s="156"/>
      <c r="QWM77" s="156"/>
      <c r="QWN77" s="156"/>
      <c r="QWO77" s="156"/>
      <c r="QWP77" s="156"/>
      <c r="QWQ77" s="156"/>
      <c r="QWR77" s="156"/>
      <c r="QWS77" s="156"/>
      <c r="QWT77" s="156"/>
      <c r="QWU77" s="156"/>
      <c r="QWV77" s="156"/>
      <c r="QWW77" s="156"/>
      <c r="QWX77" s="156"/>
      <c r="QWY77" s="156"/>
      <c r="QWZ77" s="156"/>
      <c r="QXA77" s="156"/>
      <c r="QXB77" s="156"/>
      <c r="QXC77" s="156"/>
      <c r="QXD77" s="156"/>
      <c r="QXE77" s="156"/>
      <c r="QXF77" s="156"/>
      <c r="QXG77" s="156"/>
      <c r="QXH77" s="156"/>
      <c r="QXI77" s="156"/>
      <c r="QXJ77" s="156"/>
      <c r="QXK77" s="156"/>
      <c r="QXL77" s="156"/>
      <c r="QXM77" s="156"/>
      <c r="QXN77" s="156"/>
      <c r="QXO77" s="156"/>
      <c r="QXP77" s="156"/>
      <c r="QXQ77" s="156"/>
      <c r="QXR77" s="156"/>
      <c r="QXS77" s="156"/>
      <c r="QXT77" s="156"/>
      <c r="QXU77" s="156"/>
      <c r="QXV77" s="156"/>
      <c r="QXW77" s="156"/>
      <c r="QXX77" s="156"/>
      <c r="QXY77" s="156"/>
      <c r="QXZ77" s="156"/>
      <c r="QYA77" s="156"/>
      <c r="QYB77" s="156"/>
      <c r="QYC77" s="156"/>
      <c r="QYD77" s="156"/>
      <c r="QYE77" s="156"/>
      <c r="QYF77" s="156"/>
      <c r="QYG77" s="156"/>
      <c r="QYH77" s="156"/>
      <c r="QYI77" s="156"/>
      <c r="QYJ77" s="156"/>
      <c r="QYK77" s="156"/>
      <c r="QYL77" s="156"/>
      <c r="QYM77" s="156"/>
      <c r="QYN77" s="156"/>
      <c r="QYO77" s="156"/>
      <c r="QYP77" s="156"/>
      <c r="QYQ77" s="156"/>
      <c r="QYR77" s="156"/>
      <c r="QYS77" s="156"/>
      <c r="QYT77" s="156"/>
      <c r="QYU77" s="156"/>
      <c r="QYV77" s="156"/>
      <c r="QYW77" s="156"/>
      <c r="QYX77" s="156"/>
      <c r="QYY77" s="156"/>
      <c r="QYZ77" s="156"/>
      <c r="QZA77" s="156"/>
      <c r="QZB77" s="156"/>
      <c r="QZC77" s="156"/>
      <c r="QZD77" s="156"/>
      <c r="QZE77" s="156"/>
      <c r="QZF77" s="156"/>
      <c r="QZG77" s="156"/>
      <c r="QZH77" s="156"/>
      <c r="QZI77" s="156"/>
      <c r="QZJ77" s="156"/>
      <c r="QZK77" s="156"/>
      <c r="QZL77" s="156"/>
      <c r="QZM77" s="156"/>
      <c r="QZN77" s="156"/>
      <c r="QZO77" s="156"/>
      <c r="QZP77" s="156"/>
      <c r="QZQ77" s="156"/>
      <c r="QZR77" s="156"/>
      <c r="QZS77" s="156"/>
      <c r="QZT77" s="156"/>
      <c r="QZU77" s="156"/>
      <c r="QZV77" s="156"/>
      <c r="QZW77" s="156"/>
      <c r="QZX77" s="156"/>
      <c r="QZY77" s="156"/>
      <c r="QZZ77" s="156"/>
      <c r="RAA77" s="156"/>
      <c r="RAB77" s="156"/>
      <c r="RAC77" s="156"/>
      <c r="RAD77" s="156"/>
      <c r="RAE77" s="156"/>
      <c r="RAF77" s="156"/>
      <c r="RAG77" s="156"/>
      <c r="RAH77" s="156"/>
      <c r="RAI77" s="156"/>
      <c r="RAJ77" s="156"/>
      <c r="RAK77" s="156"/>
      <c r="RAL77" s="156"/>
      <c r="RAM77" s="156"/>
      <c r="RAN77" s="156"/>
      <c r="RAO77" s="156"/>
      <c r="RAP77" s="156"/>
      <c r="RAQ77" s="156"/>
      <c r="RAR77" s="156"/>
      <c r="RAS77" s="156"/>
      <c r="RAT77" s="156"/>
      <c r="RAU77" s="156"/>
      <c r="RAV77" s="156"/>
      <c r="RAW77" s="156"/>
      <c r="RAX77" s="156"/>
      <c r="RAY77" s="156"/>
      <c r="RAZ77" s="156"/>
      <c r="RBA77" s="156"/>
      <c r="RBB77" s="156"/>
      <c r="RBC77" s="156"/>
      <c r="RBD77" s="156"/>
      <c r="RBE77" s="156"/>
      <c r="RBF77" s="156"/>
      <c r="RBG77" s="156"/>
      <c r="RBH77" s="156"/>
      <c r="RBI77" s="156"/>
      <c r="RBJ77" s="156"/>
      <c r="RBK77" s="156"/>
      <c r="RBL77" s="156"/>
      <c r="RBM77" s="156"/>
      <c r="RBN77" s="156"/>
      <c r="RBO77" s="156"/>
      <c r="RBP77" s="156"/>
      <c r="RBQ77" s="156"/>
      <c r="RBR77" s="156"/>
      <c r="RBS77" s="156"/>
      <c r="RBT77" s="156"/>
      <c r="RBU77" s="156"/>
      <c r="RBV77" s="156"/>
      <c r="RBW77" s="156"/>
      <c r="RBX77" s="156"/>
      <c r="RBY77" s="156"/>
      <c r="RBZ77" s="156"/>
      <c r="RCA77" s="156"/>
      <c r="RCB77" s="156"/>
      <c r="RCC77" s="156"/>
      <c r="RCD77" s="156"/>
      <c r="RCE77" s="156"/>
      <c r="RCF77" s="156"/>
      <c r="RCG77" s="156"/>
      <c r="RCH77" s="156"/>
      <c r="RCI77" s="156"/>
      <c r="RCJ77" s="156"/>
      <c r="RCK77" s="156"/>
      <c r="RCL77" s="156"/>
      <c r="RCM77" s="156"/>
      <c r="RCN77" s="156"/>
      <c r="RCO77" s="156"/>
      <c r="RCP77" s="156"/>
      <c r="RCQ77" s="156"/>
      <c r="RCR77" s="156"/>
      <c r="RCS77" s="156"/>
      <c r="RCT77" s="156"/>
      <c r="RCU77" s="156"/>
      <c r="RCV77" s="156"/>
      <c r="RCW77" s="156"/>
      <c r="RCX77" s="156"/>
      <c r="RCY77" s="156"/>
      <c r="RCZ77" s="156"/>
      <c r="RDA77" s="156"/>
      <c r="RDB77" s="156"/>
      <c r="RDC77" s="156"/>
      <c r="RDD77" s="156"/>
      <c r="RDE77" s="156"/>
      <c r="RDF77" s="156"/>
      <c r="RDG77" s="156"/>
      <c r="RDH77" s="156"/>
      <c r="RDI77" s="156"/>
      <c r="RDJ77" s="156"/>
      <c r="RDK77" s="156"/>
      <c r="RDL77" s="156"/>
      <c r="RDM77" s="156"/>
      <c r="RDN77" s="156"/>
      <c r="RDO77" s="156"/>
      <c r="RDP77" s="156"/>
      <c r="RDQ77" s="156"/>
      <c r="RDR77" s="156"/>
      <c r="RDS77" s="156"/>
      <c r="RDT77" s="156"/>
      <c r="RDU77" s="156"/>
      <c r="RDV77" s="156"/>
      <c r="RDW77" s="156"/>
      <c r="RDX77" s="156"/>
      <c r="RDY77" s="156"/>
      <c r="RDZ77" s="156"/>
      <c r="REA77" s="156"/>
      <c r="REB77" s="156"/>
      <c r="REC77" s="156"/>
      <c r="RED77" s="156"/>
      <c r="REE77" s="156"/>
      <c r="REF77" s="156"/>
      <c r="REG77" s="156"/>
      <c r="REH77" s="156"/>
      <c r="REI77" s="156"/>
      <c r="REJ77" s="156"/>
      <c r="REK77" s="156"/>
      <c r="REL77" s="156"/>
      <c r="REM77" s="156"/>
      <c r="REN77" s="156"/>
      <c r="REO77" s="156"/>
      <c r="REP77" s="156"/>
      <c r="REQ77" s="156"/>
      <c r="RER77" s="156"/>
      <c r="RES77" s="156"/>
      <c r="RET77" s="156"/>
      <c r="REU77" s="156"/>
      <c r="REV77" s="156"/>
      <c r="REW77" s="156"/>
      <c r="REX77" s="156"/>
      <c r="REY77" s="156"/>
      <c r="REZ77" s="156"/>
      <c r="RFA77" s="156"/>
      <c r="RFB77" s="156"/>
      <c r="RFC77" s="156"/>
      <c r="RFD77" s="156"/>
      <c r="RFE77" s="156"/>
      <c r="RFF77" s="156"/>
      <c r="RFG77" s="156"/>
      <c r="RFH77" s="156"/>
      <c r="RFI77" s="156"/>
      <c r="RFJ77" s="156"/>
      <c r="RFK77" s="156"/>
      <c r="RFL77" s="156"/>
      <c r="RFM77" s="156"/>
      <c r="RFN77" s="156"/>
      <c r="RFO77" s="156"/>
      <c r="RFP77" s="156"/>
      <c r="RFQ77" s="156"/>
      <c r="RFR77" s="156"/>
      <c r="RFS77" s="156"/>
      <c r="RFT77" s="156"/>
      <c r="RFU77" s="156"/>
      <c r="RFV77" s="156"/>
      <c r="RFW77" s="156"/>
      <c r="RFX77" s="156"/>
      <c r="RFY77" s="156"/>
      <c r="RFZ77" s="156"/>
      <c r="RGA77" s="156"/>
      <c r="RGB77" s="156"/>
      <c r="RGC77" s="156"/>
      <c r="RGD77" s="156"/>
      <c r="RGE77" s="156"/>
      <c r="RGF77" s="156"/>
      <c r="RGG77" s="156"/>
      <c r="RGH77" s="156"/>
      <c r="RGI77" s="156"/>
      <c r="RGJ77" s="156"/>
      <c r="RGK77" s="156"/>
      <c r="RGL77" s="156"/>
      <c r="RGM77" s="156"/>
      <c r="RGN77" s="156"/>
      <c r="RGO77" s="156"/>
      <c r="RGP77" s="156"/>
      <c r="RGQ77" s="156"/>
      <c r="RGR77" s="156"/>
      <c r="RGS77" s="156"/>
      <c r="RGT77" s="156"/>
      <c r="RGU77" s="156"/>
      <c r="RGV77" s="156"/>
      <c r="RGW77" s="156"/>
      <c r="RGX77" s="156"/>
      <c r="RGY77" s="156"/>
      <c r="RGZ77" s="156"/>
      <c r="RHA77" s="156"/>
      <c r="RHB77" s="156"/>
      <c r="RHC77" s="156"/>
      <c r="RHD77" s="156"/>
      <c r="RHE77" s="156"/>
      <c r="RHF77" s="156"/>
      <c r="RHG77" s="156"/>
      <c r="RHH77" s="156"/>
      <c r="RHI77" s="156"/>
      <c r="RHJ77" s="156"/>
      <c r="RHK77" s="156"/>
      <c r="RHL77" s="156"/>
      <c r="RHM77" s="156"/>
      <c r="RHN77" s="156"/>
      <c r="RHO77" s="156"/>
      <c r="RHP77" s="156"/>
      <c r="RHQ77" s="156"/>
      <c r="RHR77" s="156"/>
      <c r="RHS77" s="156"/>
      <c r="RHT77" s="156"/>
      <c r="RHU77" s="156"/>
      <c r="RHV77" s="156"/>
      <c r="RHW77" s="156"/>
      <c r="RHX77" s="156"/>
      <c r="RHY77" s="156"/>
      <c r="RHZ77" s="156"/>
      <c r="RIA77" s="156"/>
      <c r="RIB77" s="156"/>
      <c r="RIC77" s="156"/>
      <c r="RID77" s="156"/>
      <c r="RIE77" s="156"/>
      <c r="RIF77" s="156"/>
      <c r="RIG77" s="156"/>
      <c r="RIH77" s="156"/>
      <c r="RII77" s="156"/>
      <c r="RIJ77" s="156"/>
      <c r="RIK77" s="156"/>
      <c r="RIL77" s="156"/>
      <c r="RIM77" s="156"/>
      <c r="RIN77" s="156"/>
      <c r="RIO77" s="156"/>
      <c r="RIP77" s="156"/>
      <c r="RIQ77" s="156"/>
      <c r="RIR77" s="156"/>
      <c r="RIS77" s="156"/>
      <c r="RIT77" s="156"/>
      <c r="RIU77" s="156"/>
      <c r="RIV77" s="156"/>
      <c r="RIW77" s="156"/>
      <c r="RIX77" s="156"/>
      <c r="RIY77" s="156"/>
      <c r="RIZ77" s="156"/>
      <c r="RJA77" s="156"/>
      <c r="RJB77" s="156"/>
      <c r="RJC77" s="156"/>
      <c r="RJD77" s="156"/>
      <c r="RJE77" s="156"/>
      <c r="RJF77" s="156"/>
      <c r="RJG77" s="156"/>
      <c r="RJH77" s="156"/>
      <c r="RJI77" s="156"/>
      <c r="RJJ77" s="156"/>
      <c r="RJK77" s="156"/>
      <c r="RJL77" s="156"/>
      <c r="RJM77" s="156"/>
      <c r="RJN77" s="156"/>
      <c r="RJO77" s="156"/>
      <c r="RJP77" s="156"/>
      <c r="RJQ77" s="156"/>
      <c r="RJR77" s="156"/>
      <c r="RJS77" s="156"/>
      <c r="RJT77" s="156"/>
      <c r="RJU77" s="156"/>
      <c r="RJV77" s="156"/>
      <c r="RJW77" s="156"/>
      <c r="RJX77" s="156"/>
      <c r="RJY77" s="156"/>
      <c r="RJZ77" s="156"/>
      <c r="RKA77" s="156"/>
      <c r="RKB77" s="156"/>
      <c r="RKC77" s="156"/>
      <c r="RKD77" s="156"/>
      <c r="RKE77" s="156"/>
      <c r="RKF77" s="156"/>
      <c r="RKG77" s="156"/>
      <c r="RKH77" s="156"/>
      <c r="RKI77" s="156"/>
      <c r="RKJ77" s="156"/>
      <c r="RKK77" s="156"/>
      <c r="RKL77" s="156"/>
      <c r="RKM77" s="156"/>
      <c r="RKN77" s="156"/>
      <c r="RKO77" s="156"/>
      <c r="RKP77" s="156"/>
      <c r="RKQ77" s="156"/>
      <c r="RKR77" s="156"/>
      <c r="RKS77" s="156"/>
      <c r="RKT77" s="156"/>
      <c r="RKU77" s="156"/>
      <c r="RKV77" s="156"/>
      <c r="RKW77" s="156"/>
      <c r="RKX77" s="156"/>
      <c r="RKY77" s="156"/>
      <c r="RKZ77" s="156"/>
      <c r="RLA77" s="156"/>
      <c r="RLB77" s="156"/>
      <c r="RLC77" s="156"/>
      <c r="RLD77" s="156"/>
      <c r="RLE77" s="156"/>
      <c r="RLF77" s="156"/>
      <c r="RLG77" s="156"/>
      <c r="RLH77" s="156"/>
      <c r="RLI77" s="156"/>
      <c r="RLJ77" s="156"/>
      <c r="RLK77" s="156"/>
      <c r="RLL77" s="156"/>
      <c r="RLM77" s="156"/>
      <c r="RLN77" s="156"/>
      <c r="RLO77" s="156"/>
      <c r="RLP77" s="156"/>
      <c r="RLQ77" s="156"/>
      <c r="RLR77" s="156"/>
      <c r="RLS77" s="156"/>
      <c r="RLT77" s="156"/>
      <c r="RLU77" s="156"/>
      <c r="RLV77" s="156"/>
      <c r="RLW77" s="156"/>
      <c r="RLX77" s="156"/>
      <c r="RLY77" s="156"/>
      <c r="RLZ77" s="156"/>
      <c r="RMA77" s="156"/>
      <c r="RMB77" s="156"/>
      <c r="RMC77" s="156"/>
      <c r="RMD77" s="156"/>
      <c r="RME77" s="156"/>
      <c r="RMF77" s="156"/>
      <c r="RMG77" s="156"/>
      <c r="RMH77" s="156"/>
      <c r="RMI77" s="156"/>
      <c r="RMJ77" s="156"/>
      <c r="RMK77" s="156"/>
      <c r="RML77" s="156"/>
      <c r="RMM77" s="156"/>
      <c r="RMN77" s="156"/>
      <c r="RMO77" s="156"/>
      <c r="RMP77" s="156"/>
      <c r="RMQ77" s="156"/>
      <c r="RMR77" s="156"/>
      <c r="RMS77" s="156"/>
      <c r="RMT77" s="156"/>
      <c r="RMU77" s="156"/>
      <c r="RMV77" s="156"/>
      <c r="RMW77" s="156"/>
      <c r="RMX77" s="156"/>
      <c r="RMY77" s="156"/>
      <c r="RMZ77" s="156"/>
      <c r="RNA77" s="156"/>
      <c r="RNB77" s="156"/>
      <c r="RNC77" s="156"/>
      <c r="RND77" s="156"/>
      <c r="RNE77" s="156"/>
      <c r="RNF77" s="156"/>
      <c r="RNG77" s="156"/>
      <c r="RNH77" s="156"/>
      <c r="RNI77" s="156"/>
      <c r="RNJ77" s="156"/>
      <c r="RNK77" s="156"/>
      <c r="RNL77" s="156"/>
      <c r="RNM77" s="156"/>
      <c r="RNN77" s="156"/>
      <c r="RNO77" s="156"/>
      <c r="RNP77" s="156"/>
      <c r="RNQ77" s="156"/>
      <c r="RNR77" s="156"/>
      <c r="RNS77" s="156"/>
      <c r="RNT77" s="156"/>
      <c r="RNU77" s="156"/>
      <c r="RNV77" s="156"/>
      <c r="RNW77" s="156"/>
      <c r="RNX77" s="156"/>
      <c r="RNY77" s="156"/>
      <c r="RNZ77" s="156"/>
      <c r="ROA77" s="156"/>
      <c r="ROB77" s="156"/>
      <c r="ROC77" s="156"/>
      <c r="ROD77" s="156"/>
      <c r="ROE77" s="156"/>
      <c r="ROF77" s="156"/>
      <c r="ROG77" s="156"/>
      <c r="ROH77" s="156"/>
      <c r="ROI77" s="156"/>
      <c r="ROJ77" s="156"/>
      <c r="ROK77" s="156"/>
      <c r="ROL77" s="156"/>
      <c r="ROM77" s="156"/>
      <c r="RON77" s="156"/>
      <c r="ROO77" s="156"/>
      <c r="ROP77" s="156"/>
      <c r="ROQ77" s="156"/>
      <c r="ROR77" s="156"/>
      <c r="ROS77" s="156"/>
      <c r="ROT77" s="156"/>
      <c r="ROU77" s="156"/>
      <c r="ROV77" s="156"/>
      <c r="ROW77" s="156"/>
      <c r="ROX77" s="156"/>
      <c r="ROY77" s="156"/>
      <c r="ROZ77" s="156"/>
      <c r="RPA77" s="156"/>
      <c r="RPB77" s="156"/>
      <c r="RPC77" s="156"/>
      <c r="RPD77" s="156"/>
      <c r="RPE77" s="156"/>
      <c r="RPF77" s="156"/>
      <c r="RPG77" s="156"/>
      <c r="RPH77" s="156"/>
      <c r="RPI77" s="156"/>
      <c r="RPJ77" s="156"/>
      <c r="RPK77" s="156"/>
      <c r="RPL77" s="156"/>
      <c r="RPM77" s="156"/>
      <c r="RPN77" s="156"/>
      <c r="RPO77" s="156"/>
      <c r="RPP77" s="156"/>
      <c r="RPQ77" s="156"/>
      <c r="RPR77" s="156"/>
      <c r="RPS77" s="156"/>
      <c r="RPT77" s="156"/>
      <c r="RPU77" s="156"/>
      <c r="RPV77" s="156"/>
      <c r="RPW77" s="156"/>
      <c r="RPX77" s="156"/>
      <c r="RPY77" s="156"/>
      <c r="RPZ77" s="156"/>
      <c r="RQA77" s="156"/>
      <c r="RQB77" s="156"/>
      <c r="RQC77" s="156"/>
      <c r="RQD77" s="156"/>
      <c r="RQE77" s="156"/>
      <c r="RQF77" s="156"/>
      <c r="RQG77" s="156"/>
      <c r="RQH77" s="156"/>
      <c r="RQI77" s="156"/>
      <c r="RQJ77" s="156"/>
      <c r="RQK77" s="156"/>
      <c r="RQL77" s="156"/>
      <c r="RQM77" s="156"/>
      <c r="RQN77" s="156"/>
      <c r="RQO77" s="156"/>
      <c r="RQP77" s="156"/>
      <c r="RQQ77" s="156"/>
      <c r="RQR77" s="156"/>
      <c r="RQS77" s="156"/>
      <c r="RQT77" s="156"/>
      <c r="RQU77" s="156"/>
      <c r="RQV77" s="156"/>
      <c r="RQW77" s="156"/>
      <c r="RQX77" s="156"/>
      <c r="RQY77" s="156"/>
      <c r="RQZ77" s="156"/>
      <c r="RRA77" s="156"/>
      <c r="RRB77" s="156"/>
      <c r="RRC77" s="156"/>
      <c r="RRD77" s="156"/>
      <c r="RRE77" s="156"/>
      <c r="RRF77" s="156"/>
      <c r="RRG77" s="156"/>
      <c r="RRH77" s="156"/>
      <c r="RRI77" s="156"/>
      <c r="RRJ77" s="156"/>
      <c r="RRK77" s="156"/>
      <c r="RRL77" s="156"/>
      <c r="RRM77" s="156"/>
      <c r="RRN77" s="156"/>
      <c r="RRO77" s="156"/>
      <c r="RRP77" s="156"/>
      <c r="RRQ77" s="156"/>
      <c r="RRR77" s="156"/>
      <c r="RRS77" s="156"/>
      <c r="RRT77" s="156"/>
      <c r="RRU77" s="156"/>
      <c r="RRV77" s="156"/>
      <c r="RRW77" s="156"/>
      <c r="RRX77" s="156"/>
      <c r="RRY77" s="156"/>
      <c r="RRZ77" s="156"/>
      <c r="RSA77" s="156"/>
      <c r="RSB77" s="156"/>
      <c r="RSC77" s="156"/>
      <c r="RSD77" s="156"/>
      <c r="RSE77" s="156"/>
      <c r="RSF77" s="156"/>
      <c r="RSG77" s="156"/>
      <c r="RSH77" s="156"/>
      <c r="RSI77" s="156"/>
      <c r="RSJ77" s="156"/>
      <c r="RSK77" s="156"/>
      <c r="RSL77" s="156"/>
      <c r="RSM77" s="156"/>
      <c r="RSN77" s="156"/>
      <c r="RSO77" s="156"/>
      <c r="RSP77" s="156"/>
      <c r="RSQ77" s="156"/>
      <c r="RSR77" s="156"/>
      <c r="RSS77" s="156"/>
      <c r="RST77" s="156"/>
      <c r="RSU77" s="156"/>
      <c r="RSV77" s="156"/>
      <c r="RSW77" s="156"/>
      <c r="RSX77" s="156"/>
      <c r="RSY77" s="156"/>
      <c r="RSZ77" s="156"/>
      <c r="RTA77" s="156"/>
      <c r="RTB77" s="156"/>
      <c r="RTC77" s="156"/>
      <c r="RTD77" s="156"/>
      <c r="RTE77" s="156"/>
      <c r="RTF77" s="156"/>
      <c r="RTG77" s="156"/>
      <c r="RTH77" s="156"/>
      <c r="RTI77" s="156"/>
      <c r="RTJ77" s="156"/>
      <c r="RTK77" s="156"/>
      <c r="RTL77" s="156"/>
      <c r="RTM77" s="156"/>
      <c r="RTN77" s="156"/>
      <c r="RTO77" s="156"/>
      <c r="RTP77" s="156"/>
      <c r="RTQ77" s="156"/>
      <c r="RTR77" s="156"/>
      <c r="RTS77" s="156"/>
      <c r="RTT77" s="156"/>
      <c r="RTU77" s="156"/>
      <c r="RTV77" s="156"/>
      <c r="RTW77" s="156"/>
      <c r="RTX77" s="156"/>
      <c r="RTY77" s="156"/>
      <c r="RTZ77" s="156"/>
      <c r="RUA77" s="156"/>
      <c r="RUB77" s="156"/>
      <c r="RUC77" s="156"/>
      <c r="RUD77" s="156"/>
      <c r="RUE77" s="156"/>
      <c r="RUF77" s="156"/>
      <c r="RUG77" s="156"/>
      <c r="RUH77" s="156"/>
      <c r="RUI77" s="156"/>
      <c r="RUJ77" s="156"/>
      <c r="RUK77" s="156"/>
      <c r="RUL77" s="156"/>
      <c r="RUM77" s="156"/>
      <c r="RUN77" s="156"/>
      <c r="RUO77" s="156"/>
      <c r="RUP77" s="156"/>
      <c r="RUQ77" s="156"/>
      <c r="RUR77" s="156"/>
      <c r="RUS77" s="156"/>
      <c r="RUT77" s="156"/>
      <c r="RUU77" s="156"/>
      <c r="RUV77" s="156"/>
      <c r="RUW77" s="156"/>
      <c r="RUX77" s="156"/>
      <c r="RUY77" s="156"/>
      <c r="RUZ77" s="156"/>
      <c r="RVA77" s="156"/>
      <c r="RVB77" s="156"/>
      <c r="RVC77" s="156"/>
      <c r="RVD77" s="156"/>
      <c r="RVE77" s="156"/>
      <c r="RVF77" s="156"/>
      <c r="RVG77" s="156"/>
      <c r="RVH77" s="156"/>
      <c r="RVI77" s="156"/>
      <c r="RVJ77" s="156"/>
      <c r="RVK77" s="156"/>
      <c r="RVL77" s="156"/>
      <c r="RVM77" s="156"/>
      <c r="RVN77" s="156"/>
      <c r="RVO77" s="156"/>
      <c r="RVP77" s="156"/>
      <c r="RVQ77" s="156"/>
      <c r="RVR77" s="156"/>
      <c r="RVS77" s="156"/>
      <c r="RVT77" s="156"/>
      <c r="RVU77" s="156"/>
      <c r="RVV77" s="156"/>
      <c r="RVW77" s="156"/>
      <c r="RVX77" s="156"/>
      <c r="RVY77" s="156"/>
      <c r="RVZ77" s="156"/>
      <c r="RWA77" s="156"/>
      <c r="RWB77" s="156"/>
      <c r="RWC77" s="156"/>
      <c r="RWD77" s="156"/>
      <c r="RWE77" s="156"/>
      <c r="RWF77" s="156"/>
      <c r="RWG77" s="156"/>
      <c r="RWH77" s="156"/>
      <c r="RWI77" s="156"/>
      <c r="RWJ77" s="156"/>
      <c r="RWK77" s="156"/>
      <c r="RWL77" s="156"/>
      <c r="RWM77" s="156"/>
      <c r="RWN77" s="156"/>
      <c r="RWO77" s="156"/>
      <c r="RWP77" s="156"/>
      <c r="RWQ77" s="156"/>
      <c r="RWR77" s="156"/>
      <c r="RWS77" s="156"/>
      <c r="RWT77" s="156"/>
      <c r="RWU77" s="156"/>
      <c r="RWV77" s="156"/>
      <c r="RWW77" s="156"/>
      <c r="RWX77" s="156"/>
      <c r="RWY77" s="156"/>
      <c r="RWZ77" s="156"/>
      <c r="RXA77" s="156"/>
      <c r="RXB77" s="156"/>
      <c r="RXC77" s="156"/>
      <c r="RXD77" s="156"/>
      <c r="RXE77" s="156"/>
      <c r="RXF77" s="156"/>
      <c r="RXG77" s="156"/>
      <c r="RXH77" s="156"/>
      <c r="RXI77" s="156"/>
      <c r="RXJ77" s="156"/>
      <c r="RXK77" s="156"/>
      <c r="RXL77" s="156"/>
      <c r="RXM77" s="156"/>
      <c r="RXN77" s="156"/>
      <c r="RXO77" s="156"/>
      <c r="RXP77" s="156"/>
      <c r="RXQ77" s="156"/>
      <c r="RXR77" s="156"/>
      <c r="RXS77" s="156"/>
      <c r="RXT77" s="156"/>
      <c r="RXU77" s="156"/>
      <c r="RXV77" s="156"/>
      <c r="RXW77" s="156"/>
      <c r="RXX77" s="156"/>
      <c r="RXY77" s="156"/>
      <c r="RXZ77" s="156"/>
      <c r="RYA77" s="156"/>
      <c r="RYB77" s="156"/>
      <c r="RYC77" s="156"/>
      <c r="RYD77" s="156"/>
      <c r="RYE77" s="156"/>
      <c r="RYF77" s="156"/>
      <c r="RYG77" s="156"/>
      <c r="RYH77" s="156"/>
      <c r="RYI77" s="156"/>
      <c r="RYJ77" s="156"/>
      <c r="RYK77" s="156"/>
      <c r="RYL77" s="156"/>
      <c r="RYM77" s="156"/>
      <c r="RYN77" s="156"/>
      <c r="RYO77" s="156"/>
      <c r="RYP77" s="156"/>
      <c r="RYQ77" s="156"/>
      <c r="RYR77" s="156"/>
      <c r="RYS77" s="156"/>
      <c r="RYT77" s="156"/>
      <c r="RYU77" s="156"/>
      <c r="RYV77" s="156"/>
      <c r="RYW77" s="156"/>
      <c r="RYX77" s="156"/>
      <c r="RYY77" s="156"/>
      <c r="RYZ77" s="156"/>
      <c r="RZA77" s="156"/>
      <c r="RZB77" s="156"/>
      <c r="RZC77" s="156"/>
      <c r="RZD77" s="156"/>
      <c r="RZE77" s="156"/>
      <c r="RZF77" s="156"/>
      <c r="RZG77" s="156"/>
      <c r="RZH77" s="156"/>
      <c r="RZI77" s="156"/>
      <c r="RZJ77" s="156"/>
      <c r="RZK77" s="156"/>
      <c r="RZL77" s="156"/>
      <c r="RZM77" s="156"/>
      <c r="RZN77" s="156"/>
      <c r="RZO77" s="156"/>
      <c r="RZP77" s="156"/>
      <c r="RZQ77" s="156"/>
      <c r="RZR77" s="156"/>
      <c r="RZS77" s="156"/>
      <c r="RZT77" s="156"/>
      <c r="RZU77" s="156"/>
      <c r="RZV77" s="156"/>
      <c r="RZW77" s="156"/>
      <c r="RZX77" s="156"/>
      <c r="RZY77" s="156"/>
      <c r="RZZ77" s="156"/>
      <c r="SAA77" s="156"/>
      <c r="SAB77" s="156"/>
      <c r="SAC77" s="156"/>
      <c r="SAD77" s="156"/>
      <c r="SAE77" s="156"/>
      <c r="SAF77" s="156"/>
      <c r="SAG77" s="156"/>
      <c r="SAH77" s="156"/>
      <c r="SAI77" s="156"/>
      <c r="SAJ77" s="156"/>
      <c r="SAK77" s="156"/>
      <c r="SAL77" s="156"/>
      <c r="SAM77" s="156"/>
      <c r="SAN77" s="156"/>
      <c r="SAO77" s="156"/>
      <c r="SAP77" s="156"/>
      <c r="SAQ77" s="156"/>
      <c r="SAR77" s="156"/>
      <c r="SAS77" s="156"/>
      <c r="SAT77" s="156"/>
      <c r="SAU77" s="156"/>
      <c r="SAV77" s="156"/>
      <c r="SAW77" s="156"/>
      <c r="SAX77" s="156"/>
      <c r="SAY77" s="156"/>
      <c r="SAZ77" s="156"/>
      <c r="SBA77" s="156"/>
      <c r="SBB77" s="156"/>
      <c r="SBC77" s="156"/>
      <c r="SBD77" s="156"/>
      <c r="SBE77" s="156"/>
      <c r="SBF77" s="156"/>
      <c r="SBG77" s="156"/>
      <c r="SBH77" s="156"/>
      <c r="SBI77" s="156"/>
      <c r="SBJ77" s="156"/>
      <c r="SBK77" s="156"/>
      <c r="SBL77" s="156"/>
      <c r="SBM77" s="156"/>
      <c r="SBN77" s="156"/>
      <c r="SBO77" s="156"/>
      <c r="SBP77" s="156"/>
      <c r="SBQ77" s="156"/>
      <c r="SBR77" s="156"/>
      <c r="SBS77" s="156"/>
      <c r="SBT77" s="156"/>
      <c r="SBU77" s="156"/>
      <c r="SBV77" s="156"/>
      <c r="SBW77" s="156"/>
      <c r="SBX77" s="156"/>
      <c r="SBY77" s="156"/>
      <c r="SBZ77" s="156"/>
      <c r="SCA77" s="156"/>
      <c r="SCB77" s="156"/>
      <c r="SCC77" s="156"/>
      <c r="SCD77" s="156"/>
      <c r="SCE77" s="156"/>
      <c r="SCF77" s="156"/>
      <c r="SCG77" s="156"/>
      <c r="SCH77" s="156"/>
      <c r="SCI77" s="156"/>
      <c r="SCJ77" s="156"/>
      <c r="SCK77" s="156"/>
      <c r="SCL77" s="156"/>
      <c r="SCM77" s="156"/>
      <c r="SCN77" s="156"/>
      <c r="SCO77" s="156"/>
      <c r="SCP77" s="156"/>
      <c r="SCQ77" s="156"/>
      <c r="SCR77" s="156"/>
      <c r="SCS77" s="156"/>
      <c r="SCT77" s="156"/>
      <c r="SCU77" s="156"/>
      <c r="SCV77" s="156"/>
      <c r="SCW77" s="156"/>
      <c r="SCX77" s="156"/>
      <c r="SCY77" s="156"/>
      <c r="SCZ77" s="156"/>
      <c r="SDA77" s="156"/>
      <c r="SDB77" s="156"/>
      <c r="SDC77" s="156"/>
      <c r="SDD77" s="156"/>
      <c r="SDE77" s="156"/>
      <c r="SDF77" s="156"/>
      <c r="SDG77" s="156"/>
      <c r="SDH77" s="156"/>
      <c r="SDI77" s="156"/>
      <c r="SDJ77" s="156"/>
      <c r="SDK77" s="156"/>
      <c r="SDL77" s="156"/>
      <c r="SDM77" s="156"/>
      <c r="SDN77" s="156"/>
      <c r="SDO77" s="156"/>
      <c r="SDP77" s="156"/>
      <c r="SDQ77" s="156"/>
      <c r="SDR77" s="156"/>
      <c r="SDS77" s="156"/>
      <c r="SDT77" s="156"/>
      <c r="SDU77" s="156"/>
      <c r="SDV77" s="156"/>
      <c r="SDW77" s="156"/>
      <c r="SDX77" s="156"/>
      <c r="SDY77" s="156"/>
      <c r="SDZ77" s="156"/>
      <c r="SEA77" s="156"/>
      <c r="SEB77" s="156"/>
      <c r="SEC77" s="156"/>
      <c r="SED77" s="156"/>
      <c r="SEE77" s="156"/>
      <c r="SEF77" s="156"/>
      <c r="SEG77" s="156"/>
      <c r="SEH77" s="156"/>
      <c r="SEI77" s="156"/>
      <c r="SEJ77" s="156"/>
      <c r="SEK77" s="156"/>
      <c r="SEL77" s="156"/>
      <c r="SEM77" s="156"/>
      <c r="SEN77" s="156"/>
      <c r="SEO77" s="156"/>
      <c r="SEP77" s="156"/>
      <c r="SEQ77" s="156"/>
      <c r="SER77" s="156"/>
      <c r="SES77" s="156"/>
      <c r="SET77" s="156"/>
      <c r="SEU77" s="156"/>
      <c r="SEV77" s="156"/>
      <c r="SEW77" s="156"/>
      <c r="SEX77" s="156"/>
      <c r="SEY77" s="156"/>
      <c r="SEZ77" s="156"/>
      <c r="SFA77" s="156"/>
      <c r="SFB77" s="156"/>
      <c r="SFC77" s="156"/>
      <c r="SFD77" s="156"/>
      <c r="SFE77" s="156"/>
      <c r="SFF77" s="156"/>
      <c r="SFG77" s="156"/>
      <c r="SFH77" s="156"/>
      <c r="SFI77" s="156"/>
      <c r="SFJ77" s="156"/>
      <c r="SFK77" s="156"/>
      <c r="SFL77" s="156"/>
      <c r="SFM77" s="156"/>
      <c r="SFN77" s="156"/>
      <c r="SFO77" s="156"/>
      <c r="SFP77" s="156"/>
      <c r="SFQ77" s="156"/>
      <c r="SFR77" s="156"/>
      <c r="SFS77" s="156"/>
      <c r="SFT77" s="156"/>
      <c r="SFU77" s="156"/>
      <c r="SFV77" s="156"/>
      <c r="SFW77" s="156"/>
      <c r="SFX77" s="156"/>
      <c r="SFY77" s="156"/>
      <c r="SFZ77" s="156"/>
      <c r="SGA77" s="156"/>
      <c r="SGB77" s="156"/>
      <c r="SGC77" s="156"/>
      <c r="SGD77" s="156"/>
      <c r="SGE77" s="156"/>
      <c r="SGF77" s="156"/>
      <c r="SGG77" s="156"/>
      <c r="SGH77" s="156"/>
      <c r="SGI77" s="156"/>
      <c r="SGJ77" s="156"/>
      <c r="SGK77" s="156"/>
      <c r="SGL77" s="156"/>
      <c r="SGM77" s="156"/>
      <c r="SGN77" s="156"/>
      <c r="SGO77" s="156"/>
      <c r="SGP77" s="156"/>
      <c r="SGQ77" s="156"/>
      <c r="SGR77" s="156"/>
      <c r="SGS77" s="156"/>
      <c r="SGT77" s="156"/>
      <c r="SGU77" s="156"/>
      <c r="SGV77" s="156"/>
      <c r="SGW77" s="156"/>
      <c r="SGX77" s="156"/>
      <c r="SGY77" s="156"/>
      <c r="SGZ77" s="156"/>
      <c r="SHA77" s="156"/>
      <c r="SHB77" s="156"/>
      <c r="SHC77" s="156"/>
      <c r="SHD77" s="156"/>
      <c r="SHE77" s="156"/>
      <c r="SHF77" s="156"/>
      <c r="SHG77" s="156"/>
      <c r="SHH77" s="156"/>
      <c r="SHI77" s="156"/>
      <c r="SHJ77" s="156"/>
      <c r="SHK77" s="156"/>
      <c r="SHL77" s="156"/>
      <c r="SHM77" s="156"/>
      <c r="SHN77" s="156"/>
      <c r="SHO77" s="156"/>
      <c r="SHP77" s="156"/>
      <c r="SHQ77" s="156"/>
      <c r="SHR77" s="156"/>
      <c r="SHS77" s="156"/>
      <c r="SHT77" s="156"/>
      <c r="SHU77" s="156"/>
      <c r="SHV77" s="156"/>
      <c r="SHW77" s="156"/>
      <c r="SHX77" s="156"/>
      <c r="SHY77" s="156"/>
      <c r="SHZ77" s="156"/>
      <c r="SIA77" s="156"/>
      <c r="SIB77" s="156"/>
      <c r="SIC77" s="156"/>
      <c r="SID77" s="156"/>
      <c r="SIE77" s="156"/>
      <c r="SIF77" s="156"/>
      <c r="SIG77" s="156"/>
      <c r="SIH77" s="156"/>
      <c r="SII77" s="156"/>
      <c r="SIJ77" s="156"/>
      <c r="SIK77" s="156"/>
      <c r="SIL77" s="156"/>
      <c r="SIM77" s="156"/>
      <c r="SIN77" s="156"/>
      <c r="SIO77" s="156"/>
      <c r="SIP77" s="156"/>
      <c r="SIQ77" s="156"/>
      <c r="SIR77" s="156"/>
      <c r="SIS77" s="156"/>
      <c r="SIT77" s="156"/>
      <c r="SIU77" s="156"/>
      <c r="SIV77" s="156"/>
      <c r="SIW77" s="156"/>
      <c r="SIX77" s="156"/>
      <c r="SIY77" s="156"/>
      <c r="SIZ77" s="156"/>
      <c r="SJA77" s="156"/>
      <c r="SJB77" s="156"/>
      <c r="SJC77" s="156"/>
      <c r="SJD77" s="156"/>
      <c r="SJE77" s="156"/>
      <c r="SJF77" s="156"/>
      <c r="SJG77" s="156"/>
      <c r="SJH77" s="156"/>
      <c r="SJI77" s="156"/>
      <c r="SJJ77" s="156"/>
      <c r="SJK77" s="156"/>
      <c r="SJL77" s="156"/>
      <c r="SJM77" s="156"/>
      <c r="SJN77" s="156"/>
      <c r="SJO77" s="156"/>
      <c r="SJP77" s="156"/>
      <c r="SJQ77" s="156"/>
      <c r="SJR77" s="156"/>
      <c r="SJS77" s="156"/>
      <c r="SJT77" s="156"/>
      <c r="SJU77" s="156"/>
      <c r="SJV77" s="156"/>
      <c r="SJW77" s="156"/>
      <c r="SJX77" s="156"/>
      <c r="SJY77" s="156"/>
      <c r="SJZ77" s="156"/>
      <c r="SKA77" s="156"/>
      <c r="SKB77" s="156"/>
      <c r="SKC77" s="156"/>
      <c r="SKD77" s="156"/>
      <c r="SKE77" s="156"/>
      <c r="SKF77" s="156"/>
      <c r="SKG77" s="156"/>
      <c r="SKH77" s="156"/>
      <c r="SKI77" s="156"/>
      <c r="SKJ77" s="156"/>
      <c r="SKK77" s="156"/>
      <c r="SKL77" s="156"/>
      <c r="SKM77" s="156"/>
      <c r="SKN77" s="156"/>
      <c r="SKO77" s="156"/>
      <c r="SKP77" s="156"/>
      <c r="SKQ77" s="156"/>
      <c r="SKR77" s="156"/>
      <c r="SKS77" s="156"/>
      <c r="SKT77" s="156"/>
      <c r="SKU77" s="156"/>
      <c r="SKV77" s="156"/>
      <c r="SKW77" s="156"/>
      <c r="SKX77" s="156"/>
      <c r="SKY77" s="156"/>
      <c r="SKZ77" s="156"/>
      <c r="SLA77" s="156"/>
      <c r="SLB77" s="156"/>
      <c r="SLC77" s="156"/>
      <c r="SLD77" s="156"/>
      <c r="SLE77" s="156"/>
      <c r="SLF77" s="156"/>
      <c r="SLG77" s="156"/>
      <c r="SLH77" s="156"/>
      <c r="SLI77" s="156"/>
      <c r="SLJ77" s="156"/>
      <c r="SLK77" s="156"/>
      <c r="SLL77" s="156"/>
      <c r="SLM77" s="156"/>
      <c r="SLN77" s="156"/>
      <c r="SLO77" s="156"/>
      <c r="SLP77" s="156"/>
      <c r="SLQ77" s="156"/>
      <c r="SLR77" s="156"/>
      <c r="SLS77" s="156"/>
      <c r="SLT77" s="156"/>
      <c r="SLU77" s="156"/>
      <c r="SLV77" s="156"/>
      <c r="SLW77" s="156"/>
      <c r="SLX77" s="156"/>
      <c r="SLY77" s="156"/>
      <c r="SLZ77" s="156"/>
      <c r="SMA77" s="156"/>
      <c r="SMB77" s="156"/>
      <c r="SMC77" s="156"/>
      <c r="SMD77" s="156"/>
      <c r="SME77" s="156"/>
      <c r="SMF77" s="156"/>
      <c r="SMG77" s="156"/>
      <c r="SMH77" s="156"/>
      <c r="SMI77" s="156"/>
      <c r="SMJ77" s="156"/>
      <c r="SMK77" s="156"/>
      <c r="SML77" s="156"/>
      <c r="SMM77" s="156"/>
      <c r="SMN77" s="156"/>
      <c r="SMO77" s="156"/>
      <c r="SMP77" s="156"/>
      <c r="SMQ77" s="156"/>
      <c r="SMR77" s="156"/>
      <c r="SMS77" s="156"/>
      <c r="SMT77" s="156"/>
      <c r="SMU77" s="156"/>
      <c r="SMV77" s="156"/>
      <c r="SMW77" s="156"/>
      <c r="SMX77" s="156"/>
      <c r="SMY77" s="156"/>
      <c r="SMZ77" s="156"/>
      <c r="SNA77" s="156"/>
      <c r="SNB77" s="156"/>
      <c r="SNC77" s="156"/>
      <c r="SND77" s="156"/>
      <c r="SNE77" s="156"/>
      <c r="SNF77" s="156"/>
      <c r="SNG77" s="156"/>
      <c r="SNH77" s="156"/>
      <c r="SNI77" s="156"/>
      <c r="SNJ77" s="156"/>
      <c r="SNK77" s="156"/>
      <c r="SNL77" s="156"/>
      <c r="SNM77" s="156"/>
      <c r="SNN77" s="156"/>
      <c r="SNO77" s="156"/>
      <c r="SNP77" s="156"/>
      <c r="SNQ77" s="156"/>
      <c r="SNR77" s="156"/>
      <c r="SNS77" s="156"/>
      <c r="SNT77" s="156"/>
      <c r="SNU77" s="156"/>
      <c r="SNV77" s="156"/>
      <c r="SNW77" s="156"/>
      <c r="SNX77" s="156"/>
      <c r="SNY77" s="156"/>
      <c r="SNZ77" s="156"/>
      <c r="SOA77" s="156"/>
      <c r="SOB77" s="156"/>
      <c r="SOC77" s="156"/>
      <c r="SOD77" s="156"/>
      <c r="SOE77" s="156"/>
      <c r="SOF77" s="156"/>
      <c r="SOG77" s="156"/>
      <c r="SOH77" s="156"/>
      <c r="SOI77" s="156"/>
      <c r="SOJ77" s="156"/>
      <c r="SOK77" s="156"/>
      <c r="SOL77" s="156"/>
      <c r="SOM77" s="156"/>
      <c r="SON77" s="156"/>
      <c r="SOO77" s="156"/>
      <c r="SOP77" s="156"/>
      <c r="SOQ77" s="156"/>
      <c r="SOR77" s="156"/>
      <c r="SOS77" s="156"/>
      <c r="SOT77" s="156"/>
      <c r="SOU77" s="156"/>
      <c r="SOV77" s="156"/>
      <c r="SOW77" s="156"/>
      <c r="SOX77" s="156"/>
      <c r="SOY77" s="156"/>
      <c r="SOZ77" s="156"/>
      <c r="SPA77" s="156"/>
      <c r="SPB77" s="156"/>
      <c r="SPC77" s="156"/>
      <c r="SPD77" s="156"/>
      <c r="SPE77" s="156"/>
      <c r="SPF77" s="156"/>
      <c r="SPG77" s="156"/>
      <c r="SPH77" s="156"/>
      <c r="SPI77" s="156"/>
      <c r="SPJ77" s="156"/>
      <c r="SPK77" s="156"/>
      <c r="SPL77" s="156"/>
      <c r="SPM77" s="156"/>
      <c r="SPN77" s="156"/>
      <c r="SPO77" s="156"/>
      <c r="SPP77" s="156"/>
      <c r="SPQ77" s="156"/>
      <c r="SPR77" s="156"/>
      <c r="SPS77" s="156"/>
      <c r="SPT77" s="156"/>
      <c r="SPU77" s="156"/>
      <c r="SPV77" s="156"/>
      <c r="SPW77" s="156"/>
      <c r="SPX77" s="156"/>
      <c r="SPY77" s="156"/>
      <c r="SPZ77" s="156"/>
      <c r="SQA77" s="156"/>
      <c r="SQB77" s="156"/>
      <c r="SQC77" s="156"/>
      <c r="SQD77" s="156"/>
      <c r="SQE77" s="156"/>
      <c r="SQF77" s="156"/>
      <c r="SQG77" s="156"/>
      <c r="SQH77" s="156"/>
      <c r="SQI77" s="156"/>
      <c r="SQJ77" s="156"/>
      <c r="SQK77" s="156"/>
      <c r="SQL77" s="156"/>
      <c r="SQM77" s="156"/>
      <c r="SQN77" s="156"/>
      <c r="SQO77" s="156"/>
      <c r="SQP77" s="156"/>
      <c r="SQQ77" s="156"/>
      <c r="SQR77" s="156"/>
      <c r="SQS77" s="156"/>
      <c r="SQT77" s="156"/>
      <c r="SQU77" s="156"/>
      <c r="SQV77" s="156"/>
      <c r="SQW77" s="156"/>
      <c r="SQX77" s="156"/>
      <c r="SQY77" s="156"/>
      <c r="SQZ77" s="156"/>
      <c r="SRA77" s="156"/>
      <c r="SRB77" s="156"/>
      <c r="SRC77" s="156"/>
      <c r="SRD77" s="156"/>
      <c r="SRE77" s="156"/>
      <c r="SRF77" s="156"/>
      <c r="SRG77" s="156"/>
      <c r="SRH77" s="156"/>
      <c r="SRI77" s="156"/>
      <c r="SRJ77" s="156"/>
      <c r="SRK77" s="156"/>
      <c r="SRL77" s="156"/>
      <c r="SRM77" s="156"/>
      <c r="SRN77" s="156"/>
      <c r="SRO77" s="156"/>
      <c r="SRP77" s="156"/>
      <c r="SRQ77" s="156"/>
      <c r="SRR77" s="156"/>
      <c r="SRS77" s="156"/>
      <c r="SRT77" s="156"/>
      <c r="SRU77" s="156"/>
      <c r="SRV77" s="156"/>
      <c r="SRW77" s="156"/>
      <c r="SRX77" s="156"/>
      <c r="SRY77" s="156"/>
      <c r="SRZ77" s="156"/>
      <c r="SSA77" s="156"/>
      <c r="SSB77" s="156"/>
      <c r="SSC77" s="156"/>
      <c r="SSD77" s="156"/>
      <c r="SSE77" s="156"/>
      <c r="SSF77" s="156"/>
      <c r="SSG77" s="156"/>
      <c r="SSH77" s="156"/>
      <c r="SSI77" s="156"/>
      <c r="SSJ77" s="156"/>
      <c r="SSK77" s="156"/>
      <c r="SSL77" s="156"/>
      <c r="SSM77" s="156"/>
      <c r="SSN77" s="156"/>
      <c r="SSO77" s="156"/>
      <c r="SSP77" s="156"/>
      <c r="SSQ77" s="156"/>
      <c r="SSR77" s="156"/>
      <c r="SSS77" s="156"/>
      <c r="SST77" s="156"/>
      <c r="SSU77" s="156"/>
      <c r="SSV77" s="156"/>
      <c r="SSW77" s="156"/>
      <c r="SSX77" s="156"/>
      <c r="SSY77" s="156"/>
      <c r="SSZ77" s="156"/>
      <c r="STA77" s="156"/>
      <c r="STB77" s="156"/>
      <c r="STC77" s="156"/>
      <c r="STD77" s="156"/>
      <c r="STE77" s="156"/>
      <c r="STF77" s="156"/>
      <c r="STG77" s="156"/>
      <c r="STH77" s="156"/>
      <c r="STI77" s="156"/>
      <c r="STJ77" s="156"/>
      <c r="STK77" s="156"/>
      <c r="STL77" s="156"/>
      <c r="STM77" s="156"/>
      <c r="STN77" s="156"/>
      <c r="STO77" s="156"/>
      <c r="STP77" s="156"/>
      <c r="STQ77" s="156"/>
      <c r="STR77" s="156"/>
      <c r="STS77" s="156"/>
      <c r="STT77" s="156"/>
      <c r="STU77" s="156"/>
      <c r="STV77" s="156"/>
      <c r="STW77" s="156"/>
      <c r="STX77" s="156"/>
      <c r="STY77" s="156"/>
      <c r="STZ77" s="156"/>
      <c r="SUA77" s="156"/>
      <c r="SUB77" s="156"/>
      <c r="SUC77" s="156"/>
      <c r="SUD77" s="156"/>
      <c r="SUE77" s="156"/>
      <c r="SUF77" s="156"/>
      <c r="SUG77" s="156"/>
      <c r="SUH77" s="156"/>
      <c r="SUI77" s="156"/>
      <c r="SUJ77" s="156"/>
      <c r="SUK77" s="156"/>
      <c r="SUL77" s="156"/>
      <c r="SUM77" s="156"/>
      <c r="SUN77" s="156"/>
      <c r="SUO77" s="156"/>
      <c r="SUP77" s="156"/>
      <c r="SUQ77" s="156"/>
      <c r="SUR77" s="156"/>
      <c r="SUS77" s="156"/>
      <c r="SUT77" s="156"/>
      <c r="SUU77" s="156"/>
      <c r="SUV77" s="156"/>
      <c r="SUW77" s="156"/>
      <c r="SUX77" s="156"/>
      <c r="SUY77" s="156"/>
      <c r="SUZ77" s="156"/>
      <c r="SVA77" s="156"/>
      <c r="SVB77" s="156"/>
      <c r="SVC77" s="156"/>
      <c r="SVD77" s="156"/>
      <c r="SVE77" s="156"/>
      <c r="SVF77" s="156"/>
      <c r="SVG77" s="156"/>
      <c r="SVH77" s="156"/>
      <c r="SVI77" s="156"/>
      <c r="SVJ77" s="156"/>
      <c r="SVK77" s="156"/>
      <c r="SVL77" s="156"/>
      <c r="SVM77" s="156"/>
      <c r="SVN77" s="156"/>
      <c r="SVO77" s="156"/>
      <c r="SVP77" s="156"/>
      <c r="SVQ77" s="156"/>
      <c r="SVR77" s="156"/>
      <c r="SVS77" s="156"/>
      <c r="SVT77" s="156"/>
      <c r="SVU77" s="156"/>
      <c r="SVV77" s="156"/>
      <c r="SVW77" s="156"/>
      <c r="SVX77" s="156"/>
      <c r="SVY77" s="156"/>
      <c r="SVZ77" s="156"/>
      <c r="SWA77" s="156"/>
      <c r="SWB77" s="156"/>
      <c r="SWC77" s="156"/>
      <c r="SWD77" s="156"/>
      <c r="SWE77" s="156"/>
      <c r="SWF77" s="156"/>
      <c r="SWG77" s="156"/>
      <c r="SWH77" s="156"/>
      <c r="SWI77" s="156"/>
      <c r="SWJ77" s="156"/>
      <c r="SWK77" s="156"/>
      <c r="SWL77" s="156"/>
      <c r="SWM77" s="156"/>
      <c r="SWN77" s="156"/>
      <c r="SWO77" s="156"/>
      <c r="SWP77" s="156"/>
      <c r="SWQ77" s="156"/>
      <c r="SWR77" s="156"/>
      <c r="SWS77" s="156"/>
      <c r="SWT77" s="156"/>
      <c r="SWU77" s="156"/>
      <c r="SWV77" s="156"/>
      <c r="SWW77" s="156"/>
      <c r="SWX77" s="156"/>
      <c r="SWY77" s="156"/>
      <c r="SWZ77" s="156"/>
      <c r="SXA77" s="156"/>
      <c r="SXB77" s="156"/>
      <c r="SXC77" s="156"/>
      <c r="SXD77" s="156"/>
      <c r="SXE77" s="156"/>
      <c r="SXF77" s="156"/>
      <c r="SXG77" s="156"/>
      <c r="SXH77" s="156"/>
      <c r="SXI77" s="156"/>
      <c r="SXJ77" s="156"/>
      <c r="SXK77" s="156"/>
      <c r="SXL77" s="156"/>
      <c r="SXM77" s="156"/>
      <c r="SXN77" s="156"/>
      <c r="SXO77" s="156"/>
      <c r="SXP77" s="156"/>
      <c r="SXQ77" s="156"/>
      <c r="SXR77" s="156"/>
      <c r="SXS77" s="156"/>
      <c r="SXT77" s="156"/>
      <c r="SXU77" s="156"/>
      <c r="SXV77" s="156"/>
      <c r="SXW77" s="156"/>
      <c r="SXX77" s="156"/>
      <c r="SXY77" s="156"/>
      <c r="SXZ77" s="156"/>
      <c r="SYA77" s="156"/>
      <c r="SYB77" s="156"/>
      <c r="SYC77" s="156"/>
      <c r="SYD77" s="156"/>
      <c r="SYE77" s="156"/>
      <c r="SYF77" s="156"/>
      <c r="SYG77" s="156"/>
      <c r="SYH77" s="156"/>
      <c r="SYI77" s="156"/>
      <c r="SYJ77" s="156"/>
      <c r="SYK77" s="156"/>
      <c r="SYL77" s="156"/>
      <c r="SYM77" s="156"/>
      <c r="SYN77" s="156"/>
      <c r="SYO77" s="156"/>
      <c r="SYP77" s="156"/>
      <c r="SYQ77" s="156"/>
      <c r="SYR77" s="156"/>
      <c r="SYS77" s="156"/>
      <c r="SYT77" s="156"/>
      <c r="SYU77" s="156"/>
      <c r="SYV77" s="156"/>
      <c r="SYW77" s="156"/>
      <c r="SYX77" s="156"/>
      <c r="SYY77" s="156"/>
      <c r="SYZ77" s="156"/>
      <c r="SZA77" s="156"/>
      <c r="SZB77" s="156"/>
      <c r="SZC77" s="156"/>
      <c r="SZD77" s="156"/>
      <c r="SZE77" s="156"/>
      <c r="SZF77" s="156"/>
      <c r="SZG77" s="156"/>
      <c r="SZH77" s="156"/>
      <c r="SZI77" s="156"/>
      <c r="SZJ77" s="156"/>
      <c r="SZK77" s="156"/>
      <c r="SZL77" s="156"/>
      <c r="SZM77" s="156"/>
      <c r="SZN77" s="156"/>
      <c r="SZO77" s="156"/>
      <c r="SZP77" s="156"/>
      <c r="SZQ77" s="156"/>
      <c r="SZR77" s="156"/>
      <c r="SZS77" s="156"/>
      <c r="SZT77" s="156"/>
      <c r="SZU77" s="156"/>
      <c r="SZV77" s="156"/>
      <c r="SZW77" s="156"/>
      <c r="SZX77" s="156"/>
      <c r="SZY77" s="156"/>
      <c r="SZZ77" s="156"/>
      <c r="TAA77" s="156"/>
      <c r="TAB77" s="156"/>
      <c r="TAC77" s="156"/>
      <c r="TAD77" s="156"/>
      <c r="TAE77" s="156"/>
      <c r="TAF77" s="156"/>
      <c r="TAG77" s="156"/>
      <c r="TAH77" s="156"/>
      <c r="TAI77" s="156"/>
      <c r="TAJ77" s="156"/>
      <c r="TAK77" s="156"/>
      <c r="TAL77" s="156"/>
      <c r="TAM77" s="156"/>
      <c r="TAN77" s="156"/>
      <c r="TAO77" s="156"/>
      <c r="TAP77" s="156"/>
      <c r="TAQ77" s="156"/>
      <c r="TAR77" s="156"/>
      <c r="TAS77" s="156"/>
      <c r="TAT77" s="156"/>
      <c r="TAU77" s="156"/>
      <c r="TAV77" s="156"/>
      <c r="TAW77" s="156"/>
      <c r="TAX77" s="156"/>
      <c r="TAY77" s="156"/>
      <c r="TAZ77" s="156"/>
      <c r="TBA77" s="156"/>
      <c r="TBB77" s="156"/>
      <c r="TBC77" s="156"/>
      <c r="TBD77" s="156"/>
      <c r="TBE77" s="156"/>
      <c r="TBF77" s="156"/>
      <c r="TBG77" s="156"/>
      <c r="TBH77" s="156"/>
      <c r="TBI77" s="156"/>
      <c r="TBJ77" s="156"/>
      <c r="TBK77" s="156"/>
      <c r="TBL77" s="156"/>
      <c r="TBM77" s="156"/>
      <c r="TBN77" s="156"/>
      <c r="TBO77" s="156"/>
      <c r="TBP77" s="156"/>
      <c r="TBQ77" s="156"/>
      <c r="TBR77" s="156"/>
      <c r="TBS77" s="156"/>
      <c r="TBT77" s="156"/>
      <c r="TBU77" s="156"/>
      <c r="TBV77" s="156"/>
      <c r="TBW77" s="156"/>
      <c r="TBX77" s="156"/>
      <c r="TBY77" s="156"/>
      <c r="TBZ77" s="156"/>
      <c r="TCA77" s="156"/>
      <c r="TCB77" s="156"/>
      <c r="TCC77" s="156"/>
      <c r="TCD77" s="156"/>
      <c r="TCE77" s="156"/>
      <c r="TCF77" s="156"/>
      <c r="TCG77" s="156"/>
      <c r="TCH77" s="156"/>
      <c r="TCI77" s="156"/>
      <c r="TCJ77" s="156"/>
      <c r="TCK77" s="156"/>
      <c r="TCL77" s="156"/>
      <c r="TCM77" s="156"/>
      <c r="TCN77" s="156"/>
      <c r="TCO77" s="156"/>
      <c r="TCP77" s="156"/>
      <c r="TCQ77" s="156"/>
      <c r="TCR77" s="156"/>
      <c r="TCS77" s="156"/>
      <c r="TCT77" s="156"/>
      <c r="TCU77" s="156"/>
      <c r="TCV77" s="156"/>
      <c r="TCW77" s="156"/>
      <c r="TCX77" s="156"/>
      <c r="TCY77" s="156"/>
      <c r="TCZ77" s="156"/>
      <c r="TDA77" s="156"/>
      <c r="TDB77" s="156"/>
      <c r="TDC77" s="156"/>
      <c r="TDD77" s="156"/>
      <c r="TDE77" s="156"/>
      <c r="TDF77" s="156"/>
      <c r="TDG77" s="156"/>
      <c r="TDH77" s="156"/>
      <c r="TDI77" s="156"/>
      <c r="TDJ77" s="156"/>
      <c r="TDK77" s="156"/>
      <c r="TDL77" s="156"/>
      <c r="TDM77" s="156"/>
      <c r="TDN77" s="156"/>
      <c r="TDO77" s="156"/>
      <c r="TDP77" s="156"/>
      <c r="TDQ77" s="156"/>
      <c r="TDR77" s="156"/>
      <c r="TDS77" s="156"/>
      <c r="TDT77" s="156"/>
      <c r="TDU77" s="156"/>
      <c r="TDV77" s="156"/>
      <c r="TDW77" s="156"/>
      <c r="TDX77" s="156"/>
      <c r="TDY77" s="156"/>
      <c r="TDZ77" s="156"/>
      <c r="TEA77" s="156"/>
      <c r="TEB77" s="156"/>
      <c r="TEC77" s="156"/>
      <c r="TED77" s="156"/>
      <c r="TEE77" s="156"/>
      <c r="TEF77" s="156"/>
      <c r="TEG77" s="156"/>
      <c r="TEH77" s="156"/>
      <c r="TEI77" s="156"/>
      <c r="TEJ77" s="156"/>
      <c r="TEK77" s="156"/>
      <c r="TEL77" s="156"/>
      <c r="TEM77" s="156"/>
      <c r="TEN77" s="156"/>
      <c r="TEO77" s="156"/>
      <c r="TEP77" s="156"/>
      <c r="TEQ77" s="156"/>
      <c r="TER77" s="156"/>
      <c r="TES77" s="156"/>
      <c r="TET77" s="156"/>
      <c r="TEU77" s="156"/>
      <c r="TEV77" s="156"/>
      <c r="TEW77" s="156"/>
      <c r="TEX77" s="156"/>
      <c r="TEY77" s="156"/>
      <c r="TEZ77" s="156"/>
      <c r="TFA77" s="156"/>
      <c r="TFB77" s="156"/>
      <c r="TFC77" s="156"/>
      <c r="TFD77" s="156"/>
      <c r="TFE77" s="156"/>
      <c r="TFF77" s="156"/>
      <c r="TFG77" s="156"/>
      <c r="TFH77" s="156"/>
      <c r="TFI77" s="156"/>
      <c r="TFJ77" s="156"/>
      <c r="TFK77" s="156"/>
      <c r="TFL77" s="156"/>
      <c r="TFM77" s="156"/>
      <c r="TFN77" s="156"/>
      <c r="TFO77" s="156"/>
      <c r="TFP77" s="156"/>
      <c r="TFQ77" s="156"/>
      <c r="TFR77" s="156"/>
      <c r="TFS77" s="156"/>
      <c r="TFT77" s="156"/>
      <c r="TFU77" s="156"/>
      <c r="TFV77" s="156"/>
      <c r="TFW77" s="156"/>
      <c r="TFX77" s="156"/>
      <c r="TFY77" s="156"/>
      <c r="TFZ77" s="156"/>
      <c r="TGA77" s="156"/>
      <c r="TGB77" s="156"/>
      <c r="TGC77" s="156"/>
      <c r="TGD77" s="156"/>
      <c r="TGE77" s="156"/>
      <c r="TGF77" s="156"/>
      <c r="TGG77" s="156"/>
      <c r="TGH77" s="156"/>
      <c r="TGI77" s="156"/>
      <c r="TGJ77" s="156"/>
      <c r="TGK77" s="156"/>
      <c r="TGL77" s="156"/>
      <c r="TGM77" s="156"/>
      <c r="TGN77" s="156"/>
      <c r="TGO77" s="156"/>
      <c r="TGP77" s="156"/>
      <c r="TGQ77" s="156"/>
      <c r="TGR77" s="156"/>
      <c r="TGS77" s="156"/>
      <c r="TGT77" s="156"/>
      <c r="TGU77" s="156"/>
      <c r="TGV77" s="156"/>
      <c r="TGW77" s="156"/>
      <c r="TGX77" s="156"/>
      <c r="TGY77" s="156"/>
      <c r="TGZ77" s="156"/>
      <c r="THA77" s="156"/>
      <c r="THB77" s="156"/>
      <c r="THC77" s="156"/>
      <c r="THD77" s="156"/>
      <c r="THE77" s="156"/>
      <c r="THF77" s="156"/>
      <c r="THG77" s="156"/>
      <c r="THH77" s="156"/>
      <c r="THI77" s="156"/>
      <c r="THJ77" s="156"/>
      <c r="THK77" s="156"/>
      <c r="THL77" s="156"/>
      <c r="THM77" s="156"/>
      <c r="THN77" s="156"/>
      <c r="THO77" s="156"/>
      <c r="THP77" s="156"/>
      <c r="THQ77" s="156"/>
      <c r="THR77" s="156"/>
      <c r="THS77" s="156"/>
      <c r="THT77" s="156"/>
      <c r="THU77" s="156"/>
      <c r="THV77" s="156"/>
      <c r="THW77" s="156"/>
      <c r="THX77" s="156"/>
      <c r="THY77" s="156"/>
      <c r="THZ77" s="156"/>
      <c r="TIA77" s="156"/>
      <c r="TIB77" s="156"/>
      <c r="TIC77" s="156"/>
      <c r="TID77" s="156"/>
      <c r="TIE77" s="156"/>
      <c r="TIF77" s="156"/>
      <c r="TIG77" s="156"/>
      <c r="TIH77" s="156"/>
      <c r="TII77" s="156"/>
      <c r="TIJ77" s="156"/>
      <c r="TIK77" s="156"/>
      <c r="TIL77" s="156"/>
      <c r="TIM77" s="156"/>
      <c r="TIN77" s="156"/>
      <c r="TIO77" s="156"/>
      <c r="TIP77" s="156"/>
      <c r="TIQ77" s="156"/>
      <c r="TIR77" s="156"/>
      <c r="TIS77" s="156"/>
      <c r="TIT77" s="156"/>
      <c r="TIU77" s="156"/>
      <c r="TIV77" s="156"/>
      <c r="TIW77" s="156"/>
      <c r="TIX77" s="156"/>
      <c r="TIY77" s="156"/>
      <c r="TIZ77" s="156"/>
      <c r="TJA77" s="156"/>
      <c r="TJB77" s="156"/>
      <c r="TJC77" s="156"/>
      <c r="TJD77" s="156"/>
      <c r="TJE77" s="156"/>
      <c r="TJF77" s="156"/>
      <c r="TJG77" s="156"/>
      <c r="TJH77" s="156"/>
      <c r="TJI77" s="156"/>
      <c r="TJJ77" s="156"/>
      <c r="TJK77" s="156"/>
      <c r="TJL77" s="156"/>
      <c r="TJM77" s="156"/>
      <c r="TJN77" s="156"/>
      <c r="TJO77" s="156"/>
      <c r="TJP77" s="156"/>
      <c r="TJQ77" s="156"/>
      <c r="TJR77" s="156"/>
      <c r="TJS77" s="156"/>
      <c r="TJT77" s="156"/>
      <c r="TJU77" s="156"/>
      <c r="TJV77" s="156"/>
      <c r="TJW77" s="156"/>
      <c r="TJX77" s="156"/>
      <c r="TJY77" s="156"/>
      <c r="TJZ77" s="156"/>
      <c r="TKA77" s="156"/>
      <c r="TKB77" s="156"/>
      <c r="TKC77" s="156"/>
      <c r="TKD77" s="156"/>
      <c r="TKE77" s="156"/>
      <c r="TKF77" s="156"/>
      <c r="TKG77" s="156"/>
      <c r="TKH77" s="156"/>
      <c r="TKI77" s="156"/>
      <c r="TKJ77" s="156"/>
      <c r="TKK77" s="156"/>
      <c r="TKL77" s="156"/>
      <c r="TKM77" s="156"/>
      <c r="TKN77" s="156"/>
      <c r="TKO77" s="156"/>
      <c r="TKP77" s="156"/>
      <c r="TKQ77" s="156"/>
      <c r="TKR77" s="156"/>
      <c r="TKS77" s="156"/>
      <c r="TKT77" s="156"/>
      <c r="TKU77" s="156"/>
      <c r="TKV77" s="156"/>
      <c r="TKW77" s="156"/>
      <c r="TKX77" s="156"/>
      <c r="TKY77" s="156"/>
      <c r="TKZ77" s="156"/>
      <c r="TLA77" s="156"/>
      <c r="TLB77" s="156"/>
      <c r="TLC77" s="156"/>
      <c r="TLD77" s="156"/>
      <c r="TLE77" s="156"/>
      <c r="TLF77" s="156"/>
      <c r="TLG77" s="156"/>
      <c r="TLH77" s="156"/>
      <c r="TLI77" s="156"/>
      <c r="TLJ77" s="156"/>
      <c r="TLK77" s="156"/>
      <c r="TLL77" s="156"/>
      <c r="TLM77" s="156"/>
      <c r="TLN77" s="156"/>
      <c r="TLO77" s="156"/>
      <c r="TLP77" s="156"/>
      <c r="TLQ77" s="156"/>
      <c r="TLR77" s="156"/>
      <c r="TLS77" s="156"/>
      <c r="TLT77" s="156"/>
      <c r="TLU77" s="156"/>
      <c r="TLV77" s="156"/>
      <c r="TLW77" s="156"/>
      <c r="TLX77" s="156"/>
      <c r="TLY77" s="156"/>
      <c r="TLZ77" s="156"/>
      <c r="TMA77" s="156"/>
      <c r="TMB77" s="156"/>
      <c r="TMC77" s="156"/>
      <c r="TMD77" s="156"/>
      <c r="TME77" s="156"/>
      <c r="TMF77" s="156"/>
      <c r="TMG77" s="156"/>
      <c r="TMH77" s="156"/>
      <c r="TMI77" s="156"/>
      <c r="TMJ77" s="156"/>
      <c r="TMK77" s="156"/>
      <c r="TML77" s="156"/>
      <c r="TMM77" s="156"/>
      <c r="TMN77" s="156"/>
      <c r="TMO77" s="156"/>
      <c r="TMP77" s="156"/>
      <c r="TMQ77" s="156"/>
      <c r="TMR77" s="156"/>
      <c r="TMS77" s="156"/>
      <c r="TMT77" s="156"/>
      <c r="TMU77" s="156"/>
      <c r="TMV77" s="156"/>
      <c r="TMW77" s="156"/>
      <c r="TMX77" s="156"/>
      <c r="TMY77" s="156"/>
      <c r="TMZ77" s="156"/>
      <c r="TNA77" s="156"/>
      <c r="TNB77" s="156"/>
      <c r="TNC77" s="156"/>
      <c r="TND77" s="156"/>
      <c r="TNE77" s="156"/>
      <c r="TNF77" s="156"/>
      <c r="TNG77" s="156"/>
      <c r="TNH77" s="156"/>
      <c r="TNI77" s="156"/>
      <c r="TNJ77" s="156"/>
      <c r="TNK77" s="156"/>
      <c r="TNL77" s="156"/>
      <c r="TNM77" s="156"/>
      <c r="TNN77" s="156"/>
      <c r="TNO77" s="156"/>
      <c r="TNP77" s="156"/>
      <c r="TNQ77" s="156"/>
      <c r="TNR77" s="156"/>
      <c r="TNS77" s="156"/>
      <c r="TNT77" s="156"/>
      <c r="TNU77" s="156"/>
      <c r="TNV77" s="156"/>
      <c r="TNW77" s="156"/>
      <c r="TNX77" s="156"/>
      <c r="TNY77" s="156"/>
      <c r="TNZ77" s="156"/>
      <c r="TOA77" s="156"/>
      <c r="TOB77" s="156"/>
      <c r="TOC77" s="156"/>
      <c r="TOD77" s="156"/>
      <c r="TOE77" s="156"/>
      <c r="TOF77" s="156"/>
      <c r="TOG77" s="156"/>
      <c r="TOH77" s="156"/>
      <c r="TOI77" s="156"/>
      <c r="TOJ77" s="156"/>
      <c r="TOK77" s="156"/>
      <c r="TOL77" s="156"/>
      <c r="TOM77" s="156"/>
      <c r="TON77" s="156"/>
      <c r="TOO77" s="156"/>
      <c r="TOP77" s="156"/>
      <c r="TOQ77" s="156"/>
      <c r="TOR77" s="156"/>
      <c r="TOS77" s="156"/>
      <c r="TOT77" s="156"/>
      <c r="TOU77" s="156"/>
      <c r="TOV77" s="156"/>
      <c r="TOW77" s="156"/>
      <c r="TOX77" s="156"/>
      <c r="TOY77" s="156"/>
      <c r="TOZ77" s="156"/>
      <c r="TPA77" s="156"/>
      <c r="TPB77" s="156"/>
      <c r="TPC77" s="156"/>
      <c r="TPD77" s="156"/>
      <c r="TPE77" s="156"/>
      <c r="TPF77" s="156"/>
      <c r="TPG77" s="156"/>
      <c r="TPH77" s="156"/>
      <c r="TPI77" s="156"/>
      <c r="TPJ77" s="156"/>
      <c r="TPK77" s="156"/>
      <c r="TPL77" s="156"/>
      <c r="TPM77" s="156"/>
      <c r="TPN77" s="156"/>
      <c r="TPO77" s="156"/>
      <c r="TPP77" s="156"/>
      <c r="TPQ77" s="156"/>
      <c r="TPR77" s="156"/>
      <c r="TPS77" s="156"/>
      <c r="TPT77" s="156"/>
      <c r="TPU77" s="156"/>
      <c r="TPV77" s="156"/>
      <c r="TPW77" s="156"/>
      <c r="TPX77" s="156"/>
      <c r="TPY77" s="156"/>
      <c r="TPZ77" s="156"/>
      <c r="TQA77" s="156"/>
      <c r="TQB77" s="156"/>
      <c r="TQC77" s="156"/>
      <c r="TQD77" s="156"/>
      <c r="TQE77" s="156"/>
      <c r="TQF77" s="156"/>
      <c r="TQG77" s="156"/>
      <c r="TQH77" s="156"/>
      <c r="TQI77" s="156"/>
      <c r="TQJ77" s="156"/>
      <c r="TQK77" s="156"/>
      <c r="TQL77" s="156"/>
      <c r="TQM77" s="156"/>
      <c r="TQN77" s="156"/>
      <c r="TQO77" s="156"/>
      <c r="TQP77" s="156"/>
      <c r="TQQ77" s="156"/>
      <c r="TQR77" s="156"/>
      <c r="TQS77" s="156"/>
      <c r="TQT77" s="156"/>
      <c r="TQU77" s="156"/>
      <c r="TQV77" s="156"/>
      <c r="TQW77" s="156"/>
      <c r="TQX77" s="156"/>
      <c r="TQY77" s="156"/>
      <c r="TQZ77" s="156"/>
      <c r="TRA77" s="156"/>
      <c r="TRB77" s="156"/>
      <c r="TRC77" s="156"/>
      <c r="TRD77" s="156"/>
      <c r="TRE77" s="156"/>
      <c r="TRF77" s="156"/>
      <c r="TRG77" s="156"/>
      <c r="TRH77" s="156"/>
      <c r="TRI77" s="156"/>
      <c r="TRJ77" s="156"/>
      <c r="TRK77" s="156"/>
      <c r="TRL77" s="156"/>
      <c r="TRM77" s="156"/>
      <c r="TRN77" s="156"/>
      <c r="TRO77" s="156"/>
      <c r="TRP77" s="156"/>
      <c r="TRQ77" s="156"/>
      <c r="TRR77" s="156"/>
      <c r="TRS77" s="156"/>
      <c r="TRT77" s="156"/>
      <c r="TRU77" s="156"/>
      <c r="TRV77" s="156"/>
      <c r="TRW77" s="156"/>
      <c r="TRX77" s="156"/>
      <c r="TRY77" s="156"/>
      <c r="TRZ77" s="156"/>
      <c r="TSA77" s="156"/>
      <c r="TSB77" s="156"/>
      <c r="TSC77" s="156"/>
      <c r="TSD77" s="156"/>
      <c r="TSE77" s="156"/>
      <c r="TSF77" s="156"/>
      <c r="TSG77" s="156"/>
      <c r="TSH77" s="156"/>
      <c r="TSI77" s="156"/>
      <c r="TSJ77" s="156"/>
      <c r="TSK77" s="156"/>
      <c r="TSL77" s="156"/>
      <c r="TSM77" s="156"/>
      <c r="TSN77" s="156"/>
      <c r="TSO77" s="156"/>
      <c r="TSP77" s="156"/>
      <c r="TSQ77" s="156"/>
      <c r="TSR77" s="156"/>
      <c r="TSS77" s="156"/>
      <c r="TST77" s="156"/>
      <c r="TSU77" s="156"/>
      <c r="TSV77" s="156"/>
      <c r="TSW77" s="156"/>
      <c r="TSX77" s="156"/>
      <c r="TSY77" s="156"/>
      <c r="TSZ77" s="156"/>
      <c r="TTA77" s="156"/>
      <c r="TTB77" s="156"/>
      <c r="TTC77" s="156"/>
      <c r="TTD77" s="156"/>
      <c r="TTE77" s="156"/>
      <c r="TTF77" s="156"/>
      <c r="TTG77" s="156"/>
      <c r="TTH77" s="156"/>
      <c r="TTI77" s="156"/>
      <c r="TTJ77" s="156"/>
      <c r="TTK77" s="156"/>
      <c r="TTL77" s="156"/>
      <c r="TTM77" s="156"/>
      <c r="TTN77" s="156"/>
      <c r="TTO77" s="156"/>
      <c r="TTP77" s="156"/>
      <c r="TTQ77" s="156"/>
      <c r="TTR77" s="156"/>
      <c r="TTS77" s="156"/>
      <c r="TTT77" s="156"/>
      <c r="TTU77" s="156"/>
      <c r="TTV77" s="156"/>
      <c r="TTW77" s="156"/>
      <c r="TTX77" s="156"/>
      <c r="TTY77" s="156"/>
      <c r="TTZ77" s="156"/>
      <c r="TUA77" s="156"/>
      <c r="TUB77" s="156"/>
      <c r="TUC77" s="156"/>
      <c r="TUD77" s="156"/>
      <c r="TUE77" s="156"/>
      <c r="TUF77" s="156"/>
      <c r="TUG77" s="156"/>
      <c r="TUH77" s="156"/>
      <c r="TUI77" s="156"/>
      <c r="TUJ77" s="156"/>
      <c r="TUK77" s="156"/>
      <c r="TUL77" s="156"/>
      <c r="TUM77" s="156"/>
      <c r="TUN77" s="156"/>
      <c r="TUO77" s="156"/>
      <c r="TUP77" s="156"/>
      <c r="TUQ77" s="156"/>
      <c r="TUR77" s="156"/>
      <c r="TUS77" s="156"/>
      <c r="TUT77" s="156"/>
      <c r="TUU77" s="156"/>
      <c r="TUV77" s="156"/>
      <c r="TUW77" s="156"/>
      <c r="TUX77" s="156"/>
      <c r="TUY77" s="156"/>
      <c r="TUZ77" s="156"/>
      <c r="TVA77" s="156"/>
      <c r="TVB77" s="156"/>
      <c r="TVC77" s="156"/>
      <c r="TVD77" s="156"/>
      <c r="TVE77" s="156"/>
      <c r="TVF77" s="156"/>
      <c r="TVG77" s="156"/>
      <c r="TVH77" s="156"/>
      <c r="TVI77" s="156"/>
      <c r="TVJ77" s="156"/>
      <c r="TVK77" s="156"/>
      <c r="TVL77" s="156"/>
      <c r="TVM77" s="156"/>
      <c r="TVN77" s="156"/>
      <c r="TVO77" s="156"/>
      <c r="TVP77" s="156"/>
      <c r="TVQ77" s="156"/>
      <c r="TVR77" s="156"/>
      <c r="TVS77" s="156"/>
      <c r="TVT77" s="156"/>
      <c r="TVU77" s="156"/>
      <c r="TVV77" s="156"/>
      <c r="TVW77" s="156"/>
      <c r="TVX77" s="156"/>
      <c r="TVY77" s="156"/>
      <c r="TVZ77" s="156"/>
      <c r="TWA77" s="156"/>
      <c r="TWB77" s="156"/>
      <c r="TWC77" s="156"/>
      <c r="TWD77" s="156"/>
      <c r="TWE77" s="156"/>
      <c r="TWF77" s="156"/>
      <c r="TWG77" s="156"/>
      <c r="TWH77" s="156"/>
      <c r="TWI77" s="156"/>
      <c r="TWJ77" s="156"/>
      <c r="TWK77" s="156"/>
      <c r="TWL77" s="156"/>
      <c r="TWM77" s="156"/>
      <c r="TWN77" s="156"/>
      <c r="TWO77" s="156"/>
      <c r="TWP77" s="156"/>
      <c r="TWQ77" s="156"/>
      <c r="TWR77" s="156"/>
      <c r="TWS77" s="156"/>
      <c r="TWT77" s="156"/>
      <c r="TWU77" s="156"/>
      <c r="TWV77" s="156"/>
      <c r="TWW77" s="156"/>
      <c r="TWX77" s="156"/>
      <c r="TWY77" s="156"/>
      <c r="TWZ77" s="156"/>
      <c r="TXA77" s="156"/>
      <c r="TXB77" s="156"/>
      <c r="TXC77" s="156"/>
      <c r="TXD77" s="156"/>
      <c r="TXE77" s="156"/>
      <c r="TXF77" s="156"/>
      <c r="TXG77" s="156"/>
      <c r="TXH77" s="156"/>
      <c r="TXI77" s="156"/>
      <c r="TXJ77" s="156"/>
      <c r="TXK77" s="156"/>
      <c r="TXL77" s="156"/>
      <c r="TXM77" s="156"/>
      <c r="TXN77" s="156"/>
      <c r="TXO77" s="156"/>
      <c r="TXP77" s="156"/>
      <c r="TXQ77" s="156"/>
      <c r="TXR77" s="156"/>
      <c r="TXS77" s="156"/>
      <c r="TXT77" s="156"/>
      <c r="TXU77" s="156"/>
      <c r="TXV77" s="156"/>
      <c r="TXW77" s="156"/>
      <c r="TXX77" s="156"/>
      <c r="TXY77" s="156"/>
      <c r="TXZ77" s="156"/>
      <c r="TYA77" s="156"/>
      <c r="TYB77" s="156"/>
      <c r="TYC77" s="156"/>
      <c r="TYD77" s="156"/>
      <c r="TYE77" s="156"/>
      <c r="TYF77" s="156"/>
      <c r="TYG77" s="156"/>
      <c r="TYH77" s="156"/>
      <c r="TYI77" s="156"/>
      <c r="TYJ77" s="156"/>
      <c r="TYK77" s="156"/>
      <c r="TYL77" s="156"/>
      <c r="TYM77" s="156"/>
      <c r="TYN77" s="156"/>
      <c r="TYO77" s="156"/>
      <c r="TYP77" s="156"/>
      <c r="TYQ77" s="156"/>
      <c r="TYR77" s="156"/>
      <c r="TYS77" s="156"/>
      <c r="TYT77" s="156"/>
      <c r="TYU77" s="156"/>
      <c r="TYV77" s="156"/>
      <c r="TYW77" s="156"/>
      <c r="TYX77" s="156"/>
      <c r="TYY77" s="156"/>
      <c r="TYZ77" s="156"/>
      <c r="TZA77" s="156"/>
      <c r="TZB77" s="156"/>
      <c r="TZC77" s="156"/>
      <c r="TZD77" s="156"/>
      <c r="TZE77" s="156"/>
      <c r="TZF77" s="156"/>
      <c r="TZG77" s="156"/>
      <c r="TZH77" s="156"/>
      <c r="TZI77" s="156"/>
      <c r="TZJ77" s="156"/>
      <c r="TZK77" s="156"/>
      <c r="TZL77" s="156"/>
      <c r="TZM77" s="156"/>
      <c r="TZN77" s="156"/>
      <c r="TZO77" s="156"/>
      <c r="TZP77" s="156"/>
      <c r="TZQ77" s="156"/>
      <c r="TZR77" s="156"/>
      <c r="TZS77" s="156"/>
      <c r="TZT77" s="156"/>
      <c r="TZU77" s="156"/>
      <c r="TZV77" s="156"/>
      <c r="TZW77" s="156"/>
      <c r="TZX77" s="156"/>
      <c r="TZY77" s="156"/>
      <c r="TZZ77" s="156"/>
      <c r="UAA77" s="156"/>
      <c r="UAB77" s="156"/>
      <c r="UAC77" s="156"/>
      <c r="UAD77" s="156"/>
      <c r="UAE77" s="156"/>
      <c r="UAF77" s="156"/>
      <c r="UAG77" s="156"/>
      <c r="UAH77" s="156"/>
      <c r="UAI77" s="156"/>
      <c r="UAJ77" s="156"/>
      <c r="UAK77" s="156"/>
      <c r="UAL77" s="156"/>
      <c r="UAM77" s="156"/>
      <c r="UAN77" s="156"/>
      <c r="UAO77" s="156"/>
      <c r="UAP77" s="156"/>
      <c r="UAQ77" s="156"/>
      <c r="UAR77" s="156"/>
      <c r="UAS77" s="156"/>
      <c r="UAT77" s="156"/>
      <c r="UAU77" s="156"/>
      <c r="UAV77" s="156"/>
      <c r="UAW77" s="156"/>
      <c r="UAX77" s="156"/>
      <c r="UAY77" s="156"/>
      <c r="UAZ77" s="156"/>
      <c r="UBA77" s="156"/>
      <c r="UBB77" s="156"/>
      <c r="UBC77" s="156"/>
      <c r="UBD77" s="156"/>
      <c r="UBE77" s="156"/>
      <c r="UBF77" s="156"/>
      <c r="UBG77" s="156"/>
      <c r="UBH77" s="156"/>
      <c r="UBI77" s="156"/>
      <c r="UBJ77" s="156"/>
      <c r="UBK77" s="156"/>
      <c r="UBL77" s="156"/>
      <c r="UBM77" s="156"/>
      <c r="UBN77" s="156"/>
      <c r="UBO77" s="156"/>
      <c r="UBP77" s="156"/>
      <c r="UBQ77" s="156"/>
      <c r="UBR77" s="156"/>
      <c r="UBS77" s="156"/>
      <c r="UBT77" s="156"/>
      <c r="UBU77" s="156"/>
      <c r="UBV77" s="156"/>
      <c r="UBW77" s="156"/>
      <c r="UBX77" s="156"/>
      <c r="UBY77" s="156"/>
      <c r="UBZ77" s="156"/>
      <c r="UCA77" s="156"/>
      <c r="UCB77" s="156"/>
      <c r="UCC77" s="156"/>
      <c r="UCD77" s="156"/>
      <c r="UCE77" s="156"/>
      <c r="UCF77" s="156"/>
      <c r="UCG77" s="156"/>
      <c r="UCH77" s="156"/>
      <c r="UCI77" s="156"/>
      <c r="UCJ77" s="156"/>
      <c r="UCK77" s="156"/>
      <c r="UCL77" s="156"/>
      <c r="UCM77" s="156"/>
      <c r="UCN77" s="156"/>
      <c r="UCO77" s="156"/>
      <c r="UCP77" s="156"/>
      <c r="UCQ77" s="156"/>
      <c r="UCR77" s="156"/>
      <c r="UCS77" s="156"/>
      <c r="UCT77" s="156"/>
      <c r="UCU77" s="156"/>
      <c r="UCV77" s="156"/>
      <c r="UCW77" s="156"/>
      <c r="UCX77" s="156"/>
      <c r="UCY77" s="156"/>
      <c r="UCZ77" s="156"/>
      <c r="UDA77" s="156"/>
      <c r="UDB77" s="156"/>
      <c r="UDC77" s="156"/>
      <c r="UDD77" s="156"/>
      <c r="UDE77" s="156"/>
      <c r="UDF77" s="156"/>
      <c r="UDG77" s="156"/>
      <c r="UDH77" s="156"/>
      <c r="UDI77" s="156"/>
      <c r="UDJ77" s="156"/>
      <c r="UDK77" s="156"/>
      <c r="UDL77" s="156"/>
      <c r="UDM77" s="156"/>
      <c r="UDN77" s="156"/>
      <c r="UDO77" s="156"/>
      <c r="UDP77" s="156"/>
      <c r="UDQ77" s="156"/>
      <c r="UDR77" s="156"/>
      <c r="UDS77" s="156"/>
      <c r="UDT77" s="156"/>
      <c r="UDU77" s="156"/>
      <c r="UDV77" s="156"/>
      <c r="UDW77" s="156"/>
      <c r="UDX77" s="156"/>
      <c r="UDY77" s="156"/>
      <c r="UDZ77" s="156"/>
      <c r="UEA77" s="156"/>
      <c r="UEB77" s="156"/>
      <c r="UEC77" s="156"/>
      <c r="UED77" s="156"/>
      <c r="UEE77" s="156"/>
      <c r="UEF77" s="156"/>
      <c r="UEG77" s="156"/>
      <c r="UEH77" s="156"/>
      <c r="UEI77" s="156"/>
      <c r="UEJ77" s="156"/>
      <c r="UEK77" s="156"/>
      <c r="UEL77" s="156"/>
      <c r="UEM77" s="156"/>
      <c r="UEN77" s="156"/>
      <c r="UEO77" s="156"/>
      <c r="UEP77" s="156"/>
      <c r="UEQ77" s="156"/>
      <c r="UER77" s="156"/>
      <c r="UES77" s="156"/>
      <c r="UET77" s="156"/>
      <c r="UEU77" s="156"/>
      <c r="UEV77" s="156"/>
      <c r="UEW77" s="156"/>
      <c r="UEX77" s="156"/>
      <c r="UEY77" s="156"/>
      <c r="UEZ77" s="156"/>
      <c r="UFA77" s="156"/>
      <c r="UFB77" s="156"/>
      <c r="UFC77" s="156"/>
      <c r="UFD77" s="156"/>
      <c r="UFE77" s="156"/>
      <c r="UFF77" s="156"/>
      <c r="UFG77" s="156"/>
      <c r="UFH77" s="156"/>
      <c r="UFI77" s="156"/>
      <c r="UFJ77" s="156"/>
      <c r="UFK77" s="156"/>
      <c r="UFL77" s="156"/>
      <c r="UFM77" s="156"/>
      <c r="UFN77" s="156"/>
      <c r="UFO77" s="156"/>
      <c r="UFP77" s="156"/>
      <c r="UFQ77" s="156"/>
      <c r="UFR77" s="156"/>
      <c r="UFS77" s="156"/>
      <c r="UFT77" s="156"/>
      <c r="UFU77" s="156"/>
      <c r="UFV77" s="156"/>
      <c r="UFW77" s="156"/>
      <c r="UFX77" s="156"/>
      <c r="UFY77" s="156"/>
      <c r="UFZ77" s="156"/>
      <c r="UGA77" s="156"/>
      <c r="UGB77" s="156"/>
      <c r="UGC77" s="156"/>
      <c r="UGD77" s="156"/>
      <c r="UGE77" s="156"/>
      <c r="UGF77" s="156"/>
      <c r="UGG77" s="156"/>
      <c r="UGH77" s="156"/>
      <c r="UGI77" s="156"/>
      <c r="UGJ77" s="156"/>
      <c r="UGK77" s="156"/>
      <c r="UGL77" s="156"/>
      <c r="UGM77" s="156"/>
      <c r="UGN77" s="156"/>
      <c r="UGO77" s="156"/>
      <c r="UGP77" s="156"/>
      <c r="UGQ77" s="156"/>
      <c r="UGR77" s="156"/>
      <c r="UGS77" s="156"/>
      <c r="UGT77" s="156"/>
      <c r="UGU77" s="156"/>
      <c r="UGV77" s="156"/>
      <c r="UGW77" s="156"/>
      <c r="UGX77" s="156"/>
      <c r="UGY77" s="156"/>
      <c r="UGZ77" s="156"/>
      <c r="UHA77" s="156"/>
      <c r="UHB77" s="156"/>
      <c r="UHC77" s="156"/>
      <c r="UHD77" s="156"/>
      <c r="UHE77" s="156"/>
      <c r="UHF77" s="156"/>
      <c r="UHG77" s="156"/>
      <c r="UHH77" s="156"/>
      <c r="UHI77" s="156"/>
      <c r="UHJ77" s="156"/>
      <c r="UHK77" s="156"/>
      <c r="UHL77" s="156"/>
      <c r="UHM77" s="156"/>
      <c r="UHN77" s="156"/>
      <c r="UHO77" s="156"/>
      <c r="UHP77" s="156"/>
      <c r="UHQ77" s="156"/>
      <c r="UHR77" s="156"/>
      <c r="UHS77" s="156"/>
      <c r="UHT77" s="156"/>
      <c r="UHU77" s="156"/>
      <c r="UHV77" s="156"/>
      <c r="UHW77" s="156"/>
      <c r="UHX77" s="156"/>
      <c r="UHY77" s="156"/>
      <c r="UHZ77" s="156"/>
      <c r="UIA77" s="156"/>
      <c r="UIB77" s="156"/>
      <c r="UIC77" s="156"/>
      <c r="UID77" s="156"/>
      <c r="UIE77" s="156"/>
      <c r="UIF77" s="156"/>
      <c r="UIG77" s="156"/>
      <c r="UIH77" s="156"/>
      <c r="UII77" s="156"/>
      <c r="UIJ77" s="156"/>
      <c r="UIK77" s="156"/>
      <c r="UIL77" s="156"/>
      <c r="UIM77" s="156"/>
      <c r="UIN77" s="156"/>
      <c r="UIO77" s="156"/>
      <c r="UIP77" s="156"/>
      <c r="UIQ77" s="156"/>
      <c r="UIR77" s="156"/>
      <c r="UIS77" s="156"/>
      <c r="UIT77" s="156"/>
      <c r="UIU77" s="156"/>
      <c r="UIV77" s="156"/>
      <c r="UIW77" s="156"/>
      <c r="UIX77" s="156"/>
      <c r="UIY77" s="156"/>
      <c r="UIZ77" s="156"/>
      <c r="UJA77" s="156"/>
      <c r="UJB77" s="156"/>
      <c r="UJC77" s="156"/>
      <c r="UJD77" s="156"/>
      <c r="UJE77" s="156"/>
      <c r="UJF77" s="156"/>
      <c r="UJG77" s="156"/>
      <c r="UJH77" s="156"/>
      <c r="UJI77" s="156"/>
      <c r="UJJ77" s="156"/>
      <c r="UJK77" s="156"/>
      <c r="UJL77" s="156"/>
      <c r="UJM77" s="156"/>
      <c r="UJN77" s="156"/>
      <c r="UJO77" s="156"/>
      <c r="UJP77" s="156"/>
      <c r="UJQ77" s="156"/>
      <c r="UJR77" s="156"/>
      <c r="UJS77" s="156"/>
      <c r="UJT77" s="156"/>
      <c r="UJU77" s="156"/>
      <c r="UJV77" s="156"/>
      <c r="UJW77" s="156"/>
      <c r="UJX77" s="156"/>
      <c r="UJY77" s="156"/>
      <c r="UJZ77" s="156"/>
      <c r="UKA77" s="156"/>
      <c r="UKB77" s="156"/>
      <c r="UKC77" s="156"/>
      <c r="UKD77" s="156"/>
      <c r="UKE77" s="156"/>
      <c r="UKF77" s="156"/>
      <c r="UKG77" s="156"/>
      <c r="UKH77" s="156"/>
      <c r="UKI77" s="156"/>
      <c r="UKJ77" s="156"/>
      <c r="UKK77" s="156"/>
      <c r="UKL77" s="156"/>
      <c r="UKM77" s="156"/>
      <c r="UKN77" s="156"/>
      <c r="UKO77" s="156"/>
      <c r="UKP77" s="156"/>
      <c r="UKQ77" s="156"/>
      <c r="UKR77" s="156"/>
      <c r="UKS77" s="156"/>
      <c r="UKT77" s="156"/>
      <c r="UKU77" s="156"/>
      <c r="UKV77" s="156"/>
      <c r="UKW77" s="156"/>
      <c r="UKX77" s="156"/>
      <c r="UKY77" s="156"/>
      <c r="UKZ77" s="156"/>
      <c r="ULA77" s="156"/>
      <c r="ULB77" s="156"/>
      <c r="ULC77" s="156"/>
      <c r="ULD77" s="156"/>
      <c r="ULE77" s="156"/>
      <c r="ULF77" s="156"/>
      <c r="ULG77" s="156"/>
      <c r="ULH77" s="156"/>
      <c r="ULI77" s="156"/>
      <c r="ULJ77" s="156"/>
      <c r="ULK77" s="156"/>
      <c r="ULL77" s="156"/>
      <c r="ULM77" s="156"/>
      <c r="ULN77" s="156"/>
      <c r="ULO77" s="156"/>
      <c r="ULP77" s="156"/>
      <c r="ULQ77" s="156"/>
      <c r="ULR77" s="156"/>
      <c r="ULS77" s="156"/>
      <c r="ULT77" s="156"/>
      <c r="ULU77" s="156"/>
      <c r="ULV77" s="156"/>
      <c r="ULW77" s="156"/>
      <c r="ULX77" s="156"/>
      <c r="ULY77" s="156"/>
      <c r="ULZ77" s="156"/>
      <c r="UMA77" s="156"/>
      <c r="UMB77" s="156"/>
      <c r="UMC77" s="156"/>
      <c r="UMD77" s="156"/>
      <c r="UME77" s="156"/>
      <c r="UMF77" s="156"/>
      <c r="UMG77" s="156"/>
      <c r="UMH77" s="156"/>
      <c r="UMI77" s="156"/>
      <c r="UMJ77" s="156"/>
      <c r="UMK77" s="156"/>
      <c r="UML77" s="156"/>
      <c r="UMM77" s="156"/>
      <c r="UMN77" s="156"/>
      <c r="UMO77" s="156"/>
      <c r="UMP77" s="156"/>
      <c r="UMQ77" s="156"/>
      <c r="UMR77" s="156"/>
      <c r="UMS77" s="156"/>
      <c r="UMT77" s="156"/>
      <c r="UMU77" s="156"/>
      <c r="UMV77" s="156"/>
      <c r="UMW77" s="156"/>
      <c r="UMX77" s="156"/>
      <c r="UMY77" s="156"/>
      <c r="UMZ77" s="156"/>
      <c r="UNA77" s="156"/>
      <c r="UNB77" s="156"/>
      <c r="UNC77" s="156"/>
      <c r="UND77" s="156"/>
      <c r="UNE77" s="156"/>
      <c r="UNF77" s="156"/>
      <c r="UNG77" s="156"/>
      <c r="UNH77" s="156"/>
      <c r="UNI77" s="156"/>
      <c r="UNJ77" s="156"/>
      <c r="UNK77" s="156"/>
      <c r="UNL77" s="156"/>
      <c r="UNM77" s="156"/>
      <c r="UNN77" s="156"/>
      <c r="UNO77" s="156"/>
      <c r="UNP77" s="156"/>
      <c r="UNQ77" s="156"/>
      <c r="UNR77" s="156"/>
      <c r="UNS77" s="156"/>
      <c r="UNT77" s="156"/>
      <c r="UNU77" s="156"/>
      <c r="UNV77" s="156"/>
      <c r="UNW77" s="156"/>
      <c r="UNX77" s="156"/>
      <c r="UNY77" s="156"/>
      <c r="UNZ77" s="156"/>
      <c r="UOA77" s="156"/>
      <c r="UOB77" s="156"/>
      <c r="UOC77" s="156"/>
      <c r="UOD77" s="156"/>
      <c r="UOE77" s="156"/>
      <c r="UOF77" s="156"/>
      <c r="UOG77" s="156"/>
      <c r="UOH77" s="156"/>
      <c r="UOI77" s="156"/>
      <c r="UOJ77" s="156"/>
      <c r="UOK77" s="156"/>
      <c r="UOL77" s="156"/>
      <c r="UOM77" s="156"/>
      <c r="UON77" s="156"/>
      <c r="UOO77" s="156"/>
      <c r="UOP77" s="156"/>
      <c r="UOQ77" s="156"/>
      <c r="UOR77" s="156"/>
      <c r="UOS77" s="156"/>
      <c r="UOT77" s="156"/>
      <c r="UOU77" s="156"/>
      <c r="UOV77" s="156"/>
      <c r="UOW77" s="156"/>
      <c r="UOX77" s="156"/>
      <c r="UOY77" s="156"/>
      <c r="UOZ77" s="156"/>
      <c r="UPA77" s="156"/>
      <c r="UPB77" s="156"/>
      <c r="UPC77" s="156"/>
      <c r="UPD77" s="156"/>
      <c r="UPE77" s="156"/>
      <c r="UPF77" s="156"/>
      <c r="UPG77" s="156"/>
      <c r="UPH77" s="156"/>
      <c r="UPI77" s="156"/>
      <c r="UPJ77" s="156"/>
      <c r="UPK77" s="156"/>
      <c r="UPL77" s="156"/>
      <c r="UPM77" s="156"/>
      <c r="UPN77" s="156"/>
      <c r="UPO77" s="156"/>
      <c r="UPP77" s="156"/>
      <c r="UPQ77" s="156"/>
      <c r="UPR77" s="156"/>
      <c r="UPS77" s="156"/>
      <c r="UPT77" s="156"/>
      <c r="UPU77" s="156"/>
      <c r="UPV77" s="156"/>
      <c r="UPW77" s="156"/>
      <c r="UPX77" s="156"/>
      <c r="UPY77" s="156"/>
      <c r="UPZ77" s="156"/>
      <c r="UQA77" s="156"/>
      <c r="UQB77" s="156"/>
      <c r="UQC77" s="156"/>
      <c r="UQD77" s="156"/>
      <c r="UQE77" s="156"/>
      <c r="UQF77" s="156"/>
      <c r="UQG77" s="156"/>
      <c r="UQH77" s="156"/>
      <c r="UQI77" s="156"/>
      <c r="UQJ77" s="156"/>
      <c r="UQK77" s="156"/>
      <c r="UQL77" s="156"/>
      <c r="UQM77" s="156"/>
      <c r="UQN77" s="156"/>
      <c r="UQO77" s="156"/>
      <c r="UQP77" s="156"/>
      <c r="UQQ77" s="156"/>
      <c r="UQR77" s="156"/>
      <c r="UQS77" s="156"/>
      <c r="UQT77" s="156"/>
      <c r="UQU77" s="156"/>
      <c r="UQV77" s="156"/>
      <c r="UQW77" s="156"/>
      <c r="UQX77" s="156"/>
      <c r="UQY77" s="156"/>
      <c r="UQZ77" s="156"/>
      <c r="URA77" s="156"/>
      <c r="URB77" s="156"/>
      <c r="URC77" s="156"/>
      <c r="URD77" s="156"/>
      <c r="URE77" s="156"/>
      <c r="URF77" s="156"/>
      <c r="URG77" s="156"/>
      <c r="URH77" s="156"/>
      <c r="URI77" s="156"/>
      <c r="URJ77" s="156"/>
      <c r="URK77" s="156"/>
      <c r="URL77" s="156"/>
      <c r="URM77" s="156"/>
      <c r="URN77" s="156"/>
      <c r="URO77" s="156"/>
      <c r="URP77" s="156"/>
      <c r="URQ77" s="156"/>
      <c r="URR77" s="156"/>
      <c r="URS77" s="156"/>
      <c r="URT77" s="156"/>
      <c r="URU77" s="156"/>
      <c r="URV77" s="156"/>
      <c r="URW77" s="156"/>
      <c r="URX77" s="156"/>
      <c r="URY77" s="156"/>
      <c r="URZ77" s="156"/>
      <c r="USA77" s="156"/>
      <c r="USB77" s="156"/>
      <c r="USC77" s="156"/>
      <c r="USD77" s="156"/>
      <c r="USE77" s="156"/>
      <c r="USF77" s="156"/>
      <c r="USG77" s="156"/>
      <c r="USH77" s="156"/>
      <c r="USI77" s="156"/>
      <c r="USJ77" s="156"/>
      <c r="USK77" s="156"/>
      <c r="USL77" s="156"/>
      <c r="USM77" s="156"/>
      <c r="USN77" s="156"/>
      <c r="USO77" s="156"/>
      <c r="USP77" s="156"/>
      <c r="USQ77" s="156"/>
      <c r="USR77" s="156"/>
      <c r="USS77" s="156"/>
      <c r="UST77" s="156"/>
      <c r="USU77" s="156"/>
      <c r="USV77" s="156"/>
      <c r="USW77" s="156"/>
      <c r="USX77" s="156"/>
      <c r="USY77" s="156"/>
      <c r="USZ77" s="156"/>
      <c r="UTA77" s="156"/>
      <c r="UTB77" s="156"/>
      <c r="UTC77" s="156"/>
      <c r="UTD77" s="156"/>
      <c r="UTE77" s="156"/>
      <c r="UTF77" s="156"/>
      <c r="UTG77" s="156"/>
      <c r="UTH77" s="156"/>
      <c r="UTI77" s="156"/>
      <c r="UTJ77" s="156"/>
      <c r="UTK77" s="156"/>
      <c r="UTL77" s="156"/>
      <c r="UTM77" s="156"/>
      <c r="UTN77" s="156"/>
      <c r="UTO77" s="156"/>
      <c r="UTP77" s="156"/>
      <c r="UTQ77" s="156"/>
      <c r="UTR77" s="156"/>
      <c r="UTS77" s="156"/>
      <c r="UTT77" s="156"/>
      <c r="UTU77" s="156"/>
      <c r="UTV77" s="156"/>
      <c r="UTW77" s="156"/>
      <c r="UTX77" s="156"/>
      <c r="UTY77" s="156"/>
      <c r="UTZ77" s="156"/>
      <c r="UUA77" s="156"/>
      <c r="UUB77" s="156"/>
      <c r="UUC77" s="156"/>
      <c r="UUD77" s="156"/>
      <c r="UUE77" s="156"/>
      <c r="UUF77" s="156"/>
      <c r="UUG77" s="156"/>
      <c r="UUH77" s="156"/>
      <c r="UUI77" s="156"/>
      <c r="UUJ77" s="156"/>
      <c r="UUK77" s="156"/>
      <c r="UUL77" s="156"/>
      <c r="UUM77" s="156"/>
      <c r="UUN77" s="156"/>
      <c r="UUO77" s="156"/>
      <c r="UUP77" s="156"/>
      <c r="UUQ77" s="156"/>
      <c r="UUR77" s="156"/>
      <c r="UUS77" s="156"/>
      <c r="UUT77" s="156"/>
      <c r="UUU77" s="156"/>
      <c r="UUV77" s="156"/>
      <c r="UUW77" s="156"/>
      <c r="UUX77" s="156"/>
      <c r="UUY77" s="156"/>
      <c r="UUZ77" s="156"/>
      <c r="UVA77" s="156"/>
      <c r="UVB77" s="156"/>
      <c r="UVC77" s="156"/>
      <c r="UVD77" s="156"/>
      <c r="UVE77" s="156"/>
      <c r="UVF77" s="156"/>
      <c r="UVG77" s="156"/>
      <c r="UVH77" s="156"/>
      <c r="UVI77" s="156"/>
      <c r="UVJ77" s="156"/>
      <c r="UVK77" s="156"/>
      <c r="UVL77" s="156"/>
      <c r="UVM77" s="156"/>
      <c r="UVN77" s="156"/>
      <c r="UVO77" s="156"/>
      <c r="UVP77" s="156"/>
      <c r="UVQ77" s="156"/>
      <c r="UVR77" s="156"/>
      <c r="UVS77" s="156"/>
      <c r="UVT77" s="156"/>
      <c r="UVU77" s="156"/>
      <c r="UVV77" s="156"/>
      <c r="UVW77" s="156"/>
      <c r="UVX77" s="156"/>
      <c r="UVY77" s="156"/>
      <c r="UVZ77" s="156"/>
      <c r="UWA77" s="156"/>
      <c r="UWB77" s="156"/>
      <c r="UWC77" s="156"/>
      <c r="UWD77" s="156"/>
      <c r="UWE77" s="156"/>
      <c r="UWF77" s="156"/>
      <c r="UWG77" s="156"/>
      <c r="UWH77" s="156"/>
      <c r="UWI77" s="156"/>
      <c r="UWJ77" s="156"/>
      <c r="UWK77" s="156"/>
      <c r="UWL77" s="156"/>
      <c r="UWM77" s="156"/>
      <c r="UWN77" s="156"/>
      <c r="UWO77" s="156"/>
      <c r="UWP77" s="156"/>
      <c r="UWQ77" s="156"/>
      <c r="UWR77" s="156"/>
      <c r="UWS77" s="156"/>
      <c r="UWT77" s="156"/>
      <c r="UWU77" s="156"/>
      <c r="UWV77" s="156"/>
      <c r="UWW77" s="156"/>
      <c r="UWX77" s="156"/>
      <c r="UWY77" s="156"/>
      <c r="UWZ77" s="156"/>
      <c r="UXA77" s="156"/>
      <c r="UXB77" s="156"/>
      <c r="UXC77" s="156"/>
      <c r="UXD77" s="156"/>
      <c r="UXE77" s="156"/>
      <c r="UXF77" s="156"/>
      <c r="UXG77" s="156"/>
      <c r="UXH77" s="156"/>
      <c r="UXI77" s="156"/>
      <c r="UXJ77" s="156"/>
      <c r="UXK77" s="156"/>
      <c r="UXL77" s="156"/>
      <c r="UXM77" s="156"/>
      <c r="UXN77" s="156"/>
      <c r="UXO77" s="156"/>
      <c r="UXP77" s="156"/>
      <c r="UXQ77" s="156"/>
      <c r="UXR77" s="156"/>
      <c r="UXS77" s="156"/>
      <c r="UXT77" s="156"/>
      <c r="UXU77" s="156"/>
      <c r="UXV77" s="156"/>
      <c r="UXW77" s="156"/>
      <c r="UXX77" s="156"/>
      <c r="UXY77" s="156"/>
      <c r="UXZ77" s="156"/>
      <c r="UYA77" s="156"/>
      <c r="UYB77" s="156"/>
      <c r="UYC77" s="156"/>
      <c r="UYD77" s="156"/>
      <c r="UYE77" s="156"/>
      <c r="UYF77" s="156"/>
      <c r="UYG77" s="156"/>
      <c r="UYH77" s="156"/>
      <c r="UYI77" s="156"/>
      <c r="UYJ77" s="156"/>
      <c r="UYK77" s="156"/>
      <c r="UYL77" s="156"/>
      <c r="UYM77" s="156"/>
      <c r="UYN77" s="156"/>
      <c r="UYO77" s="156"/>
      <c r="UYP77" s="156"/>
      <c r="UYQ77" s="156"/>
      <c r="UYR77" s="156"/>
      <c r="UYS77" s="156"/>
      <c r="UYT77" s="156"/>
      <c r="UYU77" s="156"/>
      <c r="UYV77" s="156"/>
      <c r="UYW77" s="156"/>
      <c r="UYX77" s="156"/>
      <c r="UYY77" s="156"/>
      <c r="UYZ77" s="156"/>
      <c r="UZA77" s="156"/>
      <c r="UZB77" s="156"/>
      <c r="UZC77" s="156"/>
      <c r="UZD77" s="156"/>
      <c r="UZE77" s="156"/>
      <c r="UZF77" s="156"/>
      <c r="UZG77" s="156"/>
      <c r="UZH77" s="156"/>
      <c r="UZI77" s="156"/>
      <c r="UZJ77" s="156"/>
      <c r="UZK77" s="156"/>
      <c r="UZL77" s="156"/>
      <c r="UZM77" s="156"/>
      <c r="UZN77" s="156"/>
      <c r="UZO77" s="156"/>
      <c r="UZP77" s="156"/>
      <c r="UZQ77" s="156"/>
      <c r="UZR77" s="156"/>
      <c r="UZS77" s="156"/>
      <c r="UZT77" s="156"/>
      <c r="UZU77" s="156"/>
      <c r="UZV77" s="156"/>
      <c r="UZW77" s="156"/>
      <c r="UZX77" s="156"/>
      <c r="UZY77" s="156"/>
      <c r="UZZ77" s="156"/>
      <c r="VAA77" s="156"/>
      <c r="VAB77" s="156"/>
      <c r="VAC77" s="156"/>
      <c r="VAD77" s="156"/>
      <c r="VAE77" s="156"/>
      <c r="VAF77" s="156"/>
      <c r="VAG77" s="156"/>
      <c r="VAH77" s="156"/>
      <c r="VAI77" s="156"/>
      <c r="VAJ77" s="156"/>
      <c r="VAK77" s="156"/>
      <c r="VAL77" s="156"/>
      <c r="VAM77" s="156"/>
      <c r="VAN77" s="156"/>
      <c r="VAO77" s="156"/>
      <c r="VAP77" s="156"/>
      <c r="VAQ77" s="156"/>
      <c r="VAR77" s="156"/>
      <c r="VAS77" s="156"/>
      <c r="VAT77" s="156"/>
      <c r="VAU77" s="156"/>
      <c r="VAV77" s="156"/>
      <c r="VAW77" s="156"/>
      <c r="VAX77" s="156"/>
      <c r="VAY77" s="156"/>
      <c r="VAZ77" s="156"/>
      <c r="VBA77" s="156"/>
      <c r="VBB77" s="156"/>
      <c r="VBC77" s="156"/>
      <c r="VBD77" s="156"/>
      <c r="VBE77" s="156"/>
      <c r="VBF77" s="156"/>
      <c r="VBG77" s="156"/>
      <c r="VBH77" s="156"/>
      <c r="VBI77" s="156"/>
      <c r="VBJ77" s="156"/>
      <c r="VBK77" s="156"/>
      <c r="VBL77" s="156"/>
      <c r="VBM77" s="156"/>
      <c r="VBN77" s="156"/>
      <c r="VBO77" s="156"/>
      <c r="VBP77" s="156"/>
      <c r="VBQ77" s="156"/>
      <c r="VBR77" s="156"/>
      <c r="VBS77" s="156"/>
      <c r="VBT77" s="156"/>
      <c r="VBU77" s="156"/>
      <c r="VBV77" s="156"/>
      <c r="VBW77" s="156"/>
      <c r="VBX77" s="156"/>
      <c r="VBY77" s="156"/>
      <c r="VBZ77" s="156"/>
      <c r="VCA77" s="156"/>
      <c r="VCB77" s="156"/>
      <c r="VCC77" s="156"/>
      <c r="VCD77" s="156"/>
      <c r="VCE77" s="156"/>
      <c r="VCF77" s="156"/>
      <c r="VCG77" s="156"/>
      <c r="VCH77" s="156"/>
      <c r="VCI77" s="156"/>
      <c r="VCJ77" s="156"/>
      <c r="VCK77" s="156"/>
      <c r="VCL77" s="156"/>
      <c r="VCM77" s="156"/>
      <c r="VCN77" s="156"/>
      <c r="VCO77" s="156"/>
      <c r="VCP77" s="156"/>
      <c r="VCQ77" s="156"/>
      <c r="VCR77" s="156"/>
      <c r="VCS77" s="156"/>
      <c r="VCT77" s="156"/>
      <c r="VCU77" s="156"/>
      <c r="VCV77" s="156"/>
      <c r="VCW77" s="156"/>
      <c r="VCX77" s="156"/>
      <c r="VCY77" s="156"/>
      <c r="VCZ77" s="156"/>
      <c r="VDA77" s="156"/>
      <c r="VDB77" s="156"/>
      <c r="VDC77" s="156"/>
      <c r="VDD77" s="156"/>
      <c r="VDE77" s="156"/>
      <c r="VDF77" s="156"/>
      <c r="VDG77" s="156"/>
      <c r="VDH77" s="156"/>
      <c r="VDI77" s="156"/>
      <c r="VDJ77" s="156"/>
      <c r="VDK77" s="156"/>
      <c r="VDL77" s="156"/>
      <c r="VDM77" s="156"/>
      <c r="VDN77" s="156"/>
      <c r="VDO77" s="156"/>
      <c r="VDP77" s="156"/>
      <c r="VDQ77" s="156"/>
      <c r="VDR77" s="156"/>
      <c r="VDS77" s="156"/>
      <c r="VDT77" s="156"/>
      <c r="VDU77" s="156"/>
      <c r="VDV77" s="156"/>
      <c r="VDW77" s="156"/>
      <c r="VDX77" s="156"/>
      <c r="VDY77" s="156"/>
      <c r="VDZ77" s="156"/>
      <c r="VEA77" s="156"/>
      <c r="VEB77" s="156"/>
      <c r="VEC77" s="156"/>
      <c r="VED77" s="156"/>
      <c r="VEE77" s="156"/>
      <c r="VEF77" s="156"/>
      <c r="VEG77" s="156"/>
      <c r="VEH77" s="156"/>
      <c r="VEI77" s="156"/>
      <c r="VEJ77" s="156"/>
      <c r="VEK77" s="156"/>
      <c r="VEL77" s="156"/>
      <c r="VEM77" s="156"/>
      <c r="VEN77" s="156"/>
      <c r="VEO77" s="156"/>
      <c r="VEP77" s="156"/>
      <c r="VEQ77" s="156"/>
      <c r="VER77" s="156"/>
      <c r="VES77" s="156"/>
      <c r="VET77" s="156"/>
      <c r="VEU77" s="156"/>
      <c r="VEV77" s="156"/>
      <c r="VEW77" s="156"/>
      <c r="VEX77" s="156"/>
      <c r="VEY77" s="156"/>
      <c r="VEZ77" s="156"/>
      <c r="VFA77" s="156"/>
      <c r="VFB77" s="156"/>
      <c r="VFC77" s="156"/>
      <c r="VFD77" s="156"/>
      <c r="VFE77" s="156"/>
      <c r="VFF77" s="156"/>
      <c r="VFG77" s="156"/>
      <c r="VFH77" s="156"/>
      <c r="VFI77" s="156"/>
      <c r="VFJ77" s="156"/>
      <c r="VFK77" s="156"/>
      <c r="VFL77" s="156"/>
      <c r="VFM77" s="156"/>
      <c r="VFN77" s="156"/>
      <c r="VFO77" s="156"/>
      <c r="VFP77" s="156"/>
      <c r="VFQ77" s="156"/>
      <c r="VFR77" s="156"/>
      <c r="VFS77" s="156"/>
      <c r="VFT77" s="156"/>
      <c r="VFU77" s="156"/>
      <c r="VFV77" s="156"/>
      <c r="VFW77" s="156"/>
      <c r="VFX77" s="156"/>
      <c r="VFY77" s="156"/>
      <c r="VFZ77" s="156"/>
      <c r="VGA77" s="156"/>
      <c r="VGB77" s="156"/>
      <c r="VGC77" s="156"/>
      <c r="VGD77" s="156"/>
      <c r="VGE77" s="156"/>
      <c r="VGF77" s="156"/>
      <c r="VGG77" s="156"/>
      <c r="VGH77" s="156"/>
      <c r="VGI77" s="156"/>
      <c r="VGJ77" s="156"/>
      <c r="VGK77" s="156"/>
      <c r="VGL77" s="156"/>
      <c r="VGM77" s="156"/>
      <c r="VGN77" s="156"/>
      <c r="VGO77" s="156"/>
      <c r="VGP77" s="156"/>
      <c r="VGQ77" s="156"/>
      <c r="VGR77" s="156"/>
      <c r="VGS77" s="156"/>
      <c r="VGT77" s="156"/>
      <c r="VGU77" s="156"/>
      <c r="VGV77" s="156"/>
      <c r="VGW77" s="156"/>
      <c r="VGX77" s="156"/>
      <c r="VGY77" s="156"/>
      <c r="VGZ77" s="156"/>
      <c r="VHA77" s="156"/>
      <c r="VHB77" s="156"/>
      <c r="VHC77" s="156"/>
      <c r="VHD77" s="156"/>
      <c r="VHE77" s="156"/>
      <c r="VHF77" s="156"/>
      <c r="VHG77" s="156"/>
      <c r="VHH77" s="156"/>
      <c r="VHI77" s="156"/>
      <c r="VHJ77" s="156"/>
      <c r="VHK77" s="156"/>
      <c r="VHL77" s="156"/>
      <c r="VHM77" s="156"/>
      <c r="VHN77" s="156"/>
      <c r="VHO77" s="156"/>
      <c r="VHP77" s="156"/>
      <c r="VHQ77" s="156"/>
      <c r="VHR77" s="156"/>
      <c r="VHS77" s="156"/>
      <c r="VHT77" s="156"/>
      <c r="VHU77" s="156"/>
      <c r="VHV77" s="156"/>
      <c r="VHW77" s="156"/>
      <c r="VHX77" s="156"/>
      <c r="VHY77" s="156"/>
      <c r="VHZ77" s="156"/>
      <c r="VIA77" s="156"/>
      <c r="VIB77" s="156"/>
      <c r="VIC77" s="156"/>
      <c r="VID77" s="156"/>
      <c r="VIE77" s="156"/>
      <c r="VIF77" s="156"/>
      <c r="VIG77" s="156"/>
      <c r="VIH77" s="156"/>
      <c r="VII77" s="156"/>
      <c r="VIJ77" s="156"/>
      <c r="VIK77" s="156"/>
      <c r="VIL77" s="156"/>
      <c r="VIM77" s="156"/>
      <c r="VIN77" s="156"/>
      <c r="VIO77" s="156"/>
      <c r="VIP77" s="156"/>
      <c r="VIQ77" s="156"/>
      <c r="VIR77" s="156"/>
      <c r="VIS77" s="156"/>
      <c r="VIT77" s="156"/>
      <c r="VIU77" s="156"/>
      <c r="VIV77" s="156"/>
      <c r="VIW77" s="156"/>
      <c r="VIX77" s="156"/>
      <c r="VIY77" s="156"/>
      <c r="VIZ77" s="156"/>
      <c r="VJA77" s="156"/>
      <c r="VJB77" s="156"/>
      <c r="VJC77" s="156"/>
      <c r="VJD77" s="156"/>
      <c r="VJE77" s="156"/>
      <c r="VJF77" s="156"/>
      <c r="VJG77" s="156"/>
      <c r="VJH77" s="156"/>
      <c r="VJI77" s="156"/>
      <c r="VJJ77" s="156"/>
      <c r="VJK77" s="156"/>
      <c r="VJL77" s="156"/>
      <c r="VJM77" s="156"/>
      <c r="VJN77" s="156"/>
      <c r="VJO77" s="156"/>
      <c r="VJP77" s="156"/>
      <c r="VJQ77" s="156"/>
      <c r="VJR77" s="156"/>
      <c r="VJS77" s="156"/>
      <c r="VJT77" s="156"/>
      <c r="VJU77" s="156"/>
      <c r="VJV77" s="156"/>
      <c r="VJW77" s="156"/>
      <c r="VJX77" s="156"/>
      <c r="VJY77" s="156"/>
      <c r="VJZ77" s="156"/>
      <c r="VKA77" s="156"/>
      <c r="VKB77" s="156"/>
      <c r="VKC77" s="156"/>
      <c r="VKD77" s="156"/>
      <c r="VKE77" s="156"/>
      <c r="VKF77" s="156"/>
      <c r="VKG77" s="156"/>
      <c r="VKH77" s="156"/>
      <c r="VKI77" s="156"/>
      <c r="VKJ77" s="156"/>
      <c r="VKK77" s="156"/>
      <c r="VKL77" s="156"/>
      <c r="VKM77" s="156"/>
      <c r="VKN77" s="156"/>
      <c r="VKO77" s="156"/>
      <c r="VKP77" s="156"/>
      <c r="VKQ77" s="156"/>
      <c r="VKR77" s="156"/>
      <c r="VKS77" s="156"/>
      <c r="VKT77" s="156"/>
      <c r="VKU77" s="156"/>
      <c r="VKV77" s="156"/>
      <c r="VKW77" s="156"/>
      <c r="VKX77" s="156"/>
      <c r="VKY77" s="156"/>
      <c r="VKZ77" s="156"/>
      <c r="VLA77" s="156"/>
      <c r="VLB77" s="156"/>
      <c r="VLC77" s="156"/>
      <c r="VLD77" s="156"/>
      <c r="VLE77" s="156"/>
      <c r="VLF77" s="156"/>
      <c r="VLG77" s="156"/>
      <c r="VLH77" s="156"/>
      <c r="VLI77" s="156"/>
      <c r="VLJ77" s="156"/>
      <c r="VLK77" s="156"/>
      <c r="VLL77" s="156"/>
      <c r="VLM77" s="156"/>
      <c r="VLN77" s="156"/>
      <c r="VLO77" s="156"/>
      <c r="VLP77" s="156"/>
      <c r="VLQ77" s="156"/>
      <c r="VLR77" s="156"/>
      <c r="VLS77" s="156"/>
      <c r="VLT77" s="156"/>
      <c r="VLU77" s="156"/>
      <c r="VLV77" s="156"/>
      <c r="VLW77" s="156"/>
      <c r="VLX77" s="156"/>
      <c r="VLY77" s="156"/>
      <c r="VLZ77" s="156"/>
      <c r="VMA77" s="156"/>
      <c r="VMB77" s="156"/>
      <c r="VMC77" s="156"/>
      <c r="VMD77" s="156"/>
      <c r="VME77" s="156"/>
      <c r="VMF77" s="156"/>
      <c r="VMG77" s="156"/>
      <c r="VMH77" s="156"/>
      <c r="VMI77" s="156"/>
      <c r="VMJ77" s="156"/>
      <c r="VMK77" s="156"/>
      <c r="VML77" s="156"/>
      <c r="VMM77" s="156"/>
      <c r="VMN77" s="156"/>
      <c r="VMO77" s="156"/>
      <c r="VMP77" s="156"/>
      <c r="VMQ77" s="156"/>
      <c r="VMR77" s="156"/>
      <c r="VMS77" s="156"/>
      <c r="VMT77" s="156"/>
      <c r="VMU77" s="156"/>
      <c r="VMV77" s="156"/>
      <c r="VMW77" s="156"/>
      <c r="VMX77" s="156"/>
      <c r="VMY77" s="156"/>
      <c r="VMZ77" s="156"/>
      <c r="VNA77" s="156"/>
      <c r="VNB77" s="156"/>
      <c r="VNC77" s="156"/>
      <c r="VND77" s="156"/>
      <c r="VNE77" s="156"/>
      <c r="VNF77" s="156"/>
      <c r="VNG77" s="156"/>
      <c r="VNH77" s="156"/>
      <c r="VNI77" s="156"/>
      <c r="VNJ77" s="156"/>
      <c r="VNK77" s="156"/>
      <c r="VNL77" s="156"/>
      <c r="VNM77" s="156"/>
      <c r="VNN77" s="156"/>
      <c r="VNO77" s="156"/>
      <c r="VNP77" s="156"/>
      <c r="VNQ77" s="156"/>
      <c r="VNR77" s="156"/>
      <c r="VNS77" s="156"/>
      <c r="VNT77" s="156"/>
      <c r="VNU77" s="156"/>
      <c r="VNV77" s="156"/>
      <c r="VNW77" s="156"/>
      <c r="VNX77" s="156"/>
      <c r="VNY77" s="156"/>
      <c r="VNZ77" s="156"/>
      <c r="VOA77" s="156"/>
      <c r="VOB77" s="156"/>
      <c r="VOC77" s="156"/>
      <c r="VOD77" s="156"/>
      <c r="VOE77" s="156"/>
      <c r="VOF77" s="156"/>
      <c r="VOG77" s="156"/>
      <c r="VOH77" s="156"/>
      <c r="VOI77" s="156"/>
      <c r="VOJ77" s="156"/>
      <c r="VOK77" s="156"/>
      <c r="VOL77" s="156"/>
      <c r="VOM77" s="156"/>
      <c r="VON77" s="156"/>
      <c r="VOO77" s="156"/>
      <c r="VOP77" s="156"/>
      <c r="VOQ77" s="156"/>
      <c r="VOR77" s="156"/>
      <c r="VOS77" s="156"/>
      <c r="VOT77" s="156"/>
      <c r="VOU77" s="156"/>
      <c r="VOV77" s="156"/>
      <c r="VOW77" s="156"/>
      <c r="VOX77" s="156"/>
      <c r="VOY77" s="156"/>
      <c r="VOZ77" s="156"/>
      <c r="VPA77" s="156"/>
      <c r="VPB77" s="156"/>
      <c r="VPC77" s="156"/>
      <c r="VPD77" s="156"/>
      <c r="VPE77" s="156"/>
      <c r="VPF77" s="156"/>
      <c r="VPG77" s="156"/>
      <c r="VPH77" s="156"/>
      <c r="VPI77" s="156"/>
      <c r="VPJ77" s="156"/>
      <c r="VPK77" s="156"/>
      <c r="VPL77" s="156"/>
      <c r="VPM77" s="156"/>
      <c r="VPN77" s="156"/>
      <c r="VPO77" s="156"/>
      <c r="VPP77" s="156"/>
      <c r="VPQ77" s="156"/>
      <c r="VPR77" s="156"/>
      <c r="VPS77" s="156"/>
      <c r="VPT77" s="156"/>
      <c r="VPU77" s="156"/>
      <c r="VPV77" s="156"/>
      <c r="VPW77" s="156"/>
      <c r="VPX77" s="156"/>
      <c r="VPY77" s="156"/>
      <c r="VPZ77" s="156"/>
      <c r="VQA77" s="156"/>
      <c r="VQB77" s="156"/>
      <c r="VQC77" s="156"/>
      <c r="VQD77" s="156"/>
      <c r="VQE77" s="156"/>
      <c r="VQF77" s="156"/>
      <c r="VQG77" s="156"/>
      <c r="VQH77" s="156"/>
      <c r="VQI77" s="156"/>
      <c r="VQJ77" s="156"/>
      <c r="VQK77" s="156"/>
      <c r="VQL77" s="156"/>
      <c r="VQM77" s="156"/>
      <c r="VQN77" s="156"/>
      <c r="VQO77" s="156"/>
      <c r="VQP77" s="156"/>
      <c r="VQQ77" s="156"/>
      <c r="VQR77" s="156"/>
      <c r="VQS77" s="156"/>
      <c r="VQT77" s="156"/>
      <c r="VQU77" s="156"/>
      <c r="VQV77" s="156"/>
      <c r="VQW77" s="156"/>
      <c r="VQX77" s="156"/>
      <c r="VQY77" s="156"/>
      <c r="VQZ77" s="156"/>
      <c r="VRA77" s="156"/>
      <c r="VRB77" s="156"/>
      <c r="VRC77" s="156"/>
      <c r="VRD77" s="156"/>
      <c r="VRE77" s="156"/>
      <c r="VRF77" s="156"/>
      <c r="VRG77" s="156"/>
      <c r="VRH77" s="156"/>
      <c r="VRI77" s="156"/>
      <c r="VRJ77" s="156"/>
      <c r="VRK77" s="156"/>
      <c r="VRL77" s="156"/>
      <c r="VRM77" s="156"/>
      <c r="VRN77" s="156"/>
      <c r="VRO77" s="156"/>
      <c r="VRP77" s="156"/>
      <c r="VRQ77" s="156"/>
      <c r="VRR77" s="156"/>
      <c r="VRS77" s="156"/>
      <c r="VRT77" s="156"/>
      <c r="VRU77" s="156"/>
      <c r="VRV77" s="156"/>
      <c r="VRW77" s="156"/>
      <c r="VRX77" s="156"/>
      <c r="VRY77" s="156"/>
      <c r="VRZ77" s="156"/>
      <c r="VSA77" s="156"/>
      <c r="VSB77" s="156"/>
      <c r="VSC77" s="156"/>
      <c r="VSD77" s="156"/>
      <c r="VSE77" s="156"/>
      <c r="VSF77" s="156"/>
      <c r="VSG77" s="156"/>
      <c r="VSH77" s="156"/>
      <c r="VSI77" s="156"/>
      <c r="VSJ77" s="156"/>
      <c r="VSK77" s="156"/>
      <c r="VSL77" s="156"/>
      <c r="VSM77" s="156"/>
      <c r="VSN77" s="156"/>
      <c r="VSO77" s="156"/>
      <c r="VSP77" s="156"/>
      <c r="VSQ77" s="156"/>
      <c r="VSR77" s="156"/>
      <c r="VSS77" s="156"/>
      <c r="VST77" s="156"/>
      <c r="VSU77" s="156"/>
      <c r="VSV77" s="156"/>
      <c r="VSW77" s="156"/>
      <c r="VSX77" s="156"/>
      <c r="VSY77" s="156"/>
      <c r="VSZ77" s="156"/>
      <c r="VTA77" s="156"/>
      <c r="VTB77" s="156"/>
      <c r="VTC77" s="156"/>
      <c r="VTD77" s="156"/>
      <c r="VTE77" s="156"/>
      <c r="VTF77" s="156"/>
      <c r="VTG77" s="156"/>
      <c r="VTH77" s="156"/>
      <c r="VTI77" s="156"/>
      <c r="VTJ77" s="156"/>
      <c r="VTK77" s="156"/>
      <c r="VTL77" s="156"/>
      <c r="VTM77" s="156"/>
      <c r="VTN77" s="156"/>
      <c r="VTO77" s="156"/>
      <c r="VTP77" s="156"/>
      <c r="VTQ77" s="156"/>
      <c r="VTR77" s="156"/>
      <c r="VTS77" s="156"/>
      <c r="VTT77" s="156"/>
      <c r="VTU77" s="156"/>
      <c r="VTV77" s="156"/>
      <c r="VTW77" s="156"/>
      <c r="VTX77" s="156"/>
      <c r="VTY77" s="156"/>
      <c r="VTZ77" s="156"/>
      <c r="VUA77" s="156"/>
      <c r="VUB77" s="156"/>
      <c r="VUC77" s="156"/>
      <c r="VUD77" s="156"/>
      <c r="VUE77" s="156"/>
      <c r="VUF77" s="156"/>
      <c r="VUG77" s="156"/>
      <c r="VUH77" s="156"/>
      <c r="VUI77" s="156"/>
      <c r="VUJ77" s="156"/>
      <c r="VUK77" s="156"/>
      <c r="VUL77" s="156"/>
      <c r="VUM77" s="156"/>
      <c r="VUN77" s="156"/>
      <c r="VUO77" s="156"/>
      <c r="VUP77" s="156"/>
      <c r="VUQ77" s="156"/>
      <c r="VUR77" s="156"/>
      <c r="VUS77" s="156"/>
      <c r="VUT77" s="156"/>
      <c r="VUU77" s="156"/>
      <c r="VUV77" s="156"/>
      <c r="VUW77" s="156"/>
      <c r="VUX77" s="156"/>
      <c r="VUY77" s="156"/>
      <c r="VUZ77" s="156"/>
      <c r="VVA77" s="156"/>
      <c r="VVB77" s="156"/>
      <c r="VVC77" s="156"/>
      <c r="VVD77" s="156"/>
      <c r="VVE77" s="156"/>
      <c r="VVF77" s="156"/>
      <c r="VVG77" s="156"/>
      <c r="VVH77" s="156"/>
      <c r="VVI77" s="156"/>
      <c r="VVJ77" s="156"/>
      <c r="VVK77" s="156"/>
      <c r="VVL77" s="156"/>
      <c r="VVM77" s="156"/>
      <c r="VVN77" s="156"/>
      <c r="VVO77" s="156"/>
      <c r="VVP77" s="156"/>
      <c r="VVQ77" s="156"/>
      <c r="VVR77" s="156"/>
      <c r="VVS77" s="156"/>
      <c r="VVT77" s="156"/>
      <c r="VVU77" s="156"/>
      <c r="VVV77" s="156"/>
      <c r="VVW77" s="156"/>
      <c r="VVX77" s="156"/>
      <c r="VVY77" s="156"/>
      <c r="VVZ77" s="156"/>
      <c r="VWA77" s="156"/>
      <c r="VWB77" s="156"/>
      <c r="VWC77" s="156"/>
      <c r="VWD77" s="156"/>
      <c r="VWE77" s="156"/>
      <c r="VWF77" s="156"/>
      <c r="VWG77" s="156"/>
      <c r="VWH77" s="156"/>
      <c r="VWI77" s="156"/>
      <c r="VWJ77" s="156"/>
      <c r="VWK77" s="156"/>
      <c r="VWL77" s="156"/>
      <c r="VWM77" s="156"/>
      <c r="VWN77" s="156"/>
      <c r="VWO77" s="156"/>
      <c r="VWP77" s="156"/>
      <c r="VWQ77" s="156"/>
      <c r="VWR77" s="156"/>
      <c r="VWS77" s="156"/>
      <c r="VWT77" s="156"/>
      <c r="VWU77" s="156"/>
      <c r="VWV77" s="156"/>
      <c r="VWW77" s="156"/>
      <c r="VWX77" s="156"/>
      <c r="VWY77" s="156"/>
      <c r="VWZ77" s="156"/>
      <c r="VXA77" s="156"/>
      <c r="VXB77" s="156"/>
      <c r="VXC77" s="156"/>
      <c r="VXD77" s="156"/>
      <c r="VXE77" s="156"/>
      <c r="VXF77" s="156"/>
      <c r="VXG77" s="156"/>
      <c r="VXH77" s="156"/>
      <c r="VXI77" s="156"/>
      <c r="VXJ77" s="156"/>
      <c r="VXK77" s="156"/>
      <c r="VXL77" s="156"/>
      <c r="VXM77" s="156"/>
      <c r="VXN77" s="156"/>
      <c r="VXO77" s="156"/>
      <c r="VXP77" s="156"/>
      <c r="VXQ77" s="156"/>
      <c r="VXR77" s="156"/>
      <c r="VXS77" s="156"/>
      <c r="VXT77" s="156"/>
      <c r="VXU77" s="156"/>
      <c r="VXV77" s="156"/>
      <c r="VXW77" s="156"/>
      <c r="VXX77" s="156"/>
      <c r="VXY77" s="156"/>
      <c r="VXZ77" s="156"/>
      <c r="VYA77" s="156"/>
      <c r="VYB77" s="156"/>
      <c r="VYC77" s="156"/>
      <c r="VYD77" s="156"/>
      <c r="VYE77" s="156"/>
      <c r="VYF77" s="156"/>
      <c r="VYG77" s="156"/>
      <c r="VYH77" s="156"/>
      <c r="VYI77" s="156"/>
      <c r="VYJ77" s="156"/>
      <c r="VYK77" s="156"/>
      <c r="VYL77" s="156"/>
      <c r="VYM77" s="156"/>
      <c r="VYN77" s="156"/>
      <c r="VYO77" s="156"/>
      <c r="VYP77" s="156"/>
      <c r="VYQ77" s="156"/>
      <c r="VYR77" s="156"/>
      <c r="VYS77" s="156"/>
      <c r="VYT77" s="156"/>
      <c r="VYU77" s="156"/>
      <c r="VYV77" s="156"/>
      <c r="VYW77" s="156"/>
      <c r="VYX77" s="156"/>
      <c r="VYY77" s="156"/>
      <c r="VYZ77" s="156"/>
      <c r="VZA77" s="156"/>
      <c r="VZB77" s="156"/>
      <c r="VZC77" s="156"/>
      <c r="VZD77" s="156"/>
      <c r="VZE77" s="156"/>
      <c r="VZF77" s="156"/>
      <c r="VZG77" s="156"/>
      <c r="VZH77" s="156"/>
      <c r="VZI77" s="156"/>
      <c r="VZJ77" s="156"/>
      <c r="VZK77" s="156"/>
      <c r="VZL77" s="156"/>
      <c r="VZM77" s="156"/>
      <c r="VZN77" s="156"/>
      <c r="VZO77" s="156"/>
      <c r="VZP77" s="156"/>
      <c r="VZQ77" s="156"/>
      <c r="VZR77" s="156"/>
      <c r="VZS77" s="156"/>
      <c r="VZT77" s="156"/>
      <c r="VZU77" s="156"/>
      <c r="VZV77" s="156"/>
      <c r="VZW77" s="156"/>
      <c r="VZX77" s="156"/>
      <c r="VZY77" s="156"/>
      <c r="VZZ77" s="156"/>
      <c r="WAA77" s="156"/>
      <c r="WAB77" s="156"/>
      <c r="WAC77" s="156"/>
      <c r="WAD77" s="156"/>
      <c r="WAE77" s="156"/>
      <c r="WAF77" s="156"/>
      <c r="WAG77" s="156"/>
      <c r="WAH77" s="156"/>
      <c r="WAI77" s="156"/>
      <c r="WAJ77" s="156"/>
      <c r="WAK77" s="156"/>
      <c r="WAL77" s="156"/>
      <c r="WAM77" s="156"/>
      <c r="WAN77" s="156"/>
      <c r="WAO77" s="156"/>
      <c r="WAP77" s="156"/>
      <c r="WAQ77" s="156"/>
      <c r="WAR77" s="156"/>
      <c r="WAS77" s="156"/>
      <c r="WAT77" s="156"/>
      <c r="WAU77" s="156"/>
      <c r="WAV77" s="156"/>
      <c r="WAW77" s="156"/>
      <c r="WAX77" s="156"/>
      <c r="WAY77" s="156"/>
      <c r="WAZ77" s="156"/>
      <c r="WBA77" s="156"/>
      <c r="WBB77" s="156"/>
      <c r="WBC77" s="156"/>
      <c r="WBD77" s="156"/>
      <c r="WBE77" s="156"/>
      <c r="WBF77" s="156"/>
      <c r="WBG77" s="156"/>
      <c r="WBH77" s="156"/>
      <c r="WBI77" s="156"/>
      <c r="WBJ77" s="156"/>
      <c r="WBK77" s="156"/>
      <c r="WBL77" s="156"/>
      <c r="WBM77" s="156"/>
      <c r="WBN77" s="156"/>
      <c r="WBO77" s="156"/>
      <c r="WBP77" s="156"/>
      <c r="WBQ77" s="156"/>
      <c r="WBR77" s="156"/>
      <c r="WBS77" s="156"/>
      <c r="WBT77" s="156"/>
      <c r="WBU77" s="156"/>
      <c r="WBV77" s="156"/>
      <c r="WBW77" s="156"/>
      <c r="WBX77" s="156"/>
      <c r="WBY77" s="156"/>
      <c r="WBZ77" s="156"/>
      <c r="WCA77" s="156"/>
      <c r="WCB77" s="156"/>
      <c r="WCC77" s="156"/>
      <c r="WCD77" s="156"/>
      <c r="WCE77" s="156"/>
      <c r="WCF77" s="156"/>
      <c r="WCG77" s="156"/>
      <c r="WCH77" s="156"/>
      <c r="WCI77" s="156"/>
      <c r="WCJ77" s="156"/>
      <c r="WCK77" s="156"/>
      <c r="WCL77" s="156"/>
      <c r="WCM77" s="156"/>
      <c r="WCN77" s="156"/>
      <c r="WCO77" s="156"/>
      <c r="WCP77" s="156"/>
      <c r="WCQ77" s="156"/>
      <c r="WCR77" s="156"/>
      <c r="WCS77" s="156"/>
      <c r="WCT77" s="156"/>
      <c r="WCU77" s="156"/>
      <c r="WCV77" s="156"/>
      <c r="WCW77" s="156"/>
      <c r="WCX77" s="156"/>
      <c r="WCY77" s="156"/>
      <c r="WCZ77" s="156"/>
      <c r="WDA77" s="156"/>
      <c r="WDB77" s="156"/>
      <c r="WDC77" s="156"/>
      <c r="WDD77" s="156"/>
      <c r="WDE77" s="156"/>
      <c r="WDF77" s="156"/>
      <c r="WDG77" s="156"/>
      <c r="WDH77" s="156"/>
      <c r="WDI77" s="156"/>
      <c r="WDJ77" s="156"/>
      <c r="WDK77" s="156"/>
      <c r="WDL77" s="156"/>
      <c r="WDM77" s="156"/>
      <c r="WDN77" s="156"/>
      <c r="WDO77" s="156"/>
      <c r="WDP77" s="156"/>
      <c r="WDQ77" s="156"/>
      <c r="WDR77" s="156"/>
      <c r="WDS77" s="156"/>
      <c r="WDT77" s="156"/>
      <c r="WDU77" s="156"/>
      <c r="WDV77" s="156"/>
      <c r="WDW77" s="156"/>
      <c r="WDX77" s="156"/>
      <c r="WDY77" s="156"/>
      <c r="WDZ77" s="156"/>
      <c r="WEA77" s="156"/>
      <c r="WEB77" s="156"/>
      <c r="WEC77" s="156"/>
      <c r="WED77" s="156"/>
      <c r="WEE77" s="156"/>
      <c r="WEF77" s="156"/>
      <c r="WEG77" s="156"/>
      <c r="WEH77" s="156"/>
      <c r="WEI77" s="156"/>
      <c r="WEJ77" s="156"/>
      <c r="WEK77" s="156"/>
      <c r="WEL77" s="156"/>
      <c r="WEM77" s="156"/>
      <c r="WEN77" s="156"/>
      <c r="WEO77" s="156"/>
      <c r="WEP77" s="156"/>
      <c r="WEQ77" s="156"/>
      <c r="WER77" s="156"/>
      <c r="WES77" s="156"/>
      <c r="WET77" s="156"/>
      <c r="WEU77" s="156"/>
      <c r="WEV77" s="156"/>
      <c r="WEW77" s="156"/>
      <c r="WEX77" s="156"/>
      <c r="WEY77" s="156"/>
      <c r="WEZ77" s="156"/>
      <c r="WFA77" s="156"/>
      <c r="WFB77" s="156"/>
      <c r="WFC77" s="156"/>
      <c r="WFD77" s="156"/>
      <c r="WFE77" s="156"/>
      <c r="WFF77" s="156"/>
      <c r="WFG77" s="156"/>
      <c r="WFH77" s="156"/>
      <c r="WFI77" s="156"/>
      <c r="WFJ77" s="156"/>
      <c r="WFK77" s="156"/>
      <c r="WFL77" s="156"/>
      <c r="WFM77" s="156"/>
      <c r="WFN77" s="156"/>
      <c r="WFO77" s="156"/>
      <c r="WFP77" s="156"/>
      <c r="WFQ77" s="156"/>
      <c r="WFR77" s="156"/>
      <c r="WFS77" s="156"/>
      <c r="WFT77" s="156"/>
      <c r="WFU77" s="156"/>
      <c r="WFV77" s="156"/>
      <c r="WFW77" s="156"/>
      <c r="WFX77" s="156"/>
      <c r="WFY77" s="156"/>
      <c r="WFZ77" s="156"/>
      <c r="WGA77" s="156"/>
      <c r="WGB77" s="156"/>
      <c r="WGC77" s="156"/>
      <c r="WGD77" s="156"/>
      <c r="WGE77" s="156"/>
      <c r="WGF77" s="156"/>
      <c r="WGG77" s="156"/>
      <c r="WGH77" s="156"/>
      <c r="WGI77" s="156"/>
      <c r="WGJ77" s="156"/>
      <c r="WGK77" s="156"/>
      <c r="WGL77" s="156"/>
      <c r="WGM77" s="156"/>
      <c r="WGN77" s="156"/>
      <c r="WGO77" s="156"/>
      <c r="WGP77" s="156"/>
      <c r="WGQ77" s="156"/>
      <c r="WGR77" s="156"/>
      <c r="WGS77" s="156"/>
      <c r="WGT77" s="156"/>
      <c r="WGU77" s="156"/>
      <c r="WGV77" s="156"/>
      <c r="WGW77" s="156"/>
      <c r="WGX77" s="156"/>
      <c r="WGY77" s="156"/>
      <c r="WGZ77" s="156"/>
      <c r="WHA77" s="156"/>
      <c r="WHB77" s="156"/>
      <c r="WHC77" s="156"/>
      <c r="WHD77" s="156"/>
      <c r="WHE77" s="156"/>
      <c r="WHF77" s="156"/>
      <c r="WHG77" s="156"/>
      <c r="WHH77" s="156"/>
      <c r="WHI77" s="156"/>
      <c r="WHJ77" s="156"/>
      <c r="WHK77" s="156"/>
      <c r="WHL77" s="156"/>
      <c r="WHM77" s="156"/>
      <c r="WHN77" s="156"/>
      <c r="WHO77" s="156"/>
      <c r="WHP77" s="156"/>
      <c r="WHQ77" s="156"/>
      <c r="WHR77" s="156"/>
      <c r="WHS77" s="156"/>
      <c r="WHT77" s="156"/>
      <c r="WHU77" s="156"/>
      <c r="WHV77" s="156"/>
      <c r="WHW77" s="156"/>
      <c r="WHX77" s="156"/>
      <c r="WHY77" s="156"/>
      <c r="WHZ77" s="156"/>
      <c r="WIA77" s="156"/>
      <c r="WIB77" s="156"/>
      <c r="WIC77" s="156"/>
      <c r="WID77" s="156"/>
      <c r="WIE77" s="156"/>
      <c r="WIF77" s="156"/>
      <c r="WIG77" s="156"/>
      <c r="WIH77" s="156"/>
      <c r="WII77" s="156"/>
      <c r="WIJ77" s="156"/>
      <c r="WIK77" s="156"/>
      <c r="WIL77" s="156"/>
      <c r="WIM77" s="156"/>
      <c r="WIN77" s="156"/>
      <c r="WIO77" s="156"/>
      <c r="WIP77" s="156"/>
      <c r="WIQ77" s="156"/>
      <c r="WIR77" s="156"/>
      <c r="WIS77" s="156"/>
      <c r="WIT77" s="156"/>
      <c r="WIU77" s="156"/>
      <c r="WIV77" s="156"/>
      <c r="WIW77" s="156"/>
      <c r="WIX77" s="156"/>
      <c r="WIY77" s="156"/>
      <c r="WIZ77" s="156"/>
      <c r="WJA77" s="156"/>
      <c r="WJB77" s="156"/>
      <c r="WJC77" s="156"/>
      <c r="WJD77" s="156"/>
      <c r="WJE77" s="156"/>
      <c r="WJF77" s="156"/>
      <c r="WJG77" s="156"/>
      <c r="WJH77" s="156"/>
      <c r="WJI77" s="156"/>
      <c r="WJJ77" s="156"/>
      <c r="WJK77" s="156"/>
      <c r="WJL77" s="156"/>
      <c r="WJM77" s="156"/>
      <c r="WJN77" s="156"/>
      <c r="WJO77" s="156"/>
      <c r="WJP77" s="156"/>
      <c r="WJQ77" s="156"/>
      <c r="WJR77" s="156"/>
      <c r="WJS77" s="156"/>
      <c r="WJT77" s="156"/>
      <c r="WJU77" s="156"/>
      <c r="WJV77" s="156"/>
      <c r="WJW77" s="156"/>
      <c r="WJX77" s="156"/>
      <c r="WJY77" s="156"/>
      <c r="WJZ77" s="156"/>
      <c r="WKA77" s="156"/>
      <c r="WKB77" s="156"/>
      <c r="WKC77" s="156"/>
      <c r="WKD77" s="156"/>
      <c r="WKE77" s="156"/>
      <c r="WKF77" s="156"/>
      <c r="WKG77" s="156"/>
      <c r="WKH77" s="156"/>
      <c r="WKI77" s="156"/>
      <c r="WKJ77" s="156"/>
      <c r="WKK77" s="156"/>
      <c r="WKL77" s="156"/>
      <c r="WKM77" s="156"/>
      <c r="WKN77" s="156"/>
      <c r="WKO77" s="156"/>
      <c r="WKP77" s="156"/>
      <c r="WKQ77" s="156"/>
      <c r="WKR77" s="156"/>
      <c r="WKS77" s="156"/>
      <c r="WKT77" s="156"/>
      <c r="WKU77" s="156"/>
      <c r="WKV77" s="156"/>
      <c r="WKW77" s="156"/>
      <c r="WKX77" s="156"/>
      <c r="WKY77" s="156"/>
      <c r="WKZ77" s="156"/>
      <c r="WLA77" s="156"/>
      <c r="WLB77" s="156"/>
      <c r="WLC77" s="156"/>
      <c r="WLD77" s="156"/>
      <c r="WLE77" s="156"/>
      <c r="WLF77" s="156"/>
      <c r="WLG77" s="156"/>
      <c r="WLH77" s="156"/>
      <c r="WLI77" s="156"/>
      <c r="WLJ77" s="156"/>
      <c r="WLK77" s="156"/>
      <c r="WLL77" s="156"/>
      <c r="WLM77" s="156"/>
      <c r="WLN77" s="156"/>
      <c r="WLO77" s="156"/>
      <c r="WLP77" s="156"/>
      <c r="WLQ77" s="156"/>
      <c r="WLR77" s="156"/>
      <c r="WLS77" s="156"/>
      <c r="WLT77" s="156"/>
      <c r="WLU77" s="156"/>
      <c r="WLV77" s="156"/>
      <c r="WLW77" s="156"/>
      <c r="WLX77" s="156"/>
      <c r="WLY77" s="156"/>
      <c r="WLZ77" s="156"/>
      <c r="WMA77" s="156"/>
      <c r="WMB77" s="156"/>
      <c r="WMC77" s="156"/>
      <c r="WMD77" s="156"/>
      <c r="WME77" s="156"/>
      <c r="WMF77" s="156"/>
      <c r="WMG77" s="156"/>
      <c r="WMH77" s="156"/>
      <c r="WMI77" s="156"/>
      <c r="WMJ77" s="156"/>
      <c r="WMK77" s="156"/>
      <c r="WML77" s="156"/>
      <c r="WMM77" s="156"/>
      <c r="WMN77" s="156"/>
      <c r="WMO77" s="156"/>
      <c r="WMP77" s="156"/>
      <c r="WMQ77" s="156"/>
      <c r="WMR77" s="156"/>
      <c r="WMS77" s="156"/>
      <c r="WMT77" s="156"/>
      <c r="WMU77" s="156"/>
      <c r="WMV77" s="156"/>
      <c r="WMW77" s="156"/>
      <c r="WMX77" s="156"/>
      <c r="WMY77" s="156"/>
      <c r="WMZ77" s="156"/>
      <c r="WNA77" s="156"/>
      <c r="WNB77" s="156"/>
      <c r="WNC77" s="156"/>
      <c r="WND77" s="156"/>
      <c r="WNE77" s="156"/>
      <c r="WNF77" s="156"/>
      <c r="WNG77" s="156"/>
      <c r="WNH77" s="156"/>
      <c r="WNI77" s="156"/>
      <c r="WNJ77" s="156"/>
      <c r="WNK77" s="156"/>
      <c r="WNL77" s="156"/>
      <c r="WNM77" s="156"/>
      <c r="WNN77" s="156"/>
      <c r="WNO77" s="156"/>
      <c r="WNP77" s="156"/>
      <c r="WNQ77" s="156"/>
      <c r="WNR77" s="156"/>
      <c r="WNS77" s="156"/>
      <c r="WNT77" s="156"/>
      <c r="WNU77" s="156"/>
      <c r="WNV77" s="156"/>
      <c r="WNW77" s="156"/>
      <c r="WNX77" s="156"/>
      <c r="WNY77" s="156"/>
      <c r="WNZ77" s="156"/>
      <c r="WOA77" s="156"/>
      <c r="WOB77" s="156"/>
      <c r="WOC77" s="156"/>
      <c r="WOD77" s="156"/>
      <c r="WOE77" s="156"/>
      <c r="WOF77" s="156"/>
      <c r="WOG77" s="156"/>
      <c r="WOH77" s="156"/>
      <c r="WOI77" s="156"/>
      <c r="WOJ77" s="156"/>
      <c r="WOK77" s="156"/>
      <c r="WOL77" s="156"/>
      <c r="WOM77" s="156"/>
      <c r="WON77" s="156"/>
      <c r="WOO77" s="156"/>
      <c r="WOP77" s="156"/>
      <c r="WOQ77" s="156"/>
      <c r="WOR77" s="156"/>
      <c r="WOS77" s="156"/>
      <c r="WOT77" s="156"/>
      <c r="WOU77" s="156"/>
      <c r="WOV77" s="156"/>
      <c r="WOW77" s="156"/>
      <c r="WOX77" s="156"/>
      <c r="WOY77" s="156"/>
      <c r="WOZ77" s="156"/>
      <c r="WPA77" s="156"/>
      <c r="WPB77" s="156"/>
      <c r="WPC77" s="156"/>
      <c r="WPD77" s="156"/>
      <c r="WPE77" s="156"/>
      <c r="WPF77" s="156"/>
      <c r="WPG77" s="156"/>
      <c r="WPH77" s="156"/>
      <c r="WPI77" s="156"/>
      <c r="WPJ77" s="156"/>
      <c r="WPK77" s="156"/>
      <c r="WPL77" s="156"/>
      <c r="WPM77" s="156"/>
      <c r="WPN77" s="156"/>
      <c r="WPO77" s="156"/>
      <c r="WPP77" s="156"/>
      <c r="WPQ77" s="156"/>
      <c r="WPR77" s="156"/>
      <c r="WPS77" s="156"/>
      <c r="WPT77" s="156"/>
      <c r="WPU77" s="156"/>
      <c r="WPV77" s="156"/>
      <c r="WPW77" s="156"/>
      <c r="WPX77" s="156"/>
      <c r="WPY77" s="156"/>
      <c r="WPZ77" s="156"/>
      <c r="WQA77" s="156"/>
      <c r="WQB77" s="156"/>
      <c r="WQC77" s="156"/>
      <c r="WQD77" s="156"/>
      <c r="WQE77" s="156"/>
      <c r="WQF77" s="156"/>
      <c r="WQG77" s="156"/>
      <c r="WQH77" s="156"/>
      <c r="WQI77" s="156"/>
      <c r="WQJ77" s="156"/>
      <c r="WQK77" s="156"/>
      <c r="WQL77" s="156"/>
      <c r="WQM77" s="156"/>
      <c r="WQN77" s="156"/>
      <c r="WQO77" s="156"/>
      <c r="WQP77" s="156"/>
      <c r="WQQ77" s="156"/>
      <c r="WQR77" s="156"/>
      <c r="WQS77" s="156"/>
      <c r="WQT77" s="156"/>
      <c r="WQU77" s="156"/>
      <c r="WQV77" s="156"/>
      <c r="WQW77" s="156"/>
      <c r="WQX77" s="156"/>
      <c r="WQY77" s="156"/>
      <c r="WQZ77" s="156"/>
      <c r="WRA77" s="156"/>
      <c r="WRB77" s="156"/>
      <c r="WRC77" s="156"/>
      <c r="WRD77" s="156"/>
      <c r="WRE77" s="156"/>
      <c r="WRF77" s="156"/>
      <c r="WRG77" s="156"/>
      <c r="WRH77" s="156"/>
      <c r="WRI77" s="156"/>
      <c r="WRJ77" s="156"/>
      <c r="WRK77" s="156"/>
      <c r="WRL77" s="156"/>
      <c r="WRM77" s="156"/>
      <c r="WRN77" s="156"/>
      <c r="WRO77" s="156"/>
      <c r="WRP77" s="156"/>
      <c r="WRQ77" s="156"/>
      <c r="WRR77" s="156"/>
      <c r="WRS77" s="156"/>
      <c r="WRT77" s="156"/>
      <c r="WRU77" s="156"/>
      <c r="WRV77" s="156"/>
      <c r="WRW77" s="156"/>
      <c r="WRX77" s="156"/>
      <c r="WRY77" s="156"/>
      <c r="WRZ77" s="156"/>
      <c r="WSA77" s="156"/>
      <c r="WSB77" s="156"/>
      <c r="WSC77" s="156"/>
      <c r="WSD77" s="156"/>
      <c r="WSE77" s="156"/>
      <c r="WSF77" s="156"/>
      <c r="WSG77" s="156"/>
      <c r="WSH77" s="156"/>
      <c r="WSI77" s="156"/>
      <c r="WSJ77" s="156"/>
      <c r="WSK77" s="156"/>
      <c r="WSL77" s="156"/>
      <c r="WSM77" s="156"/>
      <c r="WSN77" s="156"/>
      <c r="WSO77" s="156"/>
      <c r="WSP77" s="156"/>
      <c r="WSQ77" s="156"/>
      <c r="WSR77" s="156"/>
      <c r="WSS77" s="156"/>
      <c r="WST77" s="156"/>
      <c r="WSU77" s="156"/>
      <c r="WSV77" s="156"/>
      <c r="WSW77" s="156"/>
      <c r="WSX77" s="156"/>
      <c r="WSY77" s="156"/>
      <c r="WSZ77" s="156"/>
      <c r="WTA77" s="156"/>
      <c r="WTB77" s="156"/>
      <c r="WTC77" s="156"/>
      <c r="WTD77" s="156"/>
      <c r="WTE77" s="156"/>
      <c r="WTF77" s="156"/>
      <c r="WTG77" s="156"/>
      <c r="WTH77" s="156"/>
      <c r="WTI77" s="156"/>
      <c r="WTJ77" s="156"/>
      <c r="WTK77" s="156"/>
      <c r="WTL77" s="156"/>
      <c r="WTM77" s="156"/>
      <c r="WTN77" s="156"/>
      <c r="WTO77" s="156"/>
      <c r="WTP77" s="156"/>
      <c r="WTQ77" s="156"/>
      <c r="WTR77" s="156"/>
      <c r="WTS77" s="156"/>
      <c r="WTT77" s="156"/>
      <c r="WTU77" s="156"/>
      <c r="WTV77" s="156"/>
      <c r="WTW77" s="156"/>
      <c r="WTX77" s="156"/>
      <c r="WTY77" s="156"/>
      <c r="WTZ77" s="156"/>
      <c r="WUA77" s="156"/>
      <c r="WUB77" s="156"/>
      <c r="WUC77" s="156"/>
      <c r="WUD77" s="156"/>
      <c r="WUE77" s="156"/>
      <c r="WUF77" s="156"/>
      <c r="WUG77" s="156"/>
      <c r="WUH77" s="156"/>
      <c r="WUI77" s="156"/>
      <c r="WUJ77" s="156"/>
      <c r="WUK77" s="156"/>
      <c r="WUL77" s="156"/>
      <c r="WUM77" s="156"/>
      <c r="WUN77" s="156"/>
      <c r="WUO77" s="156"/>
      <c r="WUP77" s="156"/>
      <c r="WUQ77" s="156"/>
      <c r="WUR77" s="156"/>
      <c r="WUS77" s="156"/>
      <c r="WUT77" s="156"/>
      <c r="WUU77" s="156"/>
      <c r="WUV77" s="156"/>
      <c r="WUW77" s="156"/>
      <c r="WUX77" s="156"/>
      <c r="WUY77" s="156"/>
      <c r="WUZ77" s="156"/>
      <c r="WVA77" s="156"/>
      <c r="WVB77" s="156"/>
      <c r="WVC77" s="156"/>
      <c r="WVD77" s="156"/>
      <c r="WVE77" s="156"/>
      <c r="WVF77" s="156"/>
      <c r="WVG77" s="156"/>
      <c r="WVH77" s="156"/>
      <c r="WVI77" s="156"/>
      <c r="WVJ77" s="156"/>
      <c r="WVK77" s="156"/>
      <c r="WVL77" s="156"/>
      <c r="WVM77" s="156"/>
      <c r="WVN77" s="156"/>
      <c r="WVO77" s="156"/>
      <c r="WVP77" s="156"/>
      <c r="WVQ77" s="156"/>
      <c r="WVR77" s="156"/>
      <c r="WVS77" s="156"/>
      <c r="WVT77" s="156"/>
      <c r="WVU77" s="156"/>
      <c r="WVV77" s="156"/>
      <c r="WVW77" s="156"/>
      <c r="WVX77" s="156"/>
      <c r="WVY77" s="156"/>
      <c r="WVZ77" s="156"/>
      <c r="WWA77" s="156"/>
      <c r="WWB77" s="156"/>
      <c r="WWC77" s="156"/>
      <c r="WWD77" s="156"/>
      <c r="WWE77" s="156"/>
      <c r="WWF77" s="156"/>
      <c r="WWG77" s="156"/>
      <c r="WWH77" s="156"/>
      <c r="WWI77" s="156"/>
      <c r="WWJ77" s="156"/>
      <c r="WWK77" s="156"/>
      <c r="WWL77" s="156"/>
      <c r="WWM77" s="156"/>
      <c r="WWN77" s="156"/>
      <c r="WWO77" s="156"/>
      <c r="WWP77" s="156"/>
      <c r="WWQ77" s="156"/>
      <c r="WWR77" s="156"/>
      <c r="WWS77" s="156"/>
      <c r="WWT77" s="156"/>
      <c r="WWU77" s="156"/>
      <c r="WWV77" s="156"/>
      <c r="WWW77" s="156"/>
      <c r="WWX77" s="156"/>
      <c r="WWY77" s="156"/>
      <c r="WWZ77" s="156"/>
      <c r="WXA77" s="156"/>
      <c r="WXB77" s="156"/>
      <c r="WXC77" s="156"/>
      <c r="WXD77" s="156"/>
      <c r="WXE77" s="156"/>
      <c r="WXF77" s="156"/>
      <c r="WXG77" s="156"/>
      <c r="WXH77" s="156"/>
      <c r="WXI77" s="156"/>
      <c r="WXJ77" s="156"/>
      <c r="WXK77" s="156"/>
      <c r="WXL77" s="156"/>
      <c r="WXM77" s="156"/>
      <c r="WXN77" s="156"/>
      <c r="WXO77" s="156"/>
      <c r="WXP77" s="156"/>
      <c r="WXQ77" s="156"/>
      <c r="WXR77" s="156"/>
      <c r="WXS77" s="156"/>
      <c r="WXT77" s="156"/>
      <c r="WXU77" s="156"/>
      <c r="WXV77" s="156"/>
      <c r="WXW77" s="156"/>
      <c r="WXX77" s="156"/>
      <c r="WXY77" s="156"/>
      <c r="WXZ77" s="156"/>
      <c r="WYA77" s="156"/>
      <c r="WYB77" s="156"/>
      <c r="WYC77" s="156"/>
      <c r="WYD77" s="156"/>
      <c r="WYE77" s="156"/>
      <c r="WYF77" s="156"/>
      <c r="WYG77" s="156"/>
      <c r="WYH77" s="156"/>
      <c r="WYI77" s="156"/>
      <c r="WYJ77" s="156"/>
      <c r="WYK77" s="156"/>
      <c r="WYL77" s="156"/>
      <c r="WYM77" s="156"/>
      <c r="WYN77" s="156"/>
      <c r="WYO77" s="156"/>
      <c r="WYP77" s="156"/>
      <c r="WYQ77" s="156"/>
      <c r="WYR77" s="156"/>
      <c r="WYS77" s="156"/>
      <c r="WYT77" s="156"/>
      <c r="WYU77" s="156"/>
      <c r="WYV77" s="156"/>
      <c r="WYW77" s="156"/>
      <c r="WYX77" s="156"/>
      <c r="WYY77" s="156"/>
      <c r="WYZ77" s="156"/>
      <c r="WZA77" s="156"/>
      <c r="WZB77" s="156"/>
      <c r="WZC77" s="156"/>
      <c r="WZD77" s="156"/>
      <c r="WZE77" s="156"/>
      <c r="WZF77" s="156"/>
      <c r="WZG77" s="156"/>
      <c r="WZH77" s="156"/>
      <c r="WZI77" s="156"/>
      <c r="WZJ77" s="156"/>
      <c r="WZK77" s="156"/>
      <c r="WZL77" s="156"/>
      <c r="WZM77" s="156"/>
      <c r="WZN77" s="156"/>
      <c r="WZO77" s="156"/>
      <c r="WZP77" s="156"/>
      <c r="WZQ77" s="156"/>
      <c r="WZR77" s="156"/>
      <c r="WZS77" s="156"/>
      <c r="WZT77" s="156"/>
      <c r="WZU77" s="156"/>
      <c r="WZV77" s="156"/>
      <c r="WZW77" s="156"/>
      <c r="WZX77" s="156"/>
      <c r="WZY77" s="156"/>
      <c r="WZZ77" s="156"/>
      <c r="XAA77" s="156"/>
      <c r="XAB77" s="156"/>
      <c r="XAC77" s="156"/>
      <c r="XAD77" s="156"/>
      <c r="XAE77" s="156"/>
      <c r="XAF77" s="156"/>
      <c r="XAG77" s="156"/>
      <c r="XAH77" s="156"/>
      <c r="XAI77" s="156"/>
      <c r="XAJ77" s="156"/>
      <c r="XAK77" s="156"/>
      <c r="XAL77" s="156"/>
      <c r="XAM77" s="156"/>
      <c r="XAN77" s="156"/>
      <c r="XAO77" s="156"/>
      <c r="XAP77" s="156"/>
      <c r="XAQ77" s="156"/>
      <c r="XAR77" s="156"/>
      <c r="XAS77" s="156"/>
      <c r="XAT77" s="156"/>
      <c r="XAU77" s="156"/>
      <c r="XAV77" s="156"/>
      <c r="XAW77" s="156"/>
      <c r="XAX77" s="156"/>
      <c r="XAY77" s="156"/>
      <c r="XAZ77" s="156"/>
      <c r="XBA77" s="156"/>
      <c r="XBB77" s="156"/>
      <c r="XBC77" s="156"/>
      <c r="XBD77" s="156"/>
      <c r="XBE77" s="156"/>
      <c r="XBF77" s="156"/>
      <c r="XBG77" s="156"/>
      <c r="XBH77" s="156"/>
      <c r="XBI77" s="156"/>
      <c r="XBJ77" s="156"/>
      <c r="XBK77" s="156"/>
      <c r="XBL77" s="156"/>
      <c r="XBM77" s="156"/>
      <c r="XBN77" s="156"/>
      <c r="XBO77" s="156"/>
      <c r="XBP77" s="156"/>
      <c r="XBQ77" s="156"/>
      <c r="XBR77" s="156"/>
      <c r="XBS77" s="156"/>
      <c r="XBT77" s="156"/>
      <c r="XBU77" s="156"/>
      <c r="XBV77" s="156"/>
      <c r="XBW77" s="156"/>
      <c r="XBX77" s="156"/>
      <c r="XBY77" s="156"/>
      <c r="XBZ77" s="156"/>
      <c r="XCA77" s="156"/>
      <c r="XCB77" s="156"/>
      <c r="XCC77" s="156"/>
      <c r="XCD77" s="156"/>
      <c r="XCE77" s="156"/>
      <c r="XCF77" s="156"/>
      <c r="XCG77" s="156"/>
      <c r="XCH77" s="156"/>
      <c r="XCI77" s="156"/>
      <c r="XCJ77" s="156"/>
      <c r="XCK77" s="156"/>
      <c r="XCL77" s="156"/>
      <c r="XCM77" s="156"/>
      <c r="XCN77" s="156"/>
      <c r="XCO77" s="156"/>
      <c r="XCP77" s="156"/>
      <c r="XCQ77" s="156"/>
      <c r="XCR77" s="156"/>
      <c r="XCS77" s="156"/>
      <c r="XCT77" s="156"/>
      <c r="XCU77" s="156"/>
      <c r="XCV77" s="156"/>
      <c r="XCW77" s="156"/>
      <c r="XCX77" s="156"/>
      <c r="XCY77" s="156"/>
      <c r="XCZ77" s="156"/>
      <c r="XDA77" s="156"/>
      <c r="XDB77" s="156"/>
      <c r="XDC77" s="156"/>
      <c r="XDD77" s="156"/>
      <c r="XDE77" s="156"/>
      <c r="XDF77" s="156"/>
      <c r="XDG77" s="156"/>
      <c r="XDH77" s="156"/>
      <c r="XDI77" s="156"/>
      <c r="XDJ77" s="156"/>
      <c r="XDK77" s="156"/>
      <c r="XDL77" s="156"/>
      <c r="XDM77" s="156"/>
      <c r="XDN77" s="156"/>
      <c r="XDO77" s="156"/>
      <c r="XDP77" s="156"/>
      <c r="XDQ77" s="156"/>
      <c r="XDR77" s="156"/>
      <c r="XDS77" s="156"/>
      <c r="XDT77" s="156"/>
      <c r="XDU77" s="156"/>
      <c r="XDV77" s="156"/>
      <c r="XDW77" s="156"/>
      <c r="XDX77" s="156"/>
      <c r="XDY77" s="156"/>
      <c r="XDZ77" s="156"/>
      <c r="XEA77" s="156"/>
      <c r="XEB77" s="156"/>
      <c r="XEC77" s="156"/>
      <c r="XED77" s="156"/>
      <c r="XEE77" s="156"/>
      <c r="XEF77" s="156"/>
      <c r="XEG77" s="156"/>
      <c r="XEH77" s="156"/>
      <c r="XEI77" s="156"/>
      <c r="XEJ77" s="156"/>
    </row>
    <row r="78" spans="1:16364" ht="14.1" customHeight="1" x14ac:dyDescent="0.2">
      <c r="A78" s="210" t="s">
        <v>720</v>
      </c>
      <c r="B78" s="210" t="s">
        <v>719</v>
      </c>
      <c r="C78" s="210" t="s">
        <v>1025</v>
      </c>
      <c r="D78" s="210" t="s">
        <v>718</v>
      </c>
      <c r="E78" s="210">
        <v>6685000000000</v>
      </c>
      <c r="F78" s="210" t="s">
        <v>999</v>
      </c>
      <c r="G78" s="210">
        <v>1080</v>
      </c>
      <c r="H78" s="210" t="s">
        <v>843</v>
      </c>
      <c r="I78" s="210" t="s">
        <v>843</v>
      </c>
      <c r="J78" s="210" t="s">
        <v>352</v>
      </c>
      <c r="K78" s="210" t="s">
        <v>1489</v>
      </c>
      <c r="M78" s="210" t="s">
        <v>1472</v>
      </c>
    </row>
    <row r="79" spans="1:16364" ht="14.1" customHeight="1" x14ac:dyDescent="0.2">
      <c r="A79" s="210" t="s">
        <v>378</v>
      </c>
      <c r="B79" s="210">
        <v>1354</v>
      </c>
      <c r="D79" s="210">
        <v>3</v>
      </c>
      <c r="F79" s="210">
        <v>5351217</v>
      </c>
      <c r="H79" s="210" t="s">
        <v>973</v>
      </c>
      <c r="I79" s="210" t="s">
        <v>207</v>
      </c>
      <c r="J79" s="210">
        <v>5220005351217</v>
      </c>
      <c r="K79" s="210" t="s">
        <v>432</v>
      </c>
      <c r="L79" s="210">
        <v>360</v>
      </c>
      <c r="M79" s="210" t="s">
        <v>432</v>
      </c>
      <c r="N79" s="210" t="s">
        <v>432</v>
      </c>
      <c r="O79" s="210" t="s">
        <v>352</v>
      </c>
      <c r="Q79" s="210" t="s">
        <v>1518</v>
      </c>
      <c r="R79" s="210" t="s">
        <v>368</v>
      </c>
    </row>
    <row r="80" spans="1:16364" ht="14.1" customHeight="1" x14ac:dyDescent="0.2">
      <c r="A80" s="210" t="s">
        <v>379</v>
      </c>
      <c r="B80" s="210">
        <v>1359</v>
      </c>
      <c r="D80" s="210">
        <v>3</v>
      </c>
      <c r="F80" s="210">
        <v>5351217</v>
      </c>
      <c r="H80" s="210" t="s">
        <v>973</v>
      </c>
      <c r="I80" s="210" t="s">
        <v>207</v>
      </c>
      <c r="J80" s="210">
        <v>5220005351217</v>
      </c>
      <c r="K80" s="210" t="s">
        <v>432</v>
      </c>
      <c r="L80" s="210">
        <v>360</v>
      </c>
      <c r="M80" s="210" t="s">
        <v>432</v>
      </c>
      <c r="N80" s="210" t="s">
        <v>432</v>
      </c>
      <c r="O80" s="210" t="s">
        <v>352</v>
      </c>
      <c r="Q80" s="210" t="s">
        <v>1518</v>
      </c>
      <c r="R80" s="210" t="s">
        <v>368</v>
      </c>
    </row>
    <row r="81" spans="1:22" ht="14.1" customHeight="1" x14ac:dyDescent="0.2">
      <c r="A81" s="210" t="s">
        <v>380</v>
      </c>
      <c r="B81" s="210" t="s">
        <v>208</v>
      </c>
      <c r="D81" s="210">
        <v>3</v>
      </c>
      <c r="F81" s="210">
        <v>5351217</v>
      </c>
      <c r="H81" s="210" t="s">
        <v>973</v>
      </c>
      <c r="I81" s="210" t="s">
        <v>207</v>
      </c>
      <c r="J81" s="210">
        <v>5220005351217</v>
      </c>
      <c r="K81" s="210" t="s">
        <v>432</v>
      </c>
      <c r="L81" s="210">
        <v>360</v>
      </c>
      <c r="M81" s="210" t="s">
        <v>432</v>
      </c>
      <c r="N81" s="210" t="s">
        <v>432</v>
      </c>
      <c r="O81" s="210" t="s">
        <v>352</v>
      </c>
      <c r="Q81" s="210" t="s">
        <v>1518</v>
      </c>
      <c r="R81" s="210" t="s">
        <v>368</v>
      </c>
    </row>
    <row r="82" spans="1:22" ht="14.1" customHeight="1" x14ac:dyDescent="0.2">
      <c r="A82" s="210" t="s">
        <v>597</v>
      </c>
      <c r="B82" s="210" t="s">
        <v>580</v>
      </c>
      <c r="C82" s="210" t="s">
        <v>753</v>
      </c>
      <c r="D82" s="210" t="s">
        <v>855</v>
      </c>
      <c r="F82" s="210" t="s">
        <v>1397</v>
      </c>
      <c r="H82" s="210" t="s">
        <v>855</v>
      </c>
      <c r="I82" s="210" t="s">
        <v>581</v>
      </c>
      <c r="J82" s="210">
        <v>6625010618928</v>
      </c>
      <c r="K82" s="210" t="s">
        <v>843</v>
      </c>
      <c r="L82" s="210">
        <v>180</v>
      </c>
      <c r="M82" s="210" t="s">
        <v>843</v>
      </c>
      <c r="N82" s="210" t="s">
        <v>843</v>
      </c>
      <c r="O82" s="210" t="s">
        <v>352</v>
      </c>
      <c r="U82" s="210" t="s">
        <v>1519</v>
      </c>
      <c r="V82" s="210" t="s">
        <v>367</v>
      </c>
    </row>
  </sheetData>
  <conditionalFormatting sqref="H19:H20 T22:X22 L24 T25:X25 J26 T27:X29 J30:J31 T32:X35 H36:H41 U44:Y44">
    <cfRule type="containsText" dxfId="114" priority="147" stopIfTrue="1" operator="containsText" text="DEL">
      <formula>NOT(ISERROR(SEARCH("DEL",H19)))</formula>
    </cfRule>
  </conditionalFormatting>
  <conditionalFormatting sqref="I19 J21 Y22 M24 Y27:Y29 K31 Y32:Y35 I36 I39 Z44">
    <cfRule type="containsText" dxfId="113" priority="146" stopIfTrue="1" operator="containsText" text="pickup">
      <formula>NOT(ISERROR(SEARCH("pickup",I19)))</formula>
    </cfRule>
  </conditionalFormatting>
  <conditionalFormatting sqref="I19">
    <cfRule type="containsText" dxfId="112" priority="143" stopIfTrue="1" operator="containsText" text="Proj">
      <formula>NOT(ISERROR(SEARCH("Proj",I19)))</formula>
    </cfRule>
    <cfRule type="containsText" dxfId="111" priority="144" stopIfTrue="1" operator="containsText" text="at lab">
      <formula>NOT(ISERROR(SEARCH("at lab",I19)))</formula>
    </cfRule>
    <cfRule type="expression" dxfId="110" priority="145" stopIfTrue="1">
      <formula>E19&lt;45</formula>
    </cfRule>
  </conditionalFormatting>
  <conditionalFormatting sqref="I20">
    <cfRule type="containsText" dxfId="109" priority="139" stopIfTrue="1" operator="containsText" text="Proj">
      <formula>NOT(ISERROR(SEARCH("Proj",I20)))</formula>
    </cfRule>
    <cfRule type="containsText" dxfId="108" priority="140" stopIfTrue="1" operator="containsText" text="at lab">
      <formula>NOT(ISERROR(SEARCH("at lab",I20)))</formula>
    </cfRule>
    <cfRule type="expression" dxfId="107" priority="141" stopIfTrue="1">
      <formula>E20&lt;45</formula>
    </cfRule>
  </conditionalFormatting>
  <conditionalFormatting sqref="J21">
    <cfRule type="containsText" dxfId="106" priority="135" stopIfTrue="1" operator="containsText" text="Proj">
      <formula>NOT(ISERROR(SEARCH("Proj",J21)))</formula>
    </cfRule>
    <cfRule type="containsText" dxfId="105" priority="136" stopIfTrue="1" operator="containsText" text="at lab">
      <formula>NOT(ISERROR(SEARCH("at lab",J21)))</formula>
    </cfRule>
    <cfRule type="expression" dxfId="104" priority="137" stopIfTrue="1">
      <formula>F21&lt;45</formula>
    </cfRule>
  </conditionalFormatting>
  <conditionalFormatting sqref="Y22">
    <cfRule type="containsText" dxfId="103" priority="130" stopIfTrue="1" operator="containsText" text="Proj">
      <formula>NOT(ISERROR(SEARCH("Proj",Y22)))</formula>
    </cfRule>
    <cfRule type="containsText" dxfId="102" priority="131" stopIfTrue="1" operator="containsText" text="at lab">
      <formula>NOT(ISERROR(SEARCH("at lab",Y22)))</formula>
    </cfRule>
    <cfRule type="expression" dxfId="101" priority="132" stopIfTrue="1">
      <formula>U22&lt;45</formula>
    </cfRule>
  </conditionalFormatting>
  <conditionalFormatting sqref="M24">
    <cfRule type="containsText" dxfId="100" priority="125" stopIfTrue="1" operator="containsText" text="Proj">
      <formula>NOT(ISERROR(SEARCH("Proj",M24)))</formula>
    </cfRule>
    <cfRule type="containsText" dxfId="99" priority="126" stopIfTrue="1" operator="containsText" text="at lab">
      <formula>NOT(ISERROR(SEARCH("at lab",M24)))</formula>
    </cfRule>
    <cfRule type="expression" dxfId="98" priority="127" stopIfTrue="1">
      <formula>I24&lt;45</formula>
    </cfRule>
  </conditionalFormatting>
  <conditionalFormatting sqref="Y25">
    <cfRule type="containsText" dxfId="97" priority="121" stopIfTrue="1" operator="containsText" text="Proj">
      <formula>NOT(ISERROR(SEARCH("Proj",Y25)))</formula>
    </cfRule>
    <cfRule type="containsText" dxfId="96" priority="122" stopIfTrue="1" operator="containsText" text="at lab">
      <formula>NOT(ISERROR(SEARCH("at lab",Y25)))</formula>
    </cfRule>
    <cfRule type="expression" dxfId="95" priority="123" stopIfTrue="1">
      <formula>U25&lt;45</formula>
    </cfRule>
  </conditionalFormatting>
  <conditionalFormatting sqref="K26">
    <cfRule type="containsText" dxfId="94" priority="117" stopIfTrue="1" operator="containsText" text="Proj">
      <formula>NOT(ISERROR(SEARCH("Proj",K26)))</formula>
    </cfRule>
    <cfRule type="containsText" dxfId="93" priority="118" stopIfTrue="1" operator="containsText" text="at lab">
      <formula>NOT(ISERROR(SEARCH("at lab",K26)))</formula>
    </cfRule>
    <cfRule type="expression" dxfId="92" priority="119" stopIfTrue="1">
      <formula>G26&lt;45</formula>
    </cfRule>
  </conditionalFormatting>
  <conditionalFormatting sqref="Y27">
    <cfRule type="containsText" dxfId="91" priority="112" stopIfTrue="1" operator="containsText" text="Proj">
      <formula>NOT(ISERROR(SEARCH("Proj",Y27)))</formula>
    </cfRule>
    <cfRule type="containsText" dxfId="90" priority="113" stopIfTrue="1" operator="containsText" text="at lab">
      <formula>NOT(ISERROR(SEARCH("at lab",Y27)))</formula>
    </cfRule>
    <cfRule type="expression" dxfId="89" priority="114" stopIfTrue="1">
      <formula>U27&lt;45</formula>
    </cfRule>
  </conditionalFormatting>
  <conditionalFormatting sqref="Y28">
    <cfRule type="containsText" dxfId="88" priority="107" stopIfTrue="1" operator="containsText" text="Proj">
      <formula>NOT(ISERROR(SEARCH("Proj",Y28)))</formula>
    </cfRule>
    <cfRule type="containsText" dxfId="87" priority="108" stopIfTrue="1" operator="containsText" text="at lab">
      <formula>NOT(ISERROR(SEARCH("at lab",Y28)))</formula>
    </cfRule>
    <cfRule type="expression" dxfId="86" priority="109" stopIfTrue="1">
      <formula>U28&lt;45</formula>
    </cfRule>
  </conditionalFormatting>
  <conditionalFormatting sqref="Y29">
    <cfRule type="containsText" dxfId="85" priority="102" stopIfTrue="1" operator="containsText" text="Proj">
      <formula>NOT(ISERROR(SEARCH("Proj",Y29)))</formula>
    </cfRule>
    <cfRule type="containsText" dxfId="84" priority="103" stopIfTrue="1" operator="containsText" text="at lab">
      <formula>NOT(ISERROR(SEARCH("at lab",Y29)))</formula>
    </cfRule>
    <cfRule type="expression" dxfId="83" priority="104" stopIfTrue="1">
      <formula>U29&lt;45</formula>
    </cfRule>
  </conditionalFormatting>
  <conditionalFormatting sqref="K30">
    <cfRule type="containsText" dxfId="82" priority="98" stopIfTrue="1" operator="containsText" text="Proj">
      <formula>NOT(ISERROR(SEARCH("Proj",K30)))</formula>
    </cfRule>
    <cfRule type="containsText" dxfId="81" priority="99" stopIfTrue="1" operator="containsText" text="at lab">
      <formula>NOT(ISERROR(SEARCH("at lab",K30)))</formula>
    </cfRule>
    <cfRule type="expression" dxfId="80" priority="100" stopIfTrue="1">
      <formula>G30&lt;45</formula>
    </cfRule>
  </conditionalFormatting>
  <conditionalFormatting sqref="K31">
    <cfRule type="containsText" dxfId="79" priority="93" stopIfTrue="1" operator="containsText" text="Proj">
      <formula>NOT(ISERROR(SEARCH("Proj",K31)))</formula>
    </cfRule>
    <cfRule type="containsText" dxfId="78" priority="94" stopIfTrue="1" operator="containsText" text="at lab">
      <formula>NOT(ISERROR(SEARCH("at lab",K31)))</formula>
    </cfRule>
    <cfRule type="expression" dxfId="77" priority="95" stopIfTrue="1">
      <formula>G31&lt;45</formula>
    </cfRule>
  </conditionalFormatting>
  <conditionalFormatting sqref="Y32:Y33">
    <cfRule type="containsText" dxfId="76" priority="88" stopIfTrue="1" operator="containsText" text="Proj">
      <formula>NOT(ISERROR(SEARCH("Proj",Y32)))</formula>
    </cfRule>
    <cfRule type="containsText" dxfId="75" priority="89" stopIfTrue="1" operator="containsText" text="at lab">
      <formula>NOT(ISERROR(SEARCH("at lab",Y32)))</formula>
    </cfRule>
    <cfRule type="expression" dxfId="74" priority="90" stopIfTrue="1">
      <formula>U32&lt;45</formula>
    </cfRule>
  </conditionalFormatting>
  <conditionalFormatting sqref="Y34">
    <cfRule type="containsText" dxfId="73" priority="83" stopIfTrue="1" operator="containsText" text="Proj">
      <formula>NOT(ISERROR(SEARCH("Proj",Y34)))</formula>
    </cfRule>
    <cfRule type="containsText" dxfId="72" priority="84" stopIfTrue="1" operator="containsText" text="at lab">
      <formula>NOT(ISERROR(SEARCH("at lab",Y34)))</formula>
    </cfRule>
    <cfRule type="expression" dxfId="71" priority="85" stopIfTrue="1">
      <formula>U34&lt;45</formula>
    </cfRule>
  </conditionalFormatting>
  <conditionalFormatting sqref="Y35">
    <cfRule type="containsText" dxfId="70" priority="78" stopIfTrue="1" operator="containsText" text="Proj">
      <formula>NOT(ISERROR(SEARCH("Proj",Y35)))</formula>
    </cfRule>
    <cfRule type="containsText" dxfId="69" priority="79" stopIfTrue="1" operator="containsText" text="at lab">
      <formula>NOT(ISERROR(SEARCH("at lab",Y35)))</formula>
    </cfRule>
    <cfRule type="expression" dxfId="68" priority="80" stopIfTrue="1">
      <formula>U35&lt;45</formula>
    </cfRule>
  </conditionalFormatting>
  <conditionalFormatting sqref="I36">
    <cfRule type="containsText" dxfId="67" priority="73" stopIfTrue="1" operator="containsText" text="Proj">
      <formula>NOT(ISERROR(SEARCH("Proj",I36)))</formula>
    </cfRule>
    <cfRule type="containsText" dxfId="66" priority="74" stopIfTrue="1" operator="containsText" text="at lab">
      <formula>NOT(ISERROR(SEARCH("at lab",I36)))</formula>
    </cfRule>
    <cfRule type="expression" dxfId="65" priority="75" stopIfTrue="1">
      <formula>E36&lt;45</formula>
    </cfRule>
  </conditionalFormatting>
  <conditionalFormatting sqref="I37:I40">
    <cfRule type="containsText" dxfId="64" priority="68" stopIfTrue="1" operator="containsText" text="Proj">
      <formula>NOT(ISERROR(SEARCH("Proj",I37)))</formula>
    </cfRule>
    <cfRule type="containsText" dxfId="63" priority="69" stopIfTrue="1" operator="containsText" text="at lab">
      <formula>NOT(ISERROR(SEARCH("at lab",I37)))</formula>
    </cfRule>
    <cfRule type="expression" dxfId="62" priority="70" stopIfTrue="1">
      <formula>E37&lt;45</formula>
    </cfRule>
  </conditionalFormatting>
  <conditionalFormatting sqref="I39">
    <cfRule type="containsText" dxfId="61" priority="65" stopIfTrue="1" operator="containsText" text="Proj">
      <formula>NOT(ISERROR(SEARCH("Proj",I39)))</formula>
    </cfRule>
    <cfRule type="containsText" dxfId="60" priority="66" stopIfTrue="1" operator="containsText" text="at lab">
      <formula>NOT(ISERROR(SEARCH("at lab",I39)))</formula>
    </cfRule>
    <cfRule type="expression" dxfId="59" priority="67" stopIfTrue="1">
      <formula>E39&lt;45</formula>
    </cfRule>
  </conditionalFormatting>
  <conditionalFormatting sqref="I41">
    <cfRule type="containsText" dxfId="58" priority="61" stopIfTrue="1" operator="containsText" text="Proj">
      <formula>NOT(ISERROR(SEARCH("Proj",I41)))</formula>
    </cfRule>
    <cfRule type="containsText" dxfId="57" priority="62" stopIfTrue="1" operator="containsText" text="at lab">
      <formula>NOT(ISERROR(SEARCH("at lab",I41)))</formula>
    </cfRule>
    <cfRule type="expression" dxfId="56" priority="63" stopIfTrue="1">
      <formula>E41&lt;45</formula>
    </cfRule>
  </conditionalFormatting>
  <conditionalFormatting sqref="Z44">
    <cfRule type="containsText" dxfId="55" priority="56" stopIfTrue="1" operator="containsText" text="Proj">
      <formula>NOT(ISERROR(SEARCH("Proj",Z44)))</formula>
    </cfRule>
    <cfRule type="containsText" dxfId="54" priority="57" stopIfTrue="1" operator="containsText" text="at lab">
      <formula>NOT(ISERROR(SEARCH("at lab",Z44)))</formula>
    </cfRule>
    <cfRule type="expression" dxfId="53" priority="58" stopIfTrue="1">
      <formula>V44&lt;45</formula>
    </cfRule>
  </conditionalFormatting>
  <conditionalFormatting sqref="I45">
    <cfRule type="containsText" dxfId="52" priority="50" stopIfTrue="1" operator="containsText" text="DEL">
      <formula>NOT(ISERROR(SEARCH("DEL",I45)))</formula>
    </cfRule>
  </conditionalFormatting>
  <conditionalFormatting sqref="J45">
    <cfRule type="containsText" dxfId="51" priority="49" stopIfTrue="1" operator="containsText" text="pickup">
      <formula>NOT(ISERROR(SEARCH("pickup",J45)))</formula>
    </cfRule>
  </conditionalFormatting>
  <conditionalFormatting sqref="J45">
    <cfRule type="containsText" dxfId="50" priority="46" stopIfTrue="1" operator="containsText" text="Proj">
      <formula>NOT(ISERROR(SEARCH("Proj",J45)))</formula>
    </cfRule>
    <cfRule type="containsText" dxfId="49" priority="47" stopIfTrue="1" operator="containsText" text="at lab">
      <formula>NOT(ISERROR(SEARCH("at lab",J45)))</formula>
    </cfRule>
    <cfRule type="expression" dxfId="48" priority="48" stopIfTrue="1">
      <formula>F45&lt;45</formula>
    </cfRule>
  </conditionalFormatting>
  <conditionalFormatting sqref="J45">
    <cfRule type="containsText" dxfId="47" priority="43" stopIfTrue="1" operator="containsText" text="Proj">
      <formula>NOT(ISERROR(SEARCH("Proj",J45)))</formula>
    </cfRule>
    <cfRule type="containsText" dxfId="46" priority="44" stopIfTrue="1" operator="containsText" text="at lab">
      <formula>NOT(ISERROR(SEARCH("at lab",J45)))</formula>
    </cfRule>
    <cfRule type="expression" dxfId="45" priority="45" stopIfTrue="1">
      <formula>F45&lt;45</formula>
    </cfRule>
  </conditionalFormatting>
  <conditionalFormatting sqref="O45">
    <cfRule type="containsText" dxfId="44" priority="40" stopIfTrue="1" operator="containsText" text="Proj">
      <formula>NOT(ISERROR(SEARCH("Proj",O45)))</formula>
    </cfRule>
    <cfRule type="containsText" dxfId="43" priority="41" stopIfTrue="1" operator="containsText" text="at lab">
      <formula>NOT(ISERROR(SEARCH("at lab",O45)))</formula>
    </cfRule>
    <cfRule type="expression" dxfId="42" priority="42" stopIfTrue="1">
      <formula>K45&lt;45</formula>
    </cfRule>
  </conditionalFormatting>
  <conditionalFormatting sqref="I46">
    <cfRule type="containsText" dxfId="41" priority="39" stopIfTrue="1" operator="containsText" text="DEL">
      <formula>NOT(ISERROR(SEARCH("DEL",I46)))</formula>
    </cfRule>
  </conditionalFormatting>
  <conditionalFormatting sqref="J46">
    <cfRule type="containsText" dxfId="40" priority="36" stopIfTrue="1" operator="containsText" text="Proj">
      <formula>NOT(ISERROR(SEARCH("Proj",J46)))</formula>
    </cfRule>
    <cfRule type="containsText" dxfId="39" priority="37" stopIfTrue="1" operator="containsText" text="at lab">
      <formula>NOT(ISERROR(SEARCH("at lab",J46)))</formula>
    </cfRule>
    <cfRule type="expression" dxfId="38" priority="38" stopIfTrue="1">
      <formula>F46&lt;45</formula>
    </cfRule>
  </conditionalFormatting>
  <conditionalFormatting sqref="I47">
    <cfRule type="containsText" dxfId="37" priority="35" stopIfTrue="1" operator="containsText" text="DEL">
      <formula>NOT(ISERROR(SEARCH("DEL",I47)))</formula>
    </cfRule>
  </conditionalFormatting>
  <conditionalFormatting sqref="J47">
    <cfRule type="containsText" dxfId="36" priority="34" stopIfTrue="1" operator="containsText" text="pickup">
      <formula>NOT(ISERROR(SEARCH("pickup",J47)))</formula>
    </cfRule>
  </conditionalFormatting>
  <conditionalFormatting sqref="J47">
    <cfRule type="containsText" dxfId="35" priority="31" stopIfTrue="1" operator="containsText" text="Proj">
      <formula>NOT(ISERROR(SEARCH("Proj",J47)))</formula>
    </cfRule>
    <cfRule type="containsText" dxfId="34" priority="32" stopIfTrue="1" operator="containsText" text="at lab">
      <formula>NOT(ISERROR(SEARCH("at lab",J47)))</formula>
    </cfRule>
    <cfRule type="expression" dxfId="33" priority="33" stopIfTrue="1">
      <formula>F47&lt;45</formula>
    </cfRule>
  </conditionalFormatting>
  <conditionalFormatting sqref="J47">
    <cfRule type="containsText" dxfId="32" priority="28" stopIfTrue="1" operator="containsText" text="Proj">
      <formula>NOT(ISERROR(SEARCH("Proj",J47)))</formula>
    </cfRule>
    <cfRule type="containsText" dxfId="31" priority="29" stopIfTrue="1" operator="containsText" text="at lab">
      <formula>NOT(ISERROR(SEARCH("at lab",J47)))</formula>
    </cfRule>
    <cfRule type="expression" dxfId="30" priority="30" stopIfTrue="1">
      <formula>F47&lt;45</formula>
    </cfRule>
  </conditionalFormatting>
  <conditionalFormatting sqref="O47">
    <cfRule type="containsText" dxfId="29" priority="25" stopIfTrue="1" operator="containsText" text="Proj">
      <formula>NOT(ISERROR(SEARCH("Proj",O47)))</formula>
    </cfRule>
    <cfRule type="containsText" dxfId="28" priority="26" stopIfTrue="1" operator="containsText" text="at lab">
      <formula>NOT(ISERROR(SEARCH("at lab",O47)))</formula>
    </cfRule>
    <cfRule type="expression" dxfId="27" priority="27" stopIfTrue="1">
      <formula>K47&lt;45</formula>
    </cfRule>
  </conditionalFormatting>
  <conditionalFormatting sqref="I48">
    <cfRule type="containsText" dxfId="26" priority="24" stopIfTrue="1" operator="containsText" text="DEL">
      <formula>NOT(ISERROR(SEARCH("DEL",I48)))</formula>
    </cfRule>
  </conditionalFormatting>
  <conditionalFormatting sqref="J48">
    <cfRule type="containsText" dxfId="25" priority="23" stopIfTrue="1" operator="containsText" text="pickup">
      <formula>NOT(ISERROR(SEARCH("pickup",J48)))</formula>
    </cfRule>
  </conditionalFormatting>
  <conditionalFormatting sqref="J48">
    <cfRule type="containsText" dxfId="24" priority="20" stopIfTrue="1" operator="containsText" text="Proj">
      <formula>NOT(ISERROR(SEARCH("Proj",J48)))</formula>
    </cfRule>
    <cfRule type="containsText" dxfId="23" priority="21" stopIfTrue="1" operator="containsText" text="at lab">
      <formula>NOT(ISERROR(SEARCH("at lab",J48)))</formula>
    </cfRule>
    <cfRule type="expression" dxfId="22" priority="22" stopIfTrue="1">
      <formula>F48&lt;45</formula>
    </cfRule>
  </conditionalFormatting>
  <conditionalFormatting sqref="J48">
    <cfRule type="containsText" dxfId="21" priority="17" stopIfTrue="1" operator="containsText" text="Proj">
      <formula>NOT(ISERROR(SEARCH("Proj",J48)))</formula>
    </cfRule>
    <cfRule type="containsText" dxfId="20" priority="18" stopIfTrue="1" operator="containsText" text="at lab">
      <formula>NOT(ISERROR(SEARCH("at lab",J48)))</formula>
    </cfRule>
    <cfRule type="expression" dxfId="19" priority="19" stopIfTrue="1">
      <formula>F48&lt;45</formula>
    </cfRule>
  </conditionalFormatting>
  <conditionalFormatting sqref="O48">
    <cfRule type="containsText" dxfId="18" priority="14" stopIfTrue="1" operator="containsText" text="Proj">
      <formula>NOT(ISERROR(SEARCH("Proj",O48)))</formula>
    </cfRule>
    <cfRule type="containsText" dxfId="17" priority="15" stopIfTrue="1" operator="containsText" text="at lab">
      <formula>NOT(ISERROR(SEARCH("at lab",O48)))</formula>
    </cfRule>
    <cfRule type="expression" dxfId="16" priority="16" stopIfTrue="1">
      <formula>K48&lt;45</formula>
    </cfRule>
  </conditionalFormatting>
  <conditionalFormatting sqref="B76">
    <cfRule type="duplicateValues" dxfId="15" priority="13" stopIfTrue="1"/>
  </conditionalFormatting>
  <conditionalFormatting sqref="C76">
    <cfRule type="duplicateValues" dxfId="14" priority="12" stopIfTrue="1"/>
  </conditionalFormatting>
  <conditionalFormatting sqref="J76">
    <cfRule type="containsText" dxfId="13" priority="11" operator="containsText" text="DEL">
      <formula>NOT(ISERROR(SEARCH("DEL",J76)))</formula>
    </cfRule>
  </conditionalFormatting>
  <conditionalFormatting sqref="K76">
    <cfRule type="containsText" dxfId="12" priority="8" stopIfTrue="1" operator="containsText" text="Proj">
      <formula>NOT(ISERROR(SEARCH("Proj",K76)))</formula>
    </cfRule>
  </conditionalFormatting>
  <conditionalFormatting sqref="K76">
    <cfRule type="containsText" dxfId="11" priority="10" operator="containsText" text="DEL">
      <formula>NOT(ISERROR(SEARCH("DEL",K76)))</formula>
    </cfRule>
  </conditionalFormatting>
  <conditionalFormatting sqref="K76">
    <cfRule type="containsText" dxfId="10" priority="7" stopIfTrue="1" operator="containsText" text="AT LAB">
      <formula>NOT(ISERROR(SEARCH("AT LAB",K76)))</formula>
    </cfRule>
    <cfRule type="expression" dxfId="9" priority="9">
      <formula>Y76&lt;$J$4</formula>
    </cfRule>
  </conditionalFormatting>
  <conditionalFormatting sqref="B77">
    <cfRule type="duplicateValues" dxfId="8" priority="6" stopIfTrue="1"/>
  </conditionalFormatting>
  <conditionalFormatting sqref="C77">
    <cfRule type="duplicateValues" dxfId="7" priority="5" stopIfTrue="1"/>
  </conditionalFormatting>
  <conditionalFormatting sqref="J77">
    <cfRule type="containsText" dxfId="6" priority="4" operator="containsText" text="DEL">
      <formula>NOT(ISERROR(SEARCH("DEL",J77)))</formula>
    </cfRule>
  </conditionalFormatting>
  <conditionalFormatting sqref="K77">
    <cfRule type="containsText" dxfId="5" priority="2" stopIfTrue="1" operator="containsText" text="Proj">
      <formula>NOT(ISERROR(SEARCH("Proj",K77)))</formula>
    </cfRule>
  </conditionalFormatting>
  <conditionalFormatting sqref="K77">
    <cfRule type="containsText" dxfId="4" priority="1" stopIfTrue="1" operator="containsText" text="AT LAB">
      <formula>NOT(ISERROR(SEARCH("AT LAB",K77)))</formula>
    </cfRule>
    <cfRule type="expression" dxfId="3" priority="3">
      <formula>Y77&lt;$J$4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A1:E36"/>
  <sheetViews>
    <sheetView workbookViewId="0">
      <selection activeCell="H20" sqref="H20"/>
    </sheetView>
  </sheetViews>
  <sheetFormatPr defaultColWidth="8.85546875" defaultRowHeight="12.75" x14ac:dyDescent="0.2"/>
  <cols>
    <col min="1" max="1" width="16" style="5" customWidth="1"/>
    <col min="2" max="2" width="7.28515625" style="5" customWidth="1"/>
    <col min="3" max="3" width="12.140625" style="5" customWidth="1"/>
    <col min="4" max="4" width="8.85546875" style="5"/>
    <col min="5" max="5" width="78.28515625" style="5" customWidth="1"/>
    <col min="6" max="16384" width="8.85546875" style="5"/>
  </cols>
  <sheetData>
    <row r="1" spans="1:5" x14ac:dyDescent="0.2">
      <c r="A1" s="429" t="s">
        <v>234</v>
      </c>
      <c r="B1" s="433"/>
      <c r="C1" s="433"/>
      <c r="D1" s="433"/>
      <c r="E1" s="433"/>
    </row>
    <row r="2" spans="1:5" x14ac:dyDescent="0.2">
      <c r="A2" s="434" t="s">
        <v>235</v>
      </c>
      <c r="B2" s="433"/>
      <c r="C2" s="433"/>
      <c r="D2" s="433"/>
      <c r="E2" s="433"/>
    </row>
    <row r="3" spans="1:5" x14ac:dyDescent="0.2">
      <c r="A3" s="429" t="s">
        <v>236</v>
      </c>
      <c r="B3" s="429"/>
      <c r="C3" s="429"/>
      <c r="D3" s="429"/>
      <c r="E3" s="429"/>
    </row>
    <row r="4" spans="1:5" x14ac:dyDescent="0.2">
      <c r="A4" s="429" t="s">
        <v>237</v>
      </c>
      <c r="B4" s="429"/>
      <c r="C4" s="429"/>
      <c r="D4" s="429"/>
      <c r="E4" s="429"/>
    </row>
    <row r="5" spans="1:5" ht="12.75" customHeight="1" x14ac:dyDescent="0.2">
      <c r="A5" s="7"/>
      <c r="B5" s="9"/>
      <c r="C5" s="10"/>
      <c r="D5" s="8"/>
      <c r="E5" s="8"/>
    </row>
    <row r="6" spans="1:5" x14ac:dyDescent="0.2">
      <c r="A6" s="23"/>
      <c r="B6" s="8"/>
      <c r="C6" s="8"/>
      <c r="D6" s="8"/>
      <c r="E6" s="1"/>
    </row>
    <row r="7" spans="1:5" x14ac:dyDescent="0.2">
      <c r="A7" s="11"/>
      <c r="B7" s="8"/>
      <c r="C7" s="8"/>
      <c r="D7" s="8"/>
      <c r="E7" s="8"/>
    </row>
    <row r="8" spans="1:5" x14ac:dyDescent="0.2">
      <c r="A8" s="11"/>
      <c r="B8" s="8"/>
      <c r="C8" s="8"/>
      <c r="D8" s="8"/>
      <c r="E8" s="22">
        <v>41915</v>
      </c>
    </row>
    <row r="9" spans="1:5" ht="13.5" thickBot="1" x14ac:dyDescent="0.25">
      <c r="A9" s="12" t="s">
        <v>356</v>
      </c>
      <c r="B9" s="13"/>
      <c r="C9" s="429" t="s">
        <v>223</v>
      </c>
      <c r="D9" s="430"/>
      <c r="E9" s="7" t="s">
        <v>233</v>
      </c>
    </row>
    <row r="10" spans="1:5" ht="13.5" thickBot="1" x14ac:dyDescent="0.25">
      <c r="A10" s="2">
        <f>(Consolidated!B6)</f>
        <v>268</v>
      </c>
      <c r="B10" s="14"/>
      <c r="C10" s="444">
        <v>95</v>
      </c>
      <c r="D10" s="445"/>
      <c r="E10" s="6">
        <f ca="1">100-((A14+(A12-D28))/(A10-B26))*100</f>
        <v>91.287878787878782</v>
      </c>
    </row>
    <row r="11" spans="1:5" ht="13.5" thickBot="1" x14ac:dyDescent="0.25">
      <c r="A11" s="12" t="s">
        <v>611</v>
      </c>
      <c r="B11" s="7"/>
      <c r="C11" s="14"/>
      <c r="D11" s="7"/>
      <c r="E11" s="7"/>
    </row>
    <row r="12" spans="1:5" ht="14.25" customHeight="1" thickBot="1" x14ac:dyDescent="0.25">
      <c r="A12" s="3">
        <v>0</v>
      </c>
      <c r="B12" s="7"/>
      <c r="C12" s="429" t="s">
        <v>223</v>
      </c>
      <c r="D12" s="430"/>
      <c r="E12" s="7" t="s">
        <v>225</v>
      </c>
    </row>
    <row r="13" spans="1:5" ht="13.5" thickBot="1" x14ac:dyDescent="0.25">
      <c r="A13" s="12" t="s">
        <v>224</v>
      </c>
      <c r="B13" s="7"/>
      <c r="C13" s="431">
        <v>2</v>
      </c>
      <c r="D13" s="432"/>
      <c r="E13" s="6">
        <f>SUM((A12)/(A10-B25-B26))*100</f>
        <v>0</v>
      </c>
    </row>
    <row r="14" spans="1:5" ht="13.5" thickBot="1" x14ac:dyDescent="0.25">
      <c r="A14" s="15">
        <v>23</v>
      </c>
      <c r="B14" s="7"/>
      <c r="C14" s="16"/>
      <c r="D14" s="14"/>
      <c r="E14" s="7"/>
    </row>
    <row r="16" spans="1:5" x14ac:dyDescent="0.2">
      <c r="B16" s="429" t="s">
        <v>242</v>
      </c>
      <c r="C16" s="429"/>
      <c r="D16" s="429"/>
      <c r="E16" s="429"/>
    </row>
    <row r="17" spans="1:5" x14ac:dyDescent="0.2">
      <c r="A17" s="7" t="s">
        <v>240</v>
      </c>
      <c r="B17" s="425" t="s">
        <v>421</v>
      </c>
      <c r="C17" s="425"/>
      <c r="D17" s="425"/>
      <c r="E17" s="425"/>
    </row>
    <row r="18" spans="1:5" x14ac:dyDescent="0.2">
      <c r="B18" s="433"/>
      <c r="C18" s="433"/>
      <c r="D18" s="433"/>
      <c r="E18" s="433"/>
    </row>
    <row r="19" spans="1:5" x14ac:dyDescent="0.2">
      <c r="A19" s="7" t="s">
        <v>241</v>
      </c>
      <c r="B19" s="425" t="s">
        <v>419</v>
      </c>
      <c r="C19" s="426"/>
      <c r="D19" s="426"/>
      <c r="E19" s="426"/>
    </row>
    <row r="23" spans="1:5" x14ac:dyDescent="0.2">
      <c r="E23" s="5" t="s">
        <v>353</v>
      </c>
    </row>
    <row r="24" spans="1:5" x14ac:dyDescent="0.2">
      <c r="E24" s="5" t="s">
        <v>354</v>
      </c>
    </row>
    <row r="25" spans="1:5" x14ac:dyDescent="0.2">
      <c r="A25" s="5" t="s">
        <v>358</v>
      </c>
      <c r="B25" s="4">
        <f>(Consolidated!A1)</f>
        <v>40</v>
      </c>
      <c r="E25" s="5" t="s">
        <v>355</v>
      </c>
    </row>
    <row r="26" spans="1:5" x14ac:dyDescent="0.2">
      <c r="A26" s="17" t="s">
        <v>357</v>
      </c>
      <c r="B26" s="4">
        <f>(Consolidated!B1)</f>
        <v>4</v>
      </c>
    </row>
    <row r="27" spans="1:5" x14ac:dyDescent="0.2">
      <c r="A27" s="18" t="s">
        <v>610</v>
      </c>
      <c r="C27" s="4">
        <f ca="1">Consolidated!A2</f>
        <v>8</v>
      </c>
    </row>
    <row r="28" spans="1:5" x14ac:dyDescent="0.2">
      <c r="A28" s="18" t="s">
        <v>418</v>
      </c>
      <c r="D28" s="4">
        <f ca="1">COUNTIF(Consolidated!AK9:AK15921,2)</f>
        <v>0</v>
      </c>
    </row>
    <row r="29" spans="1:5" x14ac:dyDescent="0.2">
      <c r="A29" s="19">
        <f>SUM(A10*0.05)</f>
        <v>13.4</v>
      </c>
      <c r="B29" s="18" t="s">
        <v>420</v>
      </c>
      <c r="E29" s="18"/>
    </row>
    <row r="30" spans="1:5" x14ac:dyDescent="0.2">
      <c r="A30" s="19">
        <f>SUM(A10*0.02)</f>
        <v>5.36</v>
      </c>
      <c r="B30" s="18" t="s">
        <v>524</v>
      </c>
    </row>
    <row r="31" spans="1:5" x14ac:dyDescent="0.2">
      <c r="E31" s="18"/>
    </row>
    <row r="33" spans="4:5" x14ac:dyDescent="0.2">
      <c r="E33" s="20"/>
    </row>
    <row r="36" spans="4:5" x14ac:dyDescent="0.2">
      <c r="D36" s="21"/>
    </row>
  </sheetData>
  <sheetProtection selectLockedCells="1" selectUnlockedCells="1"/>
  <mergeCells count="12">
    <mergeCell ref="A1:E1"/>
    <mergeCell ref="A2:E2"/>
    <mergeCell ref="A3:E3"/>
    <mergeCell ref="A4:E4"/>
    <mergeCell ref="C9:D9"/>
    <mergeCell ref="B18:E18"/>
    <mergeCell ref="B19:E19"/>
    <mergeCell ref="C10:D10"/>
    <mergeCell ref="C12:D12"/>
    <mergeCell ref="C13:D13"/>
    <mergeCell ref="B16:E16"/>
    <mergeCell ref="B17:E17"/>
  </mergeCells>
  <conditionalFormatting sqref="C13:E13">
    <cfRule type="expression" dxfId="2" priority="2" stopIfTrue="1">
      <formula>$C$13&lt;$E$13</formula>
    </cfRule>
    <cfRule type="expression" dxfId="1" priority="3" stopIfTrue="1">
      <formula>$C$13&lt;$E$13</formula>
    </cfRule>
  </conditionalFormatting>
  <conditionalFormatting sqref="E10">
    <cfRule type="expression" dxfId="0" priority="1" stopIfTrue="1">
      <formula>$C$10&gt;$E$10</formula>
    </cfRule>
  </conditionalFormatting>
  <pageMargins left="0.67" right="0.46" top="1" bottom="1" header="0.5" footer="0.5"/>
  <pageSetup orientation="landscape" r:id="rId1"/>
  <headerFooter alignWithMargins="0">
    <oddFooter>&amp;LPrinted &amp;D at &amp;T&amp;RPage &amp;P 0f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Q11"/>
  <sheetViews>
    <sheetView zoomScale="110" zoomScaleNormal="110" workbookViewId="0">
      <selection activeCell="H19" sqref="H19"/>
    </sheetView>
  </sheetViews>
  <sheetFormatPr defaultRowHeight="12.75" x14ac:dyDescent="0.2"/>
  <sheetData>
    <row r="1" spans="1:17" x14ac:dyDescent="0.2">
      <c r="A1" s="68" t="s">
        <v>495</v>
      </c>
      <c r="B1" s="68" t="s">
        <v>352</v>
      </c>
      <c r="C1" s="68" t="s">
        <v>352</v>
      </c>
      <c r="D1" s="68" t="s">
        <v>852</v>
      </c>
      <c r="E1" s="446" t="s">
        <v>853</v>
      </c>
      <c r="F1" s="446" t="s">
        <v>352</v>
      </c>
      <c r="G1" s="446" t="s">
        <v>352</v>
      </c>
      <c r="H1" s="446" t="s">
        <v>352</v>
      </c>
      <c r="I1" s="446" t="s">
        <v>352</v>
      </c>
      <c r="J1" s="446" t="s">
        <v>854</v>
      </c>
      <c r="K1" s="446" t="s">
        <v>352</v>
      </c>
      <c r="L1" s="446" t="s">
        <v>352</v>
      </c>
      <c r="M1" s="68" t="s">
        <v>855</v>
      </c>
      <c r="N1" s="68" t="s">
        <v>855</v>
      </c>
      <c r="O1" s="68" t="s">
        <v>352</v>
      </c>
      <c r="P1" s="68" t="s">
        <v>352</v>
      </c>
      <c r="Q1" s="68" t="s">
        <v>352</v>
      </c>
    </row>
    <row r="2" spans="1:17" x14ac:dyDescent="0.2">
      <c r="A2" s="447" t="s">
        <v>856</v>
      </c>
      <c r="B2" s="447" t="s">
        <v>352</v>
      </c>
      <c r="C2" s="71" t="s">
        <v>857</v>
      </c>
      <c r="D2" s="69" t="s">
        <v>858</v>
      </c>
      <c r="E2" s="448" t="s">
        <v>859</v>
      </c>
      <c r="F2" s="448" t="s">
        <v>352</v>
      </c>
      <c r="G2" s="448" t="s">
        <v>352</v>
      </c>
      <c r="H2" s="448" t="s">
        <v>352</v>
      </c>
      <c r="I2" s="69" t="s">
        <v>852</v>
      </c>
      <c r="J2" s="69" t="s">
        <v>860</v>
      </c>
      <c r="K2" s="69" t="s">
        <v>861</v>
      </c>
      <c r="L2" s="69" t="s">
        <v>352</v>
      </c>
      <c r="M2" s="69" t="s">
        <v>862</v>
      </c>
      <c r="N2" s="69" t="s">
        <v>863</v>
      </c>
      <c r="O2" s="448" t="s">
        <v>352</v>
      </c>
      <c r="P2" s="448" t="s">
        <v>352</v>
      </c>
      <c r="Q2" s="69" t="s">
        <v>855</v>
      </c>
    </row>
    <row r="3" spans="1:17" x14ac:dyDescent="0.2">
      <c r="A3" s="70" t="s">
        <v>352</v>
      </c>
      <c r="B3" s="449" t="s">
        <v>864</v>
      </c>
      <c r="C3" s="450"/>
      <c r="D3" s="450"/>
      <c r="E3" s="70" t="s">
        <v>352</v>
      </c>
      <c r="F3" s="449" t="s">
        <v>352</v>
      </c>
      <c r="G3" s="450"/>
      <c r="H3" s="450"/>
      <c r="I3" s="70" t="s">
        <v>352</v>
      </c>
      <c r="J3" s="449" t="s">
        <v>352</v>
      </c>
      <c r="K3" s="450"/>
      <c r="L3" s="450"/>
      <c r="M3" s="70" t="s">
        <v>352</v>
      </c>
      <c r="N3" s="449" t="s">
        <v>352</v>
      </c>
      <c r="O3" s="450"/>
      <c r="P3" s="450"/>
    </row>
    <row r="4" spans="1:17" x14ac:dyDescent="0.2">
      <c r="B4" s="72" t="s">
        <v>865</v>
      </c>
    </row>
    <row r="5" spans="1:17" ht="14.45" customHeight="1" x14ac:dyDescent="0.2">
      <c r="B5" s="72" t="s">
        <v>888</v>
      </c>
      <c r="C5" s="72"/>
      <c r="D5" s="72"/>
      <c r="E5" s="72"/>
      <c r="F5" s="72"/>
    </row>
    <row r="6" spans="1:17" ht="14.45" customHeight="1" x14ac:dyDescent="0.2">
      <c r="B6" s="72"/>
      <c r="C6" s="72"/>
      <c r="D6" s="72"/>
      <c r="E6" s="72"/>
      <c r="F6" s="72"/>
    </row>
    <row r="7" spans="1:17" x14ac:dyDescent="0.2">
      <c r="A7" s="68" t="s">
        <v>751</v>
      </c>
      <c r="B7" s="68" t="s">
        <v>352</v>
      </c>
      <c r="C7" s="68" t="s">
        <v>352</v>
      </c>
      <c r="D7" s="68" t="s">
        <v>860</v>
      </c>
      <c r="E7" s="446" t="s">
        <v>869</v>
      </c>
      <c r="F7" s="446" t="s">
        <v>352</v>
      </c>
      <c r="G7" s="446" t="s">
        <v>352</v>
      </c>
      <c r="H7" s="446" t="s">
        <v>352</v>
      </c>
      <c r="I7" s="446" t="s">
        <v>352</v>
      </c>
      <c r="J7" s="446" t="s">
        <v>866</v>
      </c>
      <c r="K7" s="446" t="s">
        <v>352</v>
      </c>
      <c r="L7" s="446" t="s">
        <v>352</v>
      </c>
      <c r="M7" s="68" t="s">
        <v>352</v>
      </c>
      <c r="N7" s="68" t="s">
        <v>870</v>
      </c>
      <c r="O7" s="68" t="s">
        <v>352</v>
      </c>
      <c r="P7" s="68" t="s">
        <v>352</v>
      </c>
      <c r="Q7" s="68" t="s">
        <v>352</v>
      </c>
    </row>
    <row r="8" spans="1:17" x14ac:dyDescent="0.2">
      <c r="A8" s="447" t="s">
        <v>871</v>
      </c>
      <c r="B8" s="447" t="s">
        <v>352</v>
      </c>
      <c r="C8" s="73" t="s">
        <v>857</v>
      </c>
      <c r="D8" s="69" t="s">
        <v>872</v>
      </c>
      <c r="E8" s="448" t="s">
        <v>869</v>
      </c>
      <c r="F8" s="448" t="s">
        <v>352</v>
      </c>
      <c r="G8" s="448" t="s">
        <v>352</v>
      </c>
      <c r="H8" s="448" t="s">
        <v>352</v>
      </c>
      <c r="I8" s="69" t="s">
        <v>867</v>
      </c>
      <c r="J8" s="69" t="s">
        <v>860</v>
      </c>
      <c r="K8" s="69" t="s">
        <v>861</v>
      </c>
      <c r="L8" s="69" t="s">
        <v>352</v>
      </c>
      <c r="M8" s="69" t="s">
        <v>873</v>
      </c>
      <c r="N8" s="69" t="s">
        <v>868</v>
      </c>
      <c r="O8" s="448" t="s">
        <v>352</v>
      </c>
      <c r="P8" s="448" t="s">
        <v>352</v>
      </c>
      <c r="Q8" s="69" t="s">
        <v>870</v>
      </c>
    </row>
    <row r="9" spans="1:17" x14ac:dyDescent="0.2">
      <c r="A9" s="70" t="s">
        <v>352</v>
      </c>
      <c r="B9" s="449" t="s">
        <v>874</v>
      </c>
      <c r="C9" s="450"/>
      <c r="D9" s="450"/>
      <c r="E9" s="70" t="s">
        <v>352</v>
      </c>
      <c r="F9" s="449" t="s">
        <v>875</v>
      </c>
      <c r="G9" s="450"/>
      <c r="H9" s="450"/>
      <c r="I9" s="70" t="s">
        <v>352</v>
      </c>
      <c r="J9" s="449" t="s">
        <v>352</v>
      </c>
      <c r="K9" s="450"/>
      <c r="L9" s="450"/>
      <c r="M9" s="70" t="s">
        <v>352</v>
      </c>
      <c r="N9" s="449" t="s">
        <v>352</v>
      </c>
      <c r="O9" s="450"/>
      <c r="P9" s="450"/>
    </row>
    <row r="10" spans="1:17" x14ac:dyDescent="0.2">
      <c r="B10" s="72" t="s">
        <v>876</v>
      </c>
    </row>
    <row r="11" spans="1:17" x14ac:dyDescent="0.2">
      <c r="B11" s="74" t="s">
        <v>889</v>
      </c>
    </row>
  </sheetData>
  <mergeCells count="18">
    <mergeCell ref="B9:D9"/>
    <mergeCell ref="F9:H9"/>
    <mergeCell ref="J9:L9"/>
    <mergeCell ref="N9:P9"/>
    <mergeCell ref="J3:L3"/>
    <mergeCell ref="N3:P3"/>
    <mergeCell ref="B3:D3"/>
    <mergeCell ref="F3:H3"/>
    <mergeCell ref="E7:I7"/>
    <mergeCell ref="J7:L7"/>
    <mergeCell ref="A8:B8"/>
    <mergeCell ref="E8:H8"/>
    <mergeCell ref="O8:P8"/>
    <mergeCell ref="E1:I1"/>
    <mergeCell ref="J1:L1"/>
    <mergeCell ref="A2:B2"/>
    <mergeCell ref="E2:H2"/>
    <mergeCell ref="O2:P2"/>
  </mergeCells>
  <pageMargins left="0.34" right="0.2" top="0.98" bottom="1.36" header="0.3" footer="0.3"/>
  <pageSetup scale="89" orientation="landscape" r:id="rId1"/>
  <headerFooter>
    <oddHeader>&amp;C&amp;"Arial,Bold"&amp;14Property Book / TMDE Issues
&amp;"Arial,Regular"&amp;10Page &amp;P of &amp;N
Printed &amp;D at &amp;T</oddHeader>
    <oddFooter>&amp;L1st Column:
Red - not in TB 43-180
Yellow - CNR
Green - Calibrated Item
Orange - see components in kit
Blue - TB 43-180 has "N/A" see another item&amp;R2nd Column:
Green - On TMDE Spread Sheet
Red - NOT on TMDE S/S
Orange - See Note below</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3"/>
  <sheetViews>
    <sheetView workbookViewId="0">
      <selection activeCell="B5" sqref="B5"/>
    </sheetView>
  </sheetViews>
  <sheetFormatPr defaultRowHeight="12.75" x14ac:dyDescent="0.2"/>
  <cols>
    <col min="2" max="2" width="9.7109375" style="76" bestFit="1" customWidth="1"/>
  </cols>
  <sheetData>
    <row r="1" spans="1:3" x14ac:dyDescent="0.2">
      <c r="A1" s="74" t="s">
        <v>1015</v>
      </c>
      <c r="B1" s="77" t="s">
        <v>770</v>
      </c>
    </row>
    <row r="2" spans="1:3" x14ac:dyDescent="0.2">
      <c r="A2" s="78" t="s">
        <v>3</v>
      </c>
      <c r="B2" s="76">
        <v>41191</v>
      </c>
      <c r="C2" s="74"/>
    </row>
    <row r="3" spans="1:3" x14ac:dyDescent="0.2">
      <c r="A3" s="74" t="s">
        <v>591</v>
      </c>
      <c r="B3" s="76">
        <v>41257</v>
      </c>
      <c r="C3" s="74" t="s">
        <v>1016</v>
      </c>
    </row>
    <row r="4" spans="1:3" x14ac:dyDescent="0.2">
      <c r="A4" s="78" t="s">
        <v>710</v>
      </c>
      <c r="B4" s="76">
        <v>41299</v>
      </c>
    </row>
    <row r="5" spans="1:3" x14ac:dyDescent="0.2">
      <c r="A5" s="78" t="s">
        <v>882</v>
      </c>
      <c r="B5" s="76">
        <v>41324</v>
      </c>
    </row>
    <row r="6" spans="1:3" x14ac:dyDescent="0.2">
      <c r="A6" s="79" t="s">
        <v>590</v>
      </c>
      <c r="B6" s="76">
        <v>41383</v>
      </c>
    </row>
    <row r="7" spans="1:3" x14ac:dyDescent="0.2">
      <c r="A7" s="78" t="s">
        <v>388</v>
      </c>
      <c r="B7" s="76">
        <v>41383</v>
      </c>
    </row>
    <row r="8" spans="1:3" x14ac:dyDescent="0.2">
      <c r="A8" s="78" t="s">
        <v>902</v>
      </c>
      <c r="B8" s="76">
        <v>41495</v>
      </c>
    </row>
    <row r="9" spans="1:3" x14ac:dyDescent="0.2">
      <c r="A9" s="78" t="s">
        <v>310</v>
      </c>
      <c r="B9" s="76">
        <v>41533</v>
      </c>
    </row>
    <row r="10" spans="1:3" x14ac:dyDescent="0.2">
      <c r="A10" s="74"/>
      <c r="C10" s="74"/>
    </row>
    <row r="13" spans="1:3" x14ac:dyDescent="0.2">
      <c r="A13" s="74" t="s">
        <v>1017</v>
      </c>
    </row>
  </sheetData>
  <autoFilter ref="A1:C10">
    <sortState ref="A2:C10">
      <sortCondition ref="B1:B10"/>
    </sortState>
  </autoFilter>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6"/>
  <sheetViews>
    <sheetView zoomScale="90" zoomScaleNormal="90" workbookViewId="0">
      <selection activeCell="E9" sqref="E9"/>
    </sheetView>
  </sheetViews>
  <sheetFormatPr defaultRowHeight="12.75" x14ac:dyDescent="0.2"/>
  <cols>
    <col min="5" max="5" width="20.28515625" customWidth="1"/>
  </cols>
  <sheetData>
    <row r="1" spans="1:16" x14ac:dyDescent="0.2">
      <c r="A1" t="s">
        <v>432</v>
      </c>
      <c r="B1" t="s">
        <v>937</v>
      </c>
      <c r="C1" t="s">
        <v>818</v>
      </c>
      <c r="D1" t="s">
        <v>819</v>
      </c>
      <c r="E1" t="s">
        <v>927</v>
      </c>
      <c r="F1" t="s">
        <v>432</v>
      </c>
      <c r="G1" t="s">
        <v>432</v>
      </c>
      <c r="H1" t="s">
        <v>432</v>
      </c>
      <c r="I1" t="s">
        <v>352</v>
      </c>
      <c r="K1" t="s">
        <v>432</v>
      </c>
      <c r="L1" s="74" t="s">
        <v>1469</v>
      </c>
      <c r="P1" t="s">
        <v>958</v>
      </c>
    </row>
    <row r="2" spans="1:16" x14ac:dyDescent="0.2">
      <c r="A2" t="s">
        <v>432</v>
      </c>
      <c r="B2" t="s">
        <v>934</v>
      </c>
      <c r="C2" t="s">
        <v>818</v>
      </c>
      <c r="D2" t="s">
        <v>819</v>
      </c>
      <c r="E2" t="s">
        <v>927</v>
      </c>
      <c r="F2" t="s">
        <v>432</v>
      </c>
      <c r="G2" t="s">
        <v>432</v>
      </c>
      <c r="H2" t="s">
        <v>432</v>
      </c>
      <c r="I2" t="s">
        <v>352</v>
      </c>
      <c r="K2" t="s">
        <v>432</v>
      </c>
      <c r="L2" s="74" t="s">
        <v>1469</v>
      </c>
    </row>
    <row r="3" spans="1:16" x14ac:dyDescent="0.2">
      <c r="A3" t="s">
        <v>432</v>
      </c>
      <c r="B3" t="s">
        <v>938</v>
      </c>
      <c r="C3" t="s">
        <v>818</v>
      </c>
      <c r="D3" t="s">
        <v>819</v>
      </c>
      <c r="E3" t="s">
        <v>927</v>
      </c>
      <c r="F3" t="s">
        <v>432</v>
      </c>
      <c r="G3" t="s">
        <v>432</v>
      </c>
      <c r="H3" t="s">
        <v>432</v>
      </c>
      <c r="I3" t="s">
        <v>352</v>
      </c>
      <c r="K3" t="s">
        <v>432</v>
      </c>
      <c r="L3" s="74" t="s">
        <v>1469</v>
      </c>
    </row>
    <row r="4" spans="1:16" x14ac:dyDescent="0.2">
      <c r="A4" t="s">
        <v>432</v>
      </c>
      <c r="B4" t="s">
        <v>936</v>
      </c>
      <c r="C4" t="s">
        <v>818</v>
      </c>
      <c r="D4" t="s">
        <v>819</v>
      </c>
      <c r="E4" t="s">
        <v>927</v>
      </c>
      <c r="F4" t="s">
        <v>432</v>
      </c>
      <c r="G4" t="s">
        <v>432</v>
      </c>
      <c r="H4" t="s">
        <v>432</v>
      </c>
      <c r="I4" t="s">
        <v>352</v>
      </c>
      <c r="K4" t="s">
        <v>432</v>
      </c>
      <c r="L4" s="74" t="s">
        <v>1469</v>
      </c>
    </row>
    <row r="5" spans="1:16" x14ac:dyDescent="0.2">
      <c r="A5" t="s">
        <v>432</v>
      </c>
      <c r="B5" t="s">
        <v>939</v>
      </c>
      <c r="C5" t="s">
        <v>818</v>
      </c>
      <c r="D5" t="s">
        <v>819</v>
      </c>
      <c r="E5" t="s">
        <v>927</v>
      </c>
      <c r="F5" t="s">
        <v>432</v>
      </c>
      <c r="G5" t="s">
        <v>432</v>
      </c>
      <c r="H5" t="s">
        <v>432</v>
      </c>
      <c r="I5" t="s">
        <v>352</v>
      </c>
      <c r="K5" t="s">
        <v>432</v>
      </c>
      <c r="L5" s="74" t="s">
        <v>1469</v>
      </c>
    </row>
    <row r="6" spans="1:16" ht="25.5" x14ac:dyDescent="0.2">
      <c r="A6" t="s">
        <v>432</v>
      </c>
      <c r="B6" s="339" t="s">
        <v>1024</v>
      </c>
      <c r="C6" t="s">
        <v>1022</v>
      </c>
      <c r="D6" t="s">
        <v>718</v>
      </c>
      <c r="F6" t="s">
        <v>432</v>
      </c>
      <c r="G6" t="s">
        <v>432</v>
      </c>
      <c r="H6" t="s">
        <v>432</v>
      </c>
      <c r="I6" t="s">
        <v>352</v>
      </c>
      <c r="K6" t="s">
        <v>432</v>
      </c>
      <c r="L6" t="s">
        <v>1023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9</vt:i4>
      </vt:variant>
      <vt:variant>
        <vt:lpstr>Charts</vt:lpstr>
      </vt:variant>
      <vt:variant>
        <vt:i4>1</vt:i4>
      </vt:variant>
      <vt:variant>
        <vt:lpstr>Named Ranges</vt:lpstr>
      </vt:variant>
      <vt:variant>
        <vt:i4>3</vt:i4>
      </vt:variant>
    </vt:vector>
  </HeadingPairs>
  <TitlesOfParts>
    <vt:vector size="13" baseType="lpstr">
      <vt:lpstr>Availabilty-Delinguent Rate</vt:lpstr>
      <vt:lpstr>Consolidated</vt:lpstr>
      <vt:lpstr>Calibration Run Schedule</vt:lpstr>
      <vt:lpstr>Calculator</vt:lpstr>
      <vt:lpstr>Items Removed from TMDE</vt:lpstr>
      <vt:lpstr>Availabilty-Delinguent Rate (2)</vt:lpstr>
      <vt:lpstr>Sheet1</vt:lpstr>
      <vt:lpstr>Sheet2</vt:lpstr>
      <vt:lpstr>Sheet3</vt:lpstr>
      <vt:lpstr>Chart</vt:lpstr>
      <vt:lpstr>At_</vt:lpstr>
      <vt:lpstr>At_Lab</vt:lpstr>
      <vt:lpstr>Consolidated!Print_Titles</vt:lpstr>
    </vt:vector>
  </TitlesOfParts>
  <Company>MARNG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AASF#2</dc:creator>
  <cp:lastModifiedBy>Rhea, Michael W SGT</cp:lastModifiedBy>
  <cp:lastPrinted>2018-05-17T17:13:44Z</cp:lastPrinted>
  <dcterms:created xsi:type="dcterms:W3CDTF">1999-09-22T19:14:46Z</dcterms:created>
  <dcterms:modified xsi:type="dcterms:W3CDTF">2018-06-28T15:21:51Z</dcterms:modified>
</cp:coreProperties>
</file>